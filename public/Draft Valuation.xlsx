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d_will_email_wustl_edu/Documents/"/>
    </mc:Choice>
  </mc:AlternateContent>
  <xr:revisionPtr revIDLastSave="0" documentId="8_{48136328-F7AF-4143-8694-EC6919EF6141}" xr6:coauthVersionLast="47" xr6:coauthVersionMax="47" xr10:uidLastSave="{00000000-0000-0000-0000-000000000000}"/>
  <bookViews>
    <workbookView xWindow="15700" yWindow="740" windowWidth="13700" windowHeight="17300" firstSheet="1" activeTab="1" xr2:uid="{CA028AD8-75B3-9C48-BA2F-35AF9528E64F}"/>
  </bookViews>
  <sheets>
    <sheet name="Draft Hits" sheetId="26" r:id="rId1"/>
    <sheet name="Cap Table 2024-25" sheetId="24" r:id="rId2"/>
    <sheet name="2024" sheetId="1" state="hidden" r:id="rId3"/>
    <sheet name="2023" sheetId="2" state="hidden" r:id="rId4"/>
    <sheet name="2022" sheetId="3" r:id="rId5"/>
    <sheet name="2021" sheetId="4" r:id="rId6"/>
    <sheet name="2020" sheetId="5" r:id="rId7"/>
    <sheet name="2019" sheetId="6" r:id="rId8"/>
    <sheet name="2018" sheetId="7" r:id="rId9"/>
    <sheet name="2017" sheetId="8" r:id="rId10"/>
    <sheet name="2016" sheetId="9" r:id="rId11"/>
    <sheet name="2015" sheetId="10" r:id="rId12"/>
    <sheet name="2014" sheetId="11" r:id="rId13"/>
    <sheet name="2013" sheetId="12" r:id="rId14"/>
    <sheet name="2012" sheetId="13" r:id="rId15"/>
    <sheet name="2011" sheetId="14" r:id="rId16"/>
    <sheet name="2010" sheetId="15" r:id="rId17"/>
    <sheet name="2009" sheetId="17" r:id="rId18"/>
    <sheet name="MASTER" sheetId="39" r:id="rId19"/>
    <sheet name="2008" sheetId="18" r:id="rId20"/>
    <sheet name="2007" sheetId="19" r:id="rId21"/>
    <sheet name="2006" sheetId="20" r:id="rId22"/>
    <sheet name="2005" sheetId="21" r:id="rId23"/>
    <sheet name="2004" sheetId="22" r:id="rId24"/>
    <sheet name="2003" sheetId="23" r:id="rId25"/>
    <sheet name="UND" sheetId="29" r:id="rId26"/>
  </sheets>
  <definedNames>
    <definedName name="_xlnm._FilterDatabase" localSheetId="24" hidden="1">'2003'!$P$1:$P$60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4" l="1"/>
  <c r="H11" i="24" s="1"/>
  <c r="G12" i="24"/>
  <c r="L11" i="24"/>
  <c r="P11" i="24" s="1"/>
  <c r="G10" i="24"/>
  <c r="H10" i="24" s="1"/>
  <c r="S480" i="39"/>
  <c r="S367" i="39"/>
  <c r="S318" i="39"/>
  <c r="S379" i="39"/>
  <c r="S6" i="39"/>
  <c r="S249" i="39"/>
  <c r="S346" i="39"/>
  <c r="S215" i="39"/>
  <c r="S7" i="39"/>
  <c r="S460" i="39"/>
  <c r="S203" i="39"/>
  <c r="S368" i="39"/>
  <c r="S8" i="39"/>
  <c r="S118" i="39"/>
  <c r="S182" i="39"/>
  <c r="S300" i="39"/>
  <c r="S134" i="39"/>
  <c r="S222" i="39"/>
  <c r="S283" i="39"/>
  <c r="S369" i="39"/>
  <c r="S270" i="39"/>
  <c r="S361" i="39"/>
  <c r="S284" i="39"/>
  <c r="S9" i="39"/>
  <c r="S276" i="39"/>
  <c r="S384" i="39"/>
  <c r="S464" i="39"/>
  <c r="S10" i="39"/>
  <c r="S385" i="39"/>
  <c r="S311" i="39"/>
  <c r="S265" i="39"/>
  <c r="S233" i="39"/>
  <c r="S227" i="39"/>
  <c r="S141" i="39"/>
  <c r="S386" i="39"/>
  <c r="S11" i="39"/>
  <c r="S188" i="39"/>
  <c r="S347" i="39"/>
  <c r="S438" i="39"/>
  <c r="S387" i="39"/>
  <c r="S362" i="39"/>
  <c r="S337" i="39"/>
  <c r="S425" i="39"/>
  <c r="S172" i="39"/>
  <c r="S388" i="39"/>
  <c r="S259" i="39"/>
  <c r="S241" i="39"/>
  <c r="S465" i="39"/>
  <c r="S426" i="39"/>
  <c r="S146" i="39"/>
  <c r="S152" i="39"/>
  <c r="S421" i="39"/>
  <c r="S389" i="39"/>
  <c r="S250" i="39"/>
  <c r="S312" i="39"/>
  <c r="S12" i="39"/>
  <c r="S319" i="39"/>
  <c r="S161" i="39"/>
  <c r="S271" i="39"/>
  <c r="S13" i="39"/>
  <c r="S150" i="39"/>
  <c r="S370" i="39"/>
  <c r="S390" i="39"/>
  <c r="S422" i="39"/>
  <c r="S348" i="39"/>
  <c r="S320" i="39"/>
  <c r="S163" i="39"/>
  <c r="S301" i="39"/>
  <c r="S220" i="39"/>
  <c r="S116" i="39"/>
  <c r="S313" i="39"/>
  <c r="S358" i="39"/>
  <c r="S261" i="39"/>
  <c r="S427" i="39"/>
  <c r="S204" i="39"/>
  <c r="S428" i="39"/>
  <c r="S112" i="39"/>
  <c r="S338" i="39"/>
  <c r="S339" i="39"/>
  <c r="S183" i="39"/>
  <c r="S302" i="39"/>
  <c r="S246" i="39"/>
  <c r="S252" i="39"/>
  <c r="S228" i="39"/>
  <c r="S235" i="39"/>
  <c r="S342" i="39"/>
  <c r="S126" i="39"/>
  <c r="S363" i="39"/>
  <c r="S329" i="39"/>
  <c r="S380" i="39"/>
  <c r="S221" i="39"/>
  <c r="S391" i="39"/>
  <c r="S439" i="39"/>
  <c r="S381" i="39"/>
  <c r="S14" i="39"/>
  <c r="S371" i="39"/>
  <c r="S294" i="39"/>
  <c r="S392" i="39"/>
  <c r="S15" i="39"/>
  <c r="S314" i="39"/>
  <c r="S211" i="39"/>
  <c r="S106" i="39"/>
  <c r="S168" i="39"/>
  <c r="S459" i="39"/>
  <c r="S108" i="39"/>
  <c r="S147" i="39"/>
  <c r="S332" i="39"/>
  <c r="S285" i="39"/>
  <c r="S248" i="39"/>
  <c r="S162" i="39"/>
  <c r="S140" i="39"/>
  <c r="S16" i="39"/>
  <c r="S17" i="39"/>
  <c r="S225" i="39"/>
  <c r="S170" i="39"/>
  <c r="S264" i="39"/>
  <c r="S206" i="39"/>
  <c r="S232" i="39"/>
  <c r="S310" i="39"/>
  <c r="S18" i="39"/>
  <c r="S393" i="39"/>
  <c r="S466" i="39"/>
  <c r="S187" i="39"/>
  <c r="S394" i="39"/>
  <c r="S372" i="39"/>
  <c r="S440" i="39"/>
  <c r="S349" i="39"/>
  <c r="S429" i="39"/>
  <c r="S434" i="39"/>
  <c r="S272" i="39"/>
  <c r="S289" i="39"/>
  <c r="S244" i="39"/>
  <c r="S303" i="39"/>
  <c r="S189" i="39"/>
  <c r="S257" i="39"/>
  <c r="S224" i="39"/>
  <c r="S231" i="39"/>
  <c r="S467" i="39"/>
  <c r="S321" i="39"/>
  <c r="S290" i="39"/>
  <c r="S153" i="39"/>
  <c r="S123" i="39"/>
  <c r="S266" i="39"/>
  <c r="S191" i="39"/>
  <c r="S217" i="39"/>
  <c r="S395" i="39"/>
  <c r="S309" i="39"/>
  <c r="S273" i="39"/>
  <c r="S19" i="39"/>
  <c r="S135" i="39"/>
  <c r="S260" i="39"/>
  <c r="S295" i="39"/>
  <c r="S304" i="39"/>
  <c r="S396" i="39"/>
  <c r="S322" i="39"/>
  <c r="S229" i="39"/>
  <c r="S20" i="39"/>
  <c r="S305" i="39"/>
  <c r="S21" i="39"/>
  <c r="S212" i="39"/>
  <c r="S111" i="39"/>
  <c r="S202" i="39"/>
  <c r="S333" i="39"/>
  <c r="S22" i="39"/>
  <c r="S122" i="39"/>
  <c r="S373" i="39"/>
  <c r="S240" i="39"/>
  <c r="S23" i="39"/>
  <c r="S441" i="39"/>
  <c r="S397" i="39"/>
  <c r="S478" i="39"/>
  <c r="S442" i="39"/>
  <c r="S24" i="39"/>
  <c r="S364" i="39"/>
  <c r="S398" i="39"/>
  <c r="S262" i="39"/>
  <c r="S399" i="39"/>
  <c r="S443" i="39"/>
  <c r="S180" i="39"/>
  <c r="S444" i="39"/>
  <c r="S340" i="39"/>
  <c r="S400" i="39"/>
  <c r="S468" i="39"/>
  <c r="S401" i="39"/>
  <c r="S402" i="39"/>
  <c r="S25" i="39"/>
  <c r="S269" i="39"/>
  <c r="S26" i="39"/>
  <c r="S382" i="39"/>
  <c r="S177" i="39"/>
  <c r="S109" i="39"/>
  <c r="S334" i="39"/>
  <c r="S435" i="39"/>
  <c r="S156" i="39"/>
  <c r="S315" i="39"/>
  <c r="S137" i="39"/>
  <c r="S359" i="39"/>
  <c r="S27" i="39"/>
  <c r="S142" i="39"/>
  <c r="S154" i="39"/>
  <c r="S28" i="39"/>
  <c r="S343" i="39"/>
  <c r="S219" i="39"/>
  <c r="S29" i="39"/>
  <c r="S132" i="39"/>
  <c r="S30" i="39"/>
  <c r="S267" i="39"/>
  <c r="S31" i="39"/>
  <c r="S32" i="39"/>
  <c r="S33" i="39"/>
  <c r="S34" i="39"/>
  <c r="S35" i="39"/>
  <c r="S36" i="39"/>
  <c r="S37" i="39"/>
  <c r="S403" i="39"/>
  <c r="S38" i="39"/>
  <c r="S39" i="39"/>
  <c r="S40" i="39"/>
  <c r="S41" i="39"/>
  <c r="S445" i="39"/>
  <c r="S280" i="39"/>
  <c r="S159" i="39"/>
  <c r="S473" i="39"/>
  <c r="S330" i="39"/>
  <c r="S374" i="39"/>
  <c r="S42" i="39"/>
  <c r="S131" i="39"/>
  <c r="S127" i="39"/>
  <c r="S216" i="39"/>
  <c r="S446" i="39"/>
  <c r="S350" i="39"/>
  <c r="S291" i="39"/>
  <c r="S115" i="39"/>
  <c r="S164" i="39"/>
  <c r="S447" i="39"/>
  <c r="S375" i="39"/>
  <c r="S430" i="39"/>
  <c r="S43" i="39"/>
  <c r="S297" i="39"/>
  <c r="S461" i="39"/>
  <c r="S44" i="39"/>
  <c r="S45" i="39"/>
  <c r="S351" i="39"/>
  <c r="S462" i="39"/>
  <c r="S46" i="39"/>
  <c r="S286" i="39"/>
  <c r="S47" i="39"/>
  <c r="S278" i="39"/>
  <c r="S174" i="39"/>
  <c r="S184" i="39"/>
  <c r="S404" i="39"/>
  <c r="S254" i="39"/>
  <c r="S448" i="39"/>
  <c r="S255" i="39"/>
  <c r="S323" i="39"/>
  <c r="S306" i="39"/>
  <c r="S196" i="39"/>
  <c r="S449" i="39"/>
  <c r="S405" i="39"/>
  <c r="S406" i="39"/>
  <c r="S474" i="39"/>
  <c r="S179" i="39"/>
  <c r="S48" i="39"/>
  <c r="S376" i="39"/>
  <c r="S194" i="39"/>
  <c r="S251" i="39"/>
  <c r="S450" i="39"/>
  <c r="S171" i="39"/>
  <c r="S49" i="39"/>
  <c r="S424" i="39"/>
  <c r="S50" i="39"/>
  <c r="S51" i="39"/>
  <c r="S197" i="39"/>
  <c r="S469" i="39"/>
  <c r="S52" i="39"/>
  <c r="S53" i="39"/>
  <c r="S54" i="39"/>
  <c r="S55" i="39"/>
  <c r="S281" i="39"/>
  <c r="S136" i="39"/>
  <c r="S263" i="39"/>
  <c r="S128" i="39"/>
  <c r="S113" i="39"/>
  <c r="S277" i="39"/>
  <c r="S205" i="39"/>
  <c r="S423" i="39"/>
  <c r="S114" i="39"/>
  <c r="S155" i="39"/>
  <c r="S479" i="39"/>
  <c r="S377" i="39"/>
  <c r="S176" i="39"/>
  <c r="S324" i="39"/>
  <c r="S207" i="39"/>
  <c r="S218" i="39"/>
  <c r="S475" i="39"/>
  <c r="S341" i="39"/>
  <c r="S165" i="39"/>
  <c r="S56" i="39"/>
  <c r="S451" i="39"/>
  <c r="S352" i="39"/>
  <c r="S195" i="39"/>
  <c r="S452" i="39"/>
  <c r="S463" i="39"/>
  <c r="S57" i="39"/>
  <c r="S58" i="39"/>
  <c r="S234" i="39"/>
  <c r="S59" i="39"/>
  <c r="S268" i="39"/>
  <c r="S121" i="39"/>
  <c r="S437" i="39"/>
  <c r="S185" i="39"/>
  <c r="S201" i="39"/>
  <c r="S431" i="39"/>
  <c r="S198" i="39"/>
  <c r="S407" i="39"/>
  <c r="S130" i="39"/>
  <c r="S360" i="39"/>
  <c r="S186" i="39"/>
  <c r="S436" i="39"/>
  <c r="S157" i="39"/>
  <c r="S344" i="39"/>
  <c r="S316" i="39"/>
  <c r="S256" i="39"/>
  <c r="S408" i="39"/>
  <c r="S353" i="39"/>
  <c r="S409" i="39"/>
  <c r="S476" i="39"/>
  <c r="S160" i="39"/>
  <c r="S60" i="39"/>
  <c r="S274" i="39"/>
  <c r="S296" i="39"/>
  <c r="S61" i="39"/>
  <c r="S193" i="39"/>
  <c r="S62" i="39"/>
  <c r="S63" i="39"/>
  <c r="S64" i="39"/>
  <c r="S65" i="39"/>
  <c r="S120" i="39"/>
  <c r="S453" i="39"/>
  <c r="S345" i="39"/>
  <c r="S110" i="39"/>
  <c r="S432" i="39"/>
  <c r="S139" i="39"/>
  <c r="S66" i="39"/>
  <c r="S470" i="39"/>
  <c r="S471" i="39"/>
  <c r="S169" i="39"/>
  <c r="S178" i="39"/>
  <c r="S292" i="39"/>
  <c r="S67" i="39"/>
  <c r="S335" i="39"/>
  <c r="S243" i="39"/>
  <c r="S68" i="39"/>
  <c r="S410" i="39"/>
  <c r="S69" i="39"/>
  <c r="S70" i="39"/>
  <c r="S71" i="39"/>
  <c r="S411" i="39"/>
  <c r="S72" i="39"/>
  <c r="S279" i="39"/>
  <c r="S412" i="39"/>
  <c r="S325" i="39"/>
  <c r="S214" i="39"/>
  <c r="S413" i="39"/>
  <c r="S354" i="39"/>
  <c r="S307" i="39"/>
  <c r="S73" i="39"/>
  <c r="S74" i="39"/>
  <c r="S223" i="39"/>
  <c r="S355" i="39"/>
  <c r="S149" i="39"/>
  <c r="S75" i="39"/>
  <c r="S420" i="39"/>
  <c r="S199" i="39"/>
  <c r="S143" i="39"/>
  <c r="S208" i="39"/>
  <c r="S138" i="39"/>
  <c r="S192" i="39"/>
  <c r="S151" i="39"/>
  <c r="S125" i="39"/>
  <c r="S148" i="39"/>
  <c r="S173" i="39"/>
  <c r="S200" i="39"/>
  <c r="S129" i="39"/>
  <c r="S76" i="39"/>
  <c r="S414" i="39"/>
  <c r="S77" i="39"/>
  <c r="S78" i="39"/>
  <c r="S79" i="39"/>
  <c r="S247" i="39"/>
  <c r="S213" i="39"/>
  <c r="S80" i="39"/>
  <c r="S166" i="39"/>
  <c r="S81" i="39"/>
  <c r="S82" i="39"/>
  <c r="S378" i="39"/>
  <c r="S83" i="39"/>
  <c r="S84" i="39"/>
  <c r="S133" i="39"/>
  <c r="S454" i="39"/>
  <c r="S253" i="39"/>
  <c r="S124" i="39"/>
  <c r="S107" i="39"/>
  <c r="S145" i="39"/>
  <c r="S167" i="39"/>
  <c r="S275" i="39"/>
  <c r="S415" i="39"/>
  <c r="S237" i="39"/>
  <c r="S356" i="39"/>
  <c r="S416" i="39"/>
  <c r="S455" i="39"/>
  <c r="S85" i="39"/>
  <c r="S119" i="39"/>
  <c r="S86" i="39"/>
  <c r="S230" i="39"/>
  <c r="S287" i="39"/>
  <c r="S87" i="39"/>
  <c r="S88" i="39"/>
  <c r="S89" i="39"/>
  <c r="S282" i="39"/>
  <c r="S90" i="39"/>
  <c r="S91" i="39"/>
  <c r="S477" i="39"/>
  <c r="S326" i="39"/>
  <c r="S92" i="39"/>
  <c r="S417" i="39"/>
  <c r="S93" i="39"/>
  <c r="S238" i="39"/>
  <c r="S117" i="39"/>
  <c r="S327" i="39"/>
  <c r="S433" i="39"/>
  <c r="S245" i="39"/>
  <c r="S158" i="39"/>
  <c r="S418" i="39"/>
  <c r="S181" i="39"/>
  <c r="S331" i="39"/>
  <c r="S94" i="39"/>
  <c r="S456" i="39"/>
  <c r="S293" i="39"/>
  <c r="S357" i="39"/>
  <c r="S95" i="39"/>
  <c r="S96" i="39"/>
  <c r="S97" i="39"/>
  <c r="S308" i="39"/>
  <c r="S258" i="39"/>
  <c r="S105" i="39"/>
  <c r="S239" i="39"/>
  <c r="S98" i="39"/>
  <c r="S419" i="39"/>
  <c r="S457" i="39"/>
  <c r="S458" i="39"/>
  <c r="S99" i="39"/>
  <c r="S100" i="39"/>
  <c r="S144" i="39"/>
  <c r="S101" i="39"/>
  <c r="S102" i="39"/>
  <c r="S472" i="39"/>
  <c r="S103" i="39"/>
  <c r="S242" i="39"/>
  <c r="S209" i="39"/>
  <c r="S175" i="39"/>
  <c r="S210" i="39"/>
  <c r="S2" i="39"/>
  <c r="S298" i="39"/>
  <c r="S299" i="39"/>
  <c r="S3" i="39"/>
  <c r="S317" i="39"/>
  <c r="S365" i="39"/>
  <c r="S383" i="39"/>
  <c r="S226" i="39"/>
  <c r="S328" i="39"/>
  <c r="S288" i="39"/>
  <c r="S4" i="39"/>
  <c r="S236" i="39"/>
  <c r="S366" i="39"/>
  <c r="S336" i="39"/>
  <c r="S5" i="39"/>
  <c r="S190" i="39"/>
  <c r="AS42" i="26"/>
  <c r="AR42" i="26"/>
  <c r="AS39" i="26"/>
  <c r="AS40" i="26"/>
  <c r="AS41" i="26"/>
  <c r="AS38" i="26"/>
  <c r="AR39" i="26"/>
  <c r="AR40" i="26"/>
  <c r="AR41" i="26"/>
  <c r="AR38" i="26"/>
  <c r="AP38" i="26"/>
  <c r="AP39" i="26"/>
  <c r="AP40" i="26"/>
  <c r="AP41" i="26"/>
  <c r="AO39" i="26"/>
  <c r="AO40" i="26"/>
  <c r="AO41" i="26"/>
  <c r="AO38" i="26"/>
  <c r="AH38" i="26"/>
  <c r="AH39" i="26"/>
  <c r="AH40" i="26"/>
  <c r="AH42" i="26" s="1"/>
  <c r="AH41" i="26"/>
  <c r="AI42" i="26"/>
  <c r="AJ42" i="26"/>
  <c r="AK42" i="26"/>
  <c r="AL42" i="26"/>
  <c r="AM42" i="26"/>
  <c r="AI39" i="26"/>
  <c r="AJ39" i="26"/>
  <c r="AK39" i="26"/>
  <c r="AL39" i="26"/>
  <c r="AM39" i="26"/>
  <c r="AI40" i="26"/>
  <c r="AJ40" i="26"/>
  <c r="AK40" i="26"/>
  <c r="AL40" i="26"/>
  <c r="AM40" i="26"/>
  <c r="AI41" i="26"/>
  <c r="AJ41" i="26"/>
  <c r="AK41" i="26"/>
  <c r="AL41" i="26"/>
  <c r="AM41" i="26"/>
  <c r="AI38" i="26"/>
  <c r="AJ38" i="26"/>
  <c r="AK38" i="26"/>
  <c r="AL38" i="26"/>
  <c r="AM38" i="26"/>
  <c r="X55" i="21"/>
  <c r="W55" i="21"/>
  <c r="B32" i="26"/>
  <c r="B13" i="26"/>
  <c r="B9" i="26"/>
  <c r="B2" i="26"/>
  <c r="B62" i="26"/>
  <c r="Q11" i="24" l="1"/>
  <c r="U11" i="24"/>
  <c r="V11" i="24" s="1"/>
  <c r="M11" i="24"/>
  <c r="L10" i="24"/>
  <c r="I34" i="24"/>
  <c r="I33" i="24"/>
  <c r="H29" i="24"/>
  <c r="H28" i="24"/>
  <c r="I28" i="24"/>
  <c r="I29" i="24"/>
  <c r="J30" i="24"/>
  <c r="K30" i="24" s="1"/>
  <c r="L30" i="24" s="1"/>
  <c r="I30" i="24"/>
  <c r="H30" i="24"/>
  <c r="J27" i="24"/>
  <c r="K27" i="24" s="1"/>
  <c r="L27" i="24" s="1"/>
  <c r="I27" i="24"/>
  <c r="H27" i="24"/>
  <c r="F27" i="24"/>
  <c r="I20" i="24"/>
  <c r="M20" i="24"/>
  <c r="N20" i="24" s="1"/>
  <c r="L18" i="24"/>
  <c r="U6" i="24"/>
  <c r="U7" i="24"/>
  <c r="V7" i="24" s="1"/>
  <c r="U8" i="24"/>
  <c r="U9" i="24"/>
  <c r="V9" i="24" s="1"/>
  <c r="U5" i="24"/>
  <c r="V5" i="24" s="1"/>
  <c r="V8" i="24"/>
  <c r="V6" i="24"/>
  <c r="G9" i="24"/>
  <c r="L9" i="24" s="1"/>
  <c r="M9" i="24" s="1"/>
  <c r="G8" i="24"/>
  <c r="H8" i="24" s="1"/>
  <c r="G7" i="24"/>
  <c r="H7" i="24" s="1"/>
  <c r="G6" i="24"/>
  <c r="H6" i="24" s="1"/>
  <c r="G5" i="24"/>
  <c r="H5" i="24" s="1"/>
  <c r="X14" i="4"/>
  <c r="AK5" i="24"/>
  <c r="AY63" i="24"/>
  <c r="AY62" i="24"/>
  <c r="AZ56" i="24"/>
  <c r="BA56" i="24" s="1"/>
  <c r="BB56" i="24" s="1"/>
  <c r="BC56" i="24" s="1"/>
  <c r="AZ60" i="24"/>
  <c r="AZ59" i="24"/>
  <c r="AA5" i="24"/>
  <c r="AA6" i="24"/>
  <c r="D6" i="24"/>
  <c r="D7" i="24"/>
  <c r="D8" i="24"/>
  <c r="D9" i="24"/>
  <c r="D5" i="2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50" i="2"/>
  <c r="W51" i="2"/>
  <c r="W52" i="2"/>
  <c r="W53" i="2"/>
  <c r="W54" i="2"/>
  <c r="W55" i="2"/>
  <c r="W56" i="2"/>
  <c r="W57" i="2"/>
  <c r="W59" i="2"/>
  <c r="W60" i="2"/>
  <c r="W2" i="2"/>
  <c r="M10" i="24" l="1"/>
  <c r="P10" i="24"/>
  <c r="P9" i="24"/>
  <c r="Q9" i="24" s="1"/>
  <c r="AZ63" i="24"/>
  <c r="L8" i="24"/>
  <c r="L7" i="24"/>
  <c r="L6" i="24"/>
  <c r="H9" i="24"/>
  <c r="L5" i="24"/>
  <c r="AZ62" i="24"/>
  <c r="BA60" i="24"/>
  <c r="BA59" i="24"/>
  <c r="BA62" i="24" s="1"/>
  <c r="U10" i="24" l="1"/>
  <c r="V10" i="24" s="1"/>
  <c r="Q10" i="24"/>
  <c r="M6" i="24"/>
  <c r="P6" i="24"/>
  <c r="Q6" i="24" s="1"/>
  <c r="M5" i="24"/>
  <c r="P5" i="24"/>
  <c r="Q5" i="24" s="1"/>
  <c r="M7" i="24"/>
  <c r="P7" i="24"/>
  <c r="Q7" i="24" s="1"/>
  <c r="M8" i="24"/>
  <c r="P8" i="24"/>
  <c r="Q8" i="24" s="1"/>
  <c r="BB60" i="24"/>
  <c r="BA63" i="24"/>
  <c r="BB59" i="24"/>
  <c r="BC59" i="24" l="1"/>
  <c r="BB62" i="24"/>
  <c r="BC60" i="24"/>
  <c r="BB63" i="24"/>
  <c r="BC63" i="24" l="1"/>
  <c r="BF63" i="24" s="1"/>
  <c r="BH60" i="24"/>
  <c r="BF60" i="24"/>
  <c r="BC62" i="24"/>
  <c r="BF62" i="24" s="1"/>
  <c r="BF59" i="24"/>
  <c r="BH59" i="24"/>
</calcChain>
</file>

<file path=xl/sharedStrings.xml><?xml version="1.0" encoding="utf-8"?>
<sst xmlns="http://schemas.openxmlformats.org/spreadsheetml/2006/main" count="8102" uniqueCount="1914">
  <si>
    <t>Year</t>
  </si>
  <si>
    <t>Pk</t>
  </si>
  <si>
    <t>Tm</t>
  </si>
  <si>
    <t>Player</t>
  </si>
  <si>
    <t>College</t>
  </si>
  <si>
    <t>Yrs</t>
  </si>
  <si>
    <t>G</t>
  </si>
  <si>
    <t>MP</t>
  </si>
  <si>
    <t>PTS</t>
  </si>
  <si>
    <t>TRB</t>
  </si>
  <si>
    <t>AST</t>
  </si>
  <si>
    <t>FG%</t>
  </si>
  <si>
    <t>3P%</t>
  </si>
  <si>
    <t>FT%</t>
  </si>
  <si>
    <t>WS</t>
  </si>
  <si>
    <t>WS/48</t>
  </si>
  <si>
    <t>BPM</t>
  </si>
  <si>
    <t>VORP</t>
  </si>
  <si>
    <t>All NBA</t>
  </si>
  <si>
    <t>per draft</t>
  </si>
  <si>
    <t>DAL</t>
  </si>
  <si>
    <t>Jalen Brunson</t>
  </si>
  <si>
    <t>Villanova</t>
  </si>
  <si>
    <t>DEN</t>
  </si>
  <si>
    <t>Nikola Jokić</t>
  </si>
  <si>
    <t>GSW</t>
  </si>
  <si>
    <t>Draymond Green</t>
  </si>
  <si>
    <t>Michigan State</t>
  </si>
  <si>
    <t>LAC</t>
  </si>
  <si>
    <t>DeAndre Jordan</t>
  </si>
  <si>
    <t>Texas A&amp;M</t>
  </si>
  <si>
    <t>LAL</t>
  </si>
  <si>
    <t>Marc Gasol</t>
  </si>
  <si>
    <t>All Star</t>
  </si>
  <si>
    <t>DET</t>
  </si>
  <si>
    <t>Khris Middleton</t>
  </si>
  <si>
    <t>SAC</t>
  </si>
  <si>
    <t>Isaiah Thomas</t>
  </si>
  <si>
    <t>Washington</t>
  </si>
  <si>
    <t>Quality Starter</t>
  </si>
  <si>
    <t>cumulative</t>
  </si>
  <si>
    <t>IND</t>
  </si>
  <si>
    <t>Andrew Nembhard</t>
  </si>
  <si>
    <t>Gonzaga</t>
  </si>
  <si>
    <t>NOP</t>
  </si>
  <si>
    <t>Herbert Jones</t>
  </si>
  <si>
    <t>Alabama</t>
  </si>
  <si>
    <t>BRK</t>
  </si>
  <si>
    <t>Nic Claxton</t>
  </si>
  <si>
    <t>Georgia</t>
  </si>
  <si>
    <t>NYK</t>
  </si>
  <si>
    <t>Mitchell Robinson</t>
  </si>
  <si>
    <t>HOU</t>
  </si>
  <si>
    <t>Isaiah Hartenstein</t>
  </si>
  <si>
    <t>Dillon Brooks</t>
  </si>
  <si>
    <t>Oregon</t>
  </si>
  <si>
    <t>Ivica Zubac</t>
  </si>
  <si>
    <t>MIL</t>
  </si>
  <si>
    <t>Malcolm Brogdon</t>
  </si>
  <si>
    <t>Virginia</t>
  </si>
  <si>
    <t>Montrezl Harrell</t>
  </si>
  <si>
    <t>Louisville</t>
  </si>
  <si>
    <t>Norman Powell</t>
  </si>
  <si>
    <t>UCLA</t>
  </si>
  <si>
    <t>Spencer Dinwiddie</t>
  </si>
  <si>
    <t>Colorado</t>
  </si>
  <si>
    <t>PHI</t>
  </si>
  <si>
    <t>Jerami Grant</t>
  </si>
  <si>
    <t>Syracuse</t>
  </si>
  <si>
    <t>WAS</t>
  </si>
  <si>
    <t>Jordan Clarkson</t>
  </si>
  <si>
    <t>Missouri</t>
  </si>
  <si>
    <t>MIA</t>
  </si>
  <si>
    <t>Bojan Bogdanović</t>
  </si>
  <si>
    <t>Hassan Whiteside</t>
  </si>
  <si>
    <t>Marshall</t>
  </si>
  <si>
    <t>CLE</t>
  </si>
  <si>
    <t>Danny Green</t>
  </si>
  <si>
    <t>UNC</t>
  </si>
  <si>
    <t>SAS</t>
  </si>
  <si>
    <t>Goran Dragić</t>
  </si>
  <si>
    <t>Role Players</t>
  </si>
  <si>
    <t>OKC</t>
  </si>
  <si>
    <t>Jaylin Williams</t>
  </si>
  <si>
    <t>Arkansas</t>
  </si>
  <si>
    <t>Max Christie</t>
  </si>
  <si>
    <t>Miles McBride</t>
  </si>
  <si>
    <t>West Virginia</t>
  </si>
  <si>
    <t>Aaron Wiggins</t>
  </si>
  <si>
    <t>Maryland</t>
  </si>
  <si>
    <t>Isaiah Joe</t>
  </si>
  <si>
    <t>31-35</t>
  </si>
  <si>
    <t>36-40</t>
  </si>
  <si>
    <t>41-45</t>
  </si>
  <si>
    <t>46-50</t>
  </si>
  <si>
    <t>51-55</t>
  </si>
  <si>
    <t>56-60</t>
  </si>
  <si>
    <t>31-45</t>
  </si>
  <si>
    <t>46-60</t>
  </si>
  <si>
    <t>CHI</t>
  </si>
  <si>
    <t>Daniel Gafford</t>
  </si>
  <si>
    <t>All Star+</t>
  </si>
  <si>
    <t>Bruce Brown</t>
  </si>
  <si>
    <t>Miami (FL)</t>
  </si>
  <si>
    <t>De'Anthony Melton</t>
  </si>
  <si>
    <t>USC</t>
  </si>
  <si>
    <t>Role Player</t>
  </si>
  <si>
    <t>Monte Morris</t>
  </si>
  <si>
    <t>Iowa State</t>
  </si>
  <si>
    <t>Deep Rotation Guy</t>
  </si>
  <si>
    <t>Georges Niang</t>
  </si>
  <si>
    <t>Valueless</t>
  </si>
  <si>
    <t>Richaun Holmes</t>
  </si>
  <si>
    <t>Bowling Green</t>
  </si>
  <si>
    <t>Josh Richardson</t>
  </si>
  <si>
    <t>Tennessee</t>
  </si>
  <si>
    <t>Pat Connaughton</t>
  </si>
  <si>
    <t>Notre Dame</t>
  </si>
  <si>
    <t>Joe Harris</t>
  </si>
  <si>
    <t>CHO</t>
  </si>
  <si>
    <t>Dwight Powell</t>
  </si>
  <si>
    <t>Stanford</t>
  </si>
  <si>
    <t>Jae Crowder</t>
  </si>
  <si>
    <t>Marquette</t>
  </si>
  <si>
    <t>POR</t>
  </si>
  <si>
    <t>Will Barton</t>
  </si>
  <si>
    <t>Memphis</t>
  </si>
  <si>
    <t>Chandler Parsons</t>
  </si>
  <si>
    <t>Florida</t>
  </si>
  <si>
    <t>Nemanja Bjelica</t>
  </si>
  <si>
    <t>Lance Stephenson</t>
  </si>
  <si>
    <t>Cincinnati</t>
  </si>
  <si>
    <t>Patrick Beverley</t>
  </si>
  <si>
    <t>Patty Mills</t>
  </si>
  <si>
    <t>Saint Mary's</t>
  </si>
  <si>
    <t>MIN</t>
  </si>
  <si>
    <t>Nikola Peković</t>
  </si>
  <si>
    <t>Mario Chalmers</t>
  </si>
  <si>
    <t>Kansas</t>
  </si>
  <si>
    <t>Picks 30-40 yield a chance greater than 1/3 at being valuable</t>
  </si>
  <si>
    <t>Luc Mbah a Moute</t>
  </si>
  <si>
    <t>SEA</t>
  </si>
  <si>
    <t>Carl Landry</t>
  </si>
  <si>
    <t>Purdue</t>
  </si>
  <si>
    <t>Glen Davis</t>
  </si>
  <si>
    <t>LSU</t>
  </si>
  <si>
    <t>Ramon Sessions</t>
  </si>
  <si>
    <t>Nevada</t>
  </si>
  <si>
    <t>Deep Rotation Guys</t>
  </si>
  <si>
    <t>Jaden Hardy</t>
  </si>
  <si>
    <t>Moussa Diabaté</t>
  </si>
  <si>
    <t>Michigan</t>
  </si>
  <si>
    <t>MEM</t>
  </si>
  <si>
    <t>Vince Williams Jr.</t>
  </si>
  <si>
    <t>VCU</t>
  </si>
  <si>
    <t>Gui Santos</t>
  </si>
  <si>
    <t>Jeremiah Robinson-Earl</t>
  </si>
  <si>
    <t>Ayo Dosunmu</t>
  </si>
  <si>
    <t>Illinois</t>
  </si>
  <si>
    <t>Neemias Queta</t>
  </si>
  <si>
    <t>Utah State University</t>
  </si>
  <si>
    <t>Kessler Edwards</t>
  </si>
  <si>
    <t>Pepperdine</t>
  </si>
  <si>
    <t>TOR</t>
  </si>
  <si>
    <t>Dalano Banton</t>
  </si>
  <si>
    <t>Nebraska</t>
  </si>
  <si>
    <t>Sandro Mamukelashvili</t>
  </si>
  <si>
    <t>Seton Hall</t>
  </si>
  <si>
    <t>Xavier Tillman Sr.</t>
  </si>
  <si>
    <t>Vit Krejci</t>
  </si>
  <si>
    <t>Tre Jones</t>
  </si>
  <si>
    <t>Duke</t>
  </si>
  <si>
    <t>Nick Richards</t>
  </si>
  <si>
    <t>Kentucky</t>
  </si>
  <si>
    <t>KJ Martin</t>
  </si>
  <si>
    <t>Paul Reed</t>
  </si>
  <si>
    <t>DePaul</t>
  </si>
  <si>
    <t>Sam Merrill</t>
  </si>
  <si>
    <t>Cody Martin</t>
  </si>
  <si>
    <t>ORL</t>
  </si>
  <si>
    <t>Talen Horton-Tucker</t>
  </si>
  <si>
    <t>Terance Mann</t>
  </si>
  <si>
    <t>Florida State</t>
  </si>
  <si>
    <t>Jevon Carter</t>
  </si>
  <si>
    <t>ATL</t>
  </si>
  <si>
    <t>Devonte' Graham</t>
  </si>
  <si>
    <t>Gary Trent Jr.</t>
  </si>
  <si>
    <t>Jarred Vanderbilt</t>
  </si>
  <si>
    <t>Shake Milton</t>
  </si>
  <si>
    <t>SMU</t>
  </si>
  <si>
    <t>BOS</t>
  </si>
  <si>
    <t>Semi Ojeleye</t>
  </si>
  <si>
    <t>Jordan Bell</t>
  </si>
  <si>
    <t>UTA</t>
  </si>
  <si>
    <t>Thomas Bryant</t>
  </si>
  <si>
    <t>Indiana</t>
  </si>
  <si>
    <t>Cedi Osman</t>
  </si>
  <si>
    <t>Willy Hernangómez</t>
  </si>
  <si>
    <t>Glenn Robinson III</t>
  </si>
  <si>
    <t>Allen Crabbe</t>
  </si>
  <si>
    <t>California</t>
  </si>
  <si>
    <t>Mike Muscala</t>
  </si>
  <si>
    <t>Bucknell</t>
  </si>
  <si>
    <t>Raul Neto</t>
  </si>
  <si>
    <t>James Ennis III</t>
  </si>
  <si>
    <t>Cal State Long Beach</t>
  </si>
  <si>
    <t>Tomáš Satoranský</t>
  </si>
  <si>
    <t>Quincy Acy</t>
  </si>
  <si>
    <t>Baylor</t>
  </si>
  <si>
    <t>Mike Scott</t>
  </si>
  <si>
    <t>Kyle O'Quinn</t>
  </si>
  <si>
    <t>Norfolk State</t>
  </si>
  <si>
    <t>Shelvin Mack</t>
  </si>
  <si>
    <t>Butler</t>
  </si>
  <si>
    <t>Dāvis Bertāns</t>
  </si>
  <si>
    <t>E'Twaun Moore</t>
  </si>
  <si>
    <t>Landry Fields</t>
  </si>
  <si>
    <t>Dante Cunningham</t>
  </si>
  <si>
    <t>DeJuan Blair</t>
  </si>
  <si>
    <t>Pitt</t>
  </si>
  <si>
    <t>Jonas Jerebko</t>
  </si>
  <si>
    <t>Jodie Meeks</t>
  </si>
  <si>
    <t>Marcus Thornton</t>
  </si>
  <si>
    <t>Chase Budinger</t>
  </si>
  <si>
    <t>Arizona</t>
  </si>
  <si>
    <t>Ömer Aşık</t>
  </si>
  <si>
    <t>Josh McRoberts</t>
  </si>
  <si>
    <t>NBA Salary Cap Levels</t>
  </si>
  <si>
    <t>2024-25</t>
  </si>
  <si>
    <t>2025-26</t>
  </si>
  <si>
    <t>Cap</t>
  </si>
  <si>
    <t>2026-27</t>
  </si>
  <si>
    <t>2027-28</t>
  </si>
  <si>
    <t>2028-29</t>
  </si>
  <si>
    <t>1st and 2nd apron cans and cants</t>
  </si>
  <si>
    <t>Level</t>
  </si>
  <si>
    <t>$</t>
  </si>
  <si>
    <t>Per Player</t>
  </si>
  <si>
    <t>Exceptions</t>
  </si>
  <si>
    <t>% Cap</t>
  </si>
  <si>
    <t>Stipulations</t>
  </si>
  <si>
    <t>Transaction</t>
  </si>
  <si>
    <t>1st Apron Teams</t>
  </si>
  <si>
    <t>2nd Apron Teams</t>
  </si>
  <si>
    <t>MAX CONTRACTS (same scale for extensions I believe)</t>
  </si>
  <si>
    <t>Minimum Salary</t>
  </si>
  <si>
    <t>Room MLE</t>
  </si>
  <si>
    <t>3 year maximum</t>
  </si>
  <si>
    <t>Acquire player via Sign and Trade</t>
  </si>
  <si>
    <t>Cap Space Level</t>
  </si>
  <si>
    <t>Non-Taxpayer Mid Level Exception</t>
  </si>
  <si>
    <t>Access to TPMLE</t>
  </si>
  <si>
    <t>Distinction</t>
  </si>
  <si>
    <t>% of cap</t>
  </si>
  <si>
    <t>Prior Team Only?</t>
  </si>
  <si>
    <t>Higher Max Criteria Needed?</t>
  </si>
  <si>
    <t>Luxury Tax</t>
  </si>
  <si>
    <t>Taxpayer Mid Level Exception</t>
  </si>
  <si>
    <t>Send out cash in trades</t>
  </si>
  <si>
    <t>under 7 years no honors</t>
  </si>
  <si>
    <t>No</t>
  </si>
  <si>
    <t>1st Tax Apron</t>
  </si>
  <si>
    <t>Take back more money in trades</t>
  </si>
  <si>
    <t>under 7 years w honors*</t>
  </si>
  <si>
    <t>Yes</t>
  </si>
  <si>
    <t>2nd Tax Apron</t>
  </si>
  <si>
    <t>Aggregate contracts sent in a trade</t>
  </si>
  <si>
    <t>7-10 years</t>
  </si>
  <si>
    <t>NTPMLE</t>
  </si>
  <si>
    <t>Use TPE generated in a prior year</t>
  </si>
  <si>
    <t>8-9 years w rights**</t>
  </si>
  <si>
    <t>TPMLE</t>
  </si>
  <si>
    <t>Use a TPE created in a new trade</t>
  </si>
  <si>
    <t>10 or more years</t>
  </si>
  <si>
    <t>Use a TPE created from a Sign and Trade</t>
  </si>
  <si>
    <t>for the max number, you take the higher of the % of the cap or 105% of their previous salary</t>
  </si>
  <si>
    <t xml:space="preserve">*(mvp past 3 years OR dpoy/all nba last year OR dpoy/all nba 2 of the past 3 years) </t>
  </si>
  <si>
    <t>**(contract signed in 8th or 9th year and it’s the team the player first signed their contract with OR the team that they switched to within 4 years of signing their first contract)</t>
  </si>
  <si>
    <t>BAE</t>
  </si>
  <si>
    <t>Sign waived player that had a pre-waiver salary of greater than the NTPMLE</t>
  </si>
  <si>
    <t>Notes</t>
  </si>
  <si>
    <r>
      <rPr>
        <b/>
        <sz val="12"/>
        <color theme="1"/>
        <rFont val="Arial"/>
        <family val="2"/>
      </rPr>
      <t>Between Cap and Tax:</t>
    </r>
    <r>
      <rPr>
        <sz val="12"/>
        <color theme="1"/>
        <rFont val="Arial"/>
        <family val="2"/>
      </rPr>
      <t xml:space="preserve"> In the positive zone of the salary cap. In this zone a team has access to the Non-Tax Midlevel exception and the bi-annual exception. The non-tax midlevel exception in 2024-25 is $12.8M and the bi-annual exception is $4.7M. Most NBA Teams are in this space.</t>
    </r>
  </si>
  <si>
    <r>
      <rPr>
        <b/>
        <sz val="12"/>
        <color theme="1"/>
        <rFont val="Arial"/>
        <family val="2"/>
      </rPr>
      <t>Between Tax and 1st Apron:</t>
    </r>
    <r>
      <rPr>
        <sz val="12"/>
        <color theme="1"/>
        <rFont val="Arial"/>
        <family val="2"/>
      </rPr>
      <t xml:space="preserve"> Still in the positive, but very close to the 1st Apron Hard Cap: Teams are hard capped if they do a sign and trade, use their non-tax mle, or use their bi-annual exception (BIE). Hard cap means a team cannot cross the 1st apron if it is triggered. There’s also triggers to be hard capped at the 2nd apron. Ex. Mavs completed a sign and trade for Klay Thompson and can’t exceed the 1st apron.</t>
    </r>
  </si>
  <si>
    <r>
      <rPr>
        <b/>
        <sz val="12"/>
        <color theme="1"/>
        <rFont val="Arial"/>
        <family val="2"/>
      </rPr>
      <t xml:space="preserve">1st Apron: </t>
    </r>
    <r>
      <rPr>
        <sz val="12"/>
        <color theme="1"/>
        <rFont val="Arial"/>
        <family val="2"/>
      </rPr>
      <t>This is the beginning of what I call the negative zone. Team only has access to the Tax Midlevel exception to sign free agents. The tax midlevel exception is $5.2M in 2024-25, and goes against the tax.</t>
    </r>
  </si>
  <si>
    <r>
      <rPr>
        <b/>
        <sz val="12"/>
        <color theme="1"/>
        <rFont val="Arial"/>
        <family val="2"/>
      </rPr>
      <t xml:space="preserve">2nd Tax Apron: </t>
    </r>
    <r>
      <rPr>
        <sz val="12"/>
        <color theme="1"/>
        <rFont val="Arial"/>
        <family val="2"/>
      </rPr>
      <t xml:space="preserve"> Only owners with money to burn will be in this spot. Some penalties for being in this zone are:
-Can't trade cash
-Can’t use the tax MLE ($5.2M)
-Can’t trade 1st round picks 7 years away
-Can’t use a trade exception from a year ago
-Can’t sign player bought out during the season
-Can’t acquire a combination of players or a player with higher incoming salary than the players outgoing
-Can’t aggregate salaries in trades
</t>
    </r>
  </si>
  <si>
    <t>Per player averages are done by diving by 14, as there are 14 players per roster.</t>
  </si>
  <si>
    <t>rf = 5%</t>
  </si>
  <si>
    <t>Bird (+8%)</t>
  </si>
  <si>
    <t>Total cap hit</t>
  </si>
  <si>
    <t>PV</t>
  </si>
  <si>
    <t>Front (-5%)</t>
  </si>
  <si>
    <t>Total % hit</t>
  </si>
  <si>
    <t>Rk</t>
  </si>
  <si>
    <t>Zaccharie Risacher</t>
  </si>
  <si>
    <t>REALISTIC PROJECTION GUIDE</t>
  </si>
  <si>
    <t>Alex Sarr</t>
  </si>
  <si>
    <t>All-NBA</t>
  </si>
  <si>
    <t>Reed Sheppard</t>
  </si>
  <si>
    <t>All-Star</t>
  </si>
  <si>
    <t>Stephon Castle</t>
  </si>
  <si>
    <t>UConn</t>
  </si>
  <si>
    <t>Ron Holland</t>
  </si>
  <si>
    <t>Low Level Starter</t>
  </si>
  <si>
    <t>Tidjane Salaün</t>
  </si>
  <si>
    <t>Contributor</t>
  </si>
  <si>
    <t>Donovan Clingan</t>
  </si>
  <si>
    <t>Prospect</t>
  </si>
  <si>
    <t>Rob Dillingham</t>
  </si>
  <si>
    <t>Prospect Jr</t>
  </si>
  <si>
    <t>Zach Edey</t>
  </si>
  <si>
    <t>Cody Williams</t>
  </si>
  <si>
    <t>Matas Buzelis</t>
  </si>
  <si>
    <t>Nikola Topić</t>
  </si>
  <si>
    <t>Devin Carter</t>
  </si>
  <si>
    <t>Providence</t>
  </si>
  <si>
    <t>Carlton Carrington</t>
  </si>
  <si>
    <t>Kel'el Ware</t>
  </si>
  <si>
    <t>Jared McCain</t>
  </si>
  <si>
    <t>Dalton Knecht</t>
  </si>
  <si>
    <t>Tristan Da Silva</t>
  </si>
  <si>
    <t>Ja'Kobe Walter</t>
  </si>
  <si>
    <t>Jaylon Tyson</t>
  </si>
  <si>
    <t>Yves Missi</t>
  </si>
  <si>
    <t>PHO</t>
  </si>
  <si>
    <t>DaRon Holmes</t>
  </si>
  <si>
    <t>Dayton</t>
  </si>
  <si>
    <t>AJ Johnson</t>
  </si>
  <si>
    <t>Kyshawn George</t>
  </si>
  <si>
    <t>Pacome Dadiet</t>
  </si>
  <si>
    <t>Dillon Jones</t>
  </si>
  <si>
    <t>Weber State</t>
  </si>
  <si>
    <t>Terrence Shannon Jr.</t>
  </si>
  <si>
    <t>Ryan Dunn</t>
  </si>
  <si>
    <t>Isaiah Collier</t>
  </si>
  <si>
    <t>Baylor Scheierman</t>
  </si>
  <si>
    <t>Creighton</t>
  </si>
  <si>
    <t>Jonathan Mogbo</t>
  </si>
  <si>
    <t>San Francisco</t>
  </si>
  <si>
    <t>Kyle Filipowski</t>
  </si>
  <si>
    <t>Tyler Smith</t>
  </si>
  <si>
    <t>Tyler Kolek</t>
  </si>
  <si>
    <t>Johnny Furphy</t>
  </si>
  <si>
    <t>Juan Nunez</t>
  </si>
  <si>
    <t>Bobi Klintman</t>
  </si>
  <si>
    <t>Ajay Mitchell</t>
  </si>
  <si>
    <t>UC Santa Barbara</t>
  </si>
  <si>
    <t>Jaylen Wells</t>
  </si>
  <si>
    <t>Washington State</t>
  </si>
  <si>
    <t>Oso Ighodaro</t>
  </si>
  <si>
    <t>Adem Bona</t>
  </si>
  <si>
    <t>KJ Simpson</t>
  </si>
  <si>
    <t>Nikola Djurisic</t>
  </si>
  <si>
    <t>Pelle Larsson</t>
  </si>
  <si>
    <t>Jamal Shead</t>
  </si>
  <si>
    <t>Houston</t>
  </si>
  <si>
    <t>Cam Christie</t>
  </si>
  <si>
    <t>Minnesota</t>
  </si>
  <si>
    <t>Antonio Reeves</t>
  </si>
  <si>
    <t>Harrison Ingram</t>
  </si>
  <si>
    <t>Tristen Newton</t>
  </si>
  <si>
    <t>Enrique Freeman</t>
  </si>
  <si>
    <t>University of Akron</t>
  </si>
  <si>
    <t>Melvin Ajinça</t>
  </si>
  <si>
    <t>Quinten Post</t>
  </si>
  <si>
    <t>Boston College</t>
  </si>
  <si>
    <t>Cam Spencer</t>
  </si>
  <si>
    <t>Anton Watson</t>
  </si>
  <si>
    <t>Bronny James</t>
  </si>
  <si>
    <t>Kevin McCullar Jr.</t>
  </si>
  <si>
    <t>Ulrich Chomche</t>
  </si>
  <si>
    <t>Ariel Hukporti</t>
  </si>
  <si>
    <t>vorp per year</t>
  </si>
  <si>
    <t>Victor Wembanyama</t>
  </si>
  <si>
    <t>Brandon Miller</t>
  </si>
  <si>
    <t>Scoot Henderson</t>
  </si>
  <si>
    <t>Amen Thompson</t>
  </si>
  <si>
    <t>Ausar Thompson</t>
  </si>
  <si>
    <t>Anthony Black</t>
  </si>
  <si>
    <t>Bilal Coulibaly</t>
  </si>
  <si>
    <t>Jarace Walker</t>
  </si>
  <si>
    <t>Taylor Hendricks</t>
  </si>
  <si>
    <t>Central Florida</t>
  </si>
  <si>
    <t>Cason Wallace</t>
  </si>
  <si>
    <t>Jett Howard</t>
  </si>
  <si>
    <t>Dereck Lively II</t>
  </si>
  <si>
    <t>Gradey Dick</t>
  </si>
  <si>
    <t>Jordan Hawkins</t>
  </si>
  <si>
    <t>Kobe Bufkin</t>
  </si>
  <si>
    <t>Keyonte George</t>
  </si>
  <si>
    <t>Jalen Hood-Schifino</t>
  </si>
  <si>
    <t>Jaime Jaquez Jr.</t>
  </si>
  <si>
    <t>Brandin Podziemski</t>
  </si>
  <si>
    <t>Santa Clara</t>
  </si>
  <si>
    <t>Cam Whitmore</t>
  </si>
  <si>
    <t>Noah Clowney</t>
  </si>
  <si>
    <t>Dariq Whitehead</t>
  </si>
  <si>
    <t>Kris Murray</t>
  </si>
  <si>
    <t>Iowa</t>
  </si>
  <si>
    <t>Olivier-Maxence Prosper</t>
  </si>
  <si>
    <t>Marcus Sasser</t>
  </si>
  <si>
    <t>Ben Sheppard</t>
  </si>
  <si>
    <t>Belmont</t>
  </si>
  <si>
    <t>Nick Smith Jr.</t>
  </si>
  <si>
    <t>Brice Sensabaugh</t>
  </si>
  <si>
    <t>Ohio State</t>
  </si>
  <si>
    <t>Julian Strawther</t>
  </si>
  <si>
    <t>Kobe Brown</t>
  </si>
  <si>
    <t>James Nnaji</t>
  </si>
  <si>
    <t>Jalen Pickett</t>
  </si>
  <si>
    <t>Penn State</t>
  </si>
  <si>
    <t>Leonard Miller</t>
  </si>
  <si>
    <t>Colby Jones</t>
  </si>
  <si>
    <t>Xavier</t>
  </si>
  <si>
    <t>Julian Phillips</t>
  </si>
  <si>
    <t>Andre Jackson Jr.</t>
  </si>
  <si>
    <t>Hunter Tyson</t>
  </si>
  <si>
    <t>Clemson</t>
  </si>
  <si>
    <t>Jordan Walsh</t>
  </si>
  <si>
    <t>Mouhamed Gueye</t>
  </si>
  <si>
    <t>Maxwell Lewis</t>
  </si>
  <si>
    <t>Amari Bailey</t>
  </si>
  <si>
    <t>Tristan Vukcevic</t>
  </si>
  <si>
    <t>Rayan Rupert</t>
  </si>
  <si>
    <t>Sidy Cissoko</t>
  </si>
  <si>
    <t>GG Jackson II</t>
  </si>
  <si>
    <t>South Carolina</t>
  </si>
  <si>
    <t>Seth Lundy</t>
  </si>
  <si>
    <t>Mojave King</t>
  </si>
  <si>
    <t>Jordan Miller</t>
  </si>
  <si>
    <t>Emoni Bates</t>
  </si>
  <si>
    <t>Eastern Michigan</t>
  </si>
  <si>
    <t>Keyontae Johnson</t>
  </si>
  <si>
    <t>Kansas State</t>
  </si>
  <si>
    <t>Jalen Wilson</t>
  </si>
  <si>
    <t>Toumani Camara</t>
  </si>
  <si>
    <t>Jaylen Clark</t>
  </si>
  <si>
    <t>Jalen Slawson</t>
  </si>
  <si>
    <t>Furman University</t>
  </si>
  <si>
    <t>Isaiah Wong</t>
  </si>
  <si>
    <t>Tarik Biberovic</t>
  </si>
  <si>
    <t>Trayce Jackson-Davis</t>
  </si>
  <si>
    <t>Chris Livingston</t>
  </si>
  <si>
    <t>Paolo Banchero</t>
  </si>
  <si>
    <t>Chet Holmgren</t>
  </si>
  <si>
    <t>Jabari Smith Jr.</t>
  </si>
  <si>
    <t>Auburn</t>
  </si>
  <si>
    <t>Keegan Murray</t>
  </si>
  <si>
    <t>Jaden Ivey</t>
  </si>
  <si>
    <t>Bennedict Mathurin</t>
  </si>
  <si>
    <t>Shaedon Sharpe</t>
  </si>
  <si>
    <t>Dyson Daniels</t>
  </si>
  <si>
    <t>Jeremy Sochan</t>
  </si>
  <si>
    <t>Johnny Davis</t>
  </si>
  <si>
    <t>Wisconsin</t>
  </si>
  <si>
    <t>Ousmane Dieng</t>
  </si>
  <si>
    <t>Jalen Williams</t>
  </si>
  <si>
    <t>Jalen Duren</t>
  </si>
  <si>
    <t>Ochai Agbaji</t>
  </si>
  <si>
    <t>Mark Williams</t>
  </si>
  <si>
    <t>AJ Griffin</t>
  </si>
  <si>
    <t>Tari Eason</t>
  </si>
  <si>
    <t>Dalen Terry</t>
  </si>
  <si>
    <t>Jake LaRavia</t>
  </si>
  <si>
    <t>Wake Forest</t>
  </si>
  <si>
    <t>Malaki Branham</t>
  </si>
  <si>
    <t>Christian Braun</t>
  </si>
  <si>
    <t>Walker Kessler</t>
  </si>
  <si>
    <t>David Roddy</t>
  </si>
  <si>
    <t>Colorado State</t>
  </si>
  <si>
    <t>MarJon Beauchamp</t>
  </si>
  <si>
    <t>Blake Wesley</t>
  </si>
  <si>
    <t>Wendell Moore Jr.</t>
  </si>
  <si>
    <t>Nikola Jović</t>
  </si>
  <si>
    <t>Patrick Baldwin Jr.</t>
  </si>
  <si>
    <t>UW-Milwaukee</t>
  </si>
  <si>
    <t>TyTy Washington Jr.</t>
  </si>
  <si>
    <t>Peyton Watson</t>
  </si>
  <si>
    <t>Caleb Houstan</t>
  </si>
  <si>
    <t>Christian Koloko</t>
  </si>
  <si>
    <t>Gabriele Procida</t>
  </si>
  <si>
    <t>Kennedy Chandler</t>
  </si>
  <si>
    <t>Khalifa Diop</t>
  </si>
  <si>
    <t>Bryce McGowens</t>
  </si>
  <si>
    <t>E.J. Liddell</t>
  </si>
  <si>
    <t>Trevor Keels</t>
  </si>
  <si>
    <t>Ryan Rollins</t>
  </si>
  <si>
    <t>Toledo</t>
  </si>
  <si>
    <t>Josh Minott</t>
  </si>
  <si>
    <t>Ismael Kamagate</t>
  </si>
  <si>
    <t>Kendall Brown</t>
  </si>
  <si>
    <t>Isaiah Mobley</t>
  </si>
  <si>
    <t>Matteo Spagnolo</t>
  </si>
  <si>
    <t>Tyrese Martin</t>
  </si>
  <si>
    <t>Karlo Matković</t>
  </si>
  <si>
    <t>JD Davison</t>
  </si>
  <si>
    <t>Yannick Nzosa</t>
  </si>
  <si>
    <t>Luke Travers</t>
  </si>
  <si>
    <t>Jabari Walker</t>
  </si>
  <si>
    <t>Hugo Besson</t>
  </si>
  <si>
    <t>Team</t>
  </si>
  <si>
    <t>Pos</t>
  </si>
  <si>
    <t>UND</t>
  </si>
  <si>
    <t>Scotty Pippen Jr.</t>
  </si>
  <si>
    <t>A.J. Green</t>
  </si>
  <si>
    <t>Keon Ellis</t>
  </si>
  <si>
    <t>Julian Champagnie</t>
  </si>
  <si>
    <t>F</t>
  </si>
  <si>
    <t>DET,UTA</t>
  </si>
  <si>
    <t>Simone Fontecchio</t>
  </si>
  <si>
    <t>Johnny Juzang</t>
  </si>
  <si>
    <t>Cade Cunningham</t>
  </si>
  <si>
    <t>Oklahoma State</t>
  </si>
  <si>
    <t>Jalen Green</t>
  </si>
  <si>
    <t>Evan Mobley</t>
  </si>
  <si>
    <t>Scottie Barnes</t>
  </si>
  <si>
    <t>Jalen Suggs</t>
  </si>
  <si>
    <t>Josh Giddey</t>
  </si>
  <si>
    <t>Jonathan Kuminga</t>
  </si>
  <si>
    <t>Franz Wagner</t>
  </si>
  <si>
    <t>Davion Mitchell</t>
  </si>
  <si>
    <t>Ziaire Williams</t>
  </si>
  <si>
    <t>James Bouknight</t>
  </si>
  <si>
    <t>Joshua Primo</t>
  </si>
  <si>
    <t>Chris Duarte</t>
  </si>
  <si>
    <t>Moses Moody</t>
  </si>
  <si>
    <t>Corey Kispert</t>
  </si>
  <si>
    <t>Alperen Şengün</t>
  </si>
  <si>
    <t>Trey Murphy III</t>
  </si>
  <si>
    <t>Tre Mann</t>
  </si>
  <si>
    <t>Kai Jones</t>
  </si>
  <si>
    <t>Texas</t>
  </si>
  <si>
    <t>Jalen Johnson</t>
  </si>
  <si>
    <t>Keon Johnson</t>
  </si>
  <si>
    <t>Isaiah Jackson</t>
  </si>
  <si>
    <t>Usman Garuba</t>
  </si>
  <si>
    <t>Josh Christopher</t>
  </si>
  <si>
    <t>Arizona State</t>
  </si>
  <si>
    <t>Quentin Grimes</t>
  </si>
  <si>
    <t>Bones Hyland</t>
  </si>
  <si>
    <t>Cam Thomas</t>
  </si>
  <si>
    <t>Jaden Springer</t>
  </si>
  <si>
    <t>Day'Ron Sharpe</t>
  </si>
  <si>
    <t>Santi Aldama</t>
  </si>
  <si>
    <t>Loyola (MD)</t>
  </si>
  <si>
    <t>Isaiah Todd</t>
  </si>
  <si>
    <t>Jason Preston</t>
  </si>
  <si>
    <t>Ohio University</t>
  </si>
  <si>
    <t>Rokas Jokubaitis</t>
  </si>
  <si>
    <t>JT Thor</t>
  </si>
  <si>
    <t>Jared Butler</t>
  </si>
  <si>
    <t>Joe Wieskamp</t>
  </si>
  <si>
    <t>Isaiah Livers</t>
  </si>
  <si>
    <t>Greg Brown III</t>
  </si>
  <si>
    <t>Juhann Begarin</t>
  </si>
  <si>
    <t>David Johnson</t>
  </si>
  <si>
    <t>Sharife Cooper</t>
  </si>
  <si>
    <t>Marcus Zegarowski</t>
  </si>
  <si>
    <t>Filip Petrušev</t>
  </si>
  <si>
    <t>Brandon Boston Jr.</t>
  </si>
  <si>
    <t>Luka Garza</t>
  </si>
  <si>
    <t>Charles Bassey</t>
  </si>
  <si>
    <t>Western Kentucky</t>
  </si>
  <si>
    <t>Scottie Lewis</t>
  </si>
  <si>
    <t>Balša Koprivica</t>
  </si>
  <si>
    <t>Jericho Sims</t>
  </si>
  <si>
    <t>RaiQuan Gray</t>
  </si>
  <si>
    <t>Georgios Kalaitzakis</t>
  </si>
  <si>
    <t>Austin Reaves</t>
  </si>
  <si>
    <t>Sam Hauser</t>
  </si>
  <si>
    <t>Jock Landale</t>
  </si>
  <si>
    <t>C</t>
  </si>
  <si>
    <t>Justin Champagnie</t>
  </si>
  <si>
    <t>Jordan Goodwin</t>
  </si>
  <si>
    <t>Jose Alvarado</t>
  </si>
  <si>
    <t>Trendon Watford</t>
  </si>
  <si>
    <t>Ish Wainright</t>
  </si>
  <si>
    <t>Duane Washington Jr.</t>
  </si>
  <si>
    <t>Daishen Nix</t>
  </si>
  <si>
    <t>Anthony Edwards</t>
  </si>
  <si>
    <t>James Wiseman</t>
  </si>
  <si>
    <t>LaMelo Ball</t>
  </si>
  <si>
    <t>Patrick Williams</t>
  </si>
  <si>
    <t>Isaac Okoro</t>
  </si>
  <si>
    <t>Onyeka Okongwu</t>
  </si>
  <si>
    <t>Killian Hayes</t>
  </si>
  <si>
    <t>Obi Toppin</t>
  </si>
  <si>
    <t>Deni Avdija</t>
  </si>
  <si>
    <t>Jalen Smith</t>
  </si>
  <si>
    <t>Devin Vassell</t>
  </si>
  <si>
    <t>Tyrese Haliburton</t>
  </si>
  <si>
    <t>Kira Lewis Jr.</t>
  </si>
  <si>
    <t>Aaron Nesmith</t>
  </si>
  <si>
    <t>Vanderbilt</t>
  </si>
  <si>
    <t>Cole Anthony</t>
  </si>
  <si>
    <t>Isaiah Stewart</t>
  </si>
  <si>
    <t>Aleksej Pokusevski</t>
  </si>
  <si>
    <t>Josh Green</t>
  </si>
  <si>
    <t>Saddiq Bey</t>
  </si>
  <si>
    <t>Precious Achiuwa</t>
  </si>
  <si>
    <t>Tyrese Maxey</t>
  </si>
  <si>
    <t>Zeke Nnaji</t>
  </si>
  <si>
    <t>Leandro Bolmaro</t>
  </si>
  <si>
    <t>R.J. Hampton</t>
  </si>
  <si>
    <t>Immanuel Quickley</t>
  </si>
  <si>
    <t>Payton Pritchard</t>
  </si>
  <si>
    <t>Udoka Azubuike</t>
  </si>
  <si>
    <t>Jaden McDaniels</t>
  </si>
  <si>
    <t>Malachi Flynn</t>
  </si>
  <si>
    <t>San Diego State</t>
  </si>
  <si>
    <t>Desmond Bane</t>
  </si>
  <si>
    <t>TCU</t>
  </si>
  <si>
    <t>Tyrell Terry</t>
  </si>
  <si>
    <t>Vernon Carey Jr.</t>
  </si>
  <si>
    <t>Daniel Oturu</t>
  </si>
  <si>
    <t>Théo Maledon</t>
  </si>
  <si>
    <t>Tyler Bey</t>
  </si>
  <si>
    <t>Saben Lee</t>
  </si>
  <si>
    <t>Elijah Hughes</t>
  </si>
  <si>
    <t>Robert Woodard II</t>
  </si>
  <si>
    <t>Mississippi State</t>
  </si>
  <si>
    <t>Jahmi'us Ramsey</t>
  </si>
  <si>
    <t>Texas Tech</t>
  </si>
  <si>
    <t>Marko Simonovic</t>
  </si>
  <si>
    <t>Jordan Nwora</t>
  </si>
  <si>
    <t>CJ Elleby</t>
  </si>
  <si>
    <t>Yam Madar</t>
  </si>
  <si>
    <t>Nico Mannion</t>
  </si>
  <si>
    <t>Skylar Mays</t>
  </si>
  <si>
    <t>Justinian Jessup</t>
  </si>
  <si>
    <t>Boise State</t>
  </si>
  <si>
    <t>Cassius Winston</t>
  </si>
  <si>
    <t>Cassius Stanley</t>
  </si>
  <si>
    <t>Jay Scrubb</t>
  </si>
  <si>
    <t>John A. Logan College</t>
  </si>
  <si>
    <t>Grant Riller</t>
  </si>
  <si>
    <t>College of Charleston</t>
  </si>
  <si>
    <t>Reggie Perry</t>
  </si>
  <si>
    <t>Jalen Harris</t>
  </si>
  <si>
    <t>Jae'Sean Tate</t>
  </si>
  <si>
    <t>Naji Marshall</t>
  </si>
  <si>
    <t>Facundo Campazzo</t>
  </si>
  <si>
    <t>Anthony Lamb</t>
  </si>
  <si>
    <t>Zion Williamson</t>
  </si>
  <si>
    <t>Ja Morant</t>
  </si>
  <si>
    <t>Murray State</t>
  </si>
  <si>
    <t>RJ Barrett</t>
  </si>
  <si>
    <t>De'Andre Hunter</t>
  </si>
  <si>
    <t>Darius Garland</t>
  </si>
  <si>
    <t>Jarrett Culver</t>
  </si>
  <si>
    <t>Coby White</t>
  </si>
  <si>
    <t>Jaxson Hayes</t>
  </si>
  <si>
    <t>Rui Hachimura</t>
  </si>
  <si>
    <t>Cam Reddish</t>
  </si>
  <si>
    <t>Cameron Johnson</t>
  </si>
  <si>
    <t>P.J. Washington</t>
  </si>
  <si>
    <t>Tyler Herro</t>
  </si>
  <si>
    <t>Romeo Langford</t>
  </si>
  <si>
    <t>Sekou Doumbouya</t>
  </si>
  <si>
    <t>Chuma Okeke</t>
  </si>
  <si>
    <t>Nickeil Alexander-Walker</t>
  </si>
  <si>
    <t>Virginia Tech</t>
  </si>
  <si>
    <t>Goga Bitadze</t>
  </si>
  <si>
    <t>Luka Šamanić</t>
  </si>
  <si>
    <t>Matisse Thybulle</t>
  </si>
  <si>
    <t>Brandon Clarke</t>
  </si>
  <si>
    <t>Grant Williams</t>
  </si>
  <si>
    <t>Darius Bazley</t>
  </si>
  <si>
    <t>Ty Jerome</t>
  </si>
  <si>
    <t>Nassir Little</t>
  </si>
  <si>
    <t>Dylan Windler</t>
  </si>
  <si>
    <t>Mfiondu Kabengele</t>
  </si>
  <si>
    <t>Jordan Poole</t>
  </si>
  <si>
    <t>Keldon Johnson</t>
  </si>
  <si>
    <t>Kevin Porter Jr.</t>
  </si>
  <si>
    <t>KZ Okpala</t>
  </si>
  <si>
    <t>Carsen Edwards</t>
  </si>
  <si>
    <t>Bruno Fernando</t>
  </si>
  <si>
    <t>Didi Louzada</t>
  </si>
  <si>
    <t>Low Level Player</t>
  </si>
  <si>
    <t>Deividas Sirvydis</t>
  </si>
  <si>
    <t>Bums</t>
  </si>
  <si>
    <t>Alen Smailagić</t>
  </si>
  <si>
    <t>Justin James</t>
  </si>
  <si>
    <t>Wyoming</t>
  </si>
  <si>
    <t>Eric Paschall</t>
  </si>
  <si>
    <t>Admiral Schofield</t>
  </si>
  <si>
    <t>Jaylen Nowell</t>
  </si>
  <si>
    <t>Bol Bol</t>
  </si>
  <si>
    <t>Isaiah Roby</t>
  </si>
  <si>
    <t>Ignas Brazdeikis</t>
  </si>
  <si>
    <t>Quinndary Weatherspoon</t>
  </si>
  <si>
    <t>Jarrell Brantley</t>
  </si>
  <si>
    <t>Tremont Waters</t>
  </si>
  <si>
    <t>Jalen McDaniels</t>
  </si>
  <si>
    <t>Justin Wright-Foreman</t>
  </si>
  <si>
    <t>Hofstra</t>
  </si>
  <si>
    <t>Marial Shayok</t>
  </si>
  <si>
    <t>Kyle Guy</t>
  </si>
  <si>
    <t>Jaylen Hands</t>
  </si>
  <si>
    <t>Jordan Bone</t>
  </si>
  <si>
    <t>Miye Oni</t>
  </si>
  <si>
    <t>Yale</t>
  </si>
  <si>
    <t>Dewan Hernandez</t>
  </si>
  <si>
    <t>Vanja Marinković</t>
  </si>
  <si>
    <t>Luguentz Dort</t>
  </si>
  <si>
    <t>Naz Reid</t>
  </si>
  <si>
    <t>Javonte Green</t>
  </si>
  <si>
    <t>John Konchar</t>
  </si>
  <si>
    <t>Amir Coffey</t>
  </si>
  <si>
    <t>Caleb Martin</t>
  </si>
  <si>
    <t>Max Strus</t>
  </si>
  <si>
    <t>Terence Davis</t>
  </si>
  <si>
    <t>Juan Toscano-Anderson</t>
  </si>
  <si>
    <t>Kendrick Nunn</t>
  </si>
  <si>
    <t>Wenyen Gabriel</t>
  </si>
  <si>
    <t>Dean Wade</t>
  </si>
  <si>
    <t>Garrison Mathews</t>
  </si>
  <si>
    <t>Moses Brown</t>
  </si>
  <si>
    <t>Gabe Vincent</t>
  </si>
  <si>
    <t>Jordan McLaughlin</t>
  </si>
  <si>
    <t>Oshae Brissett</t>
  </si>
  <si>
    <t>DaQuan Jeffries</t>
  </si>
  <si>
    <t>G-F</t>
  </si>
  <si>
    <t>Deandre Ayton</t>
  </si>
  <si>
    <t>Marvin Bagley III</t>
  </si>
  <si>
    <t>Luka Dončić</t>
  </si>
  <si>
    <t>Jaren Jackson Jr.</t>
  </si>
  <si>
    <t>Trae Young</t>
  </si>
  <si>
    <t>Oklahoma</t>
  </si>
  <si>
    <t>Mo Bamba</t>
  </si>
  <si>
    <t>Wendell Carter Jr.</t>
  </si>
  <si>
    <t>Collin Sexton</t>
  </si>
  <si>
    <t>Kevin Knox</t>
  </si>
  <si>
    <t>Mikal Bridges</t>
  </si>
  <si>
    <t>Shai Gilgeous-Alexander</t>
  </si>
  <si>
    <t>Miles Bridges</t>
  </si>
  <si>
    <t>Jerome Robinson</t>
  </si>
  <si>
    <t>Michael Porter Jr.</t>
  </si>
  <si>
    <t>Troy Brown Jr.</t>
  </si>
  <si>
    <t>Zhaire Smith</t>
  </si>
  <si>
    <t>Donte DiVincenzo</t>
  </si>
  <si>
    <t>Lonnie Walker IV</t>
  </si>
  <si>
    <t>Kevin Huerter</t>
  </si>
  <si>
    <t>Josh Okogie</t>
  </si>
  <si>
    <t>Georgia Tech</t>
  </si>
  <si>
    <t>Grayson Allen</t>
  </si>
  <si>
    <t>Chandler Hutchison</t>
  </si>
  <si>
    <t>Aaron Holiday</t>
  </si>
  <si>
    <t>Anfernee Simons</t>
  </si>
  <si>
    <t>Moritz Wagner</t>
  </si>
  <si>
    <t>Landry Shamet</t>
  </si>
  <si>
    <t>Wichita State</t>
  </si>
  <si>
    <t>Robert Williams</t>
  </si>
  <si>
    <t>Jacob Evans</t>
  </si>
  <si>
    <t>Džanan Musa</t>
  </si>
  <si>
    <t>Omari Spellman</t>
  </si>
  <si>
    <t>Elie Okobo</t>
  </si>
  <si>
    <t>Superstar</t>
  </si>
  <si>
    <t>All Star Lev3el</t>
  </si>
  <si>
    <t>Melvin Frazier</t>
  </si>
  <si>
    <t>Tulane</t>
  </si>
  <si>
    <t>Khyri Thomas</t>
  </si>
  <si>
    <t>Isaac Bonga</t>
  </si>
  <si>
    <t>Rodions Kurucs</t>
  </si>
  <si>
    <t>Justin Jackson</t>
  </si>
  <si>
    <t>Issuf Sanon</t>
  </si>
  <si>
    <t>Hamidou Diallo</t>
  </si>
  <si>
    <t>Svi Mykhailiuk</t>
  </si>
  <si>
    <t>Keita Bates-Diop</t>
  </si>
  <si>
    <t>Chimezie Metu</t>
  </si>
  <si>
    <t>Alize Johnson</t>
  </si>
  <si>
    <t>Missouri State</t>
  </si>
  <si>
    <t>Tony Carr</t>
  </si>
  <si>
    <t>Vince Edwards</t>
  </si>
  <si>
    <t>Devon Hall</t>
  </si>
  <si>
    <t>Arnoldas Kulboka</t>
  </si>
  <si>
    <t>Ray Spalding</t>
  </si>
  <si>
    <t>Kevin Hervey</t>
  </si>
  <si>
    <t>UT Arlington</t>
  </si>
  <si>
    <t>Thomas Welsh</t>
  </si>
  <si>
    <t>George King</t>
  </si>
  <si>
    <t>Kostas Antetokounmpo</t>
  </si>
  <si>
    <t>Duncan Robinson</t>
  </si>
  <si>
    <t>Drew Eubanks</t>
  </si>
  <si>
    <t>Brad Wanamaker</t>
  </si>
  <si>
    <t>Kenrich Williams</t>
  </si>
  <si>
    <t>Haywood Highsmith</t>
  </si>
  <si>
    <t>Yuta Watanabe</t>
  </si>
  <si>
    <t>Allonzo Trier</t>
  </si>
  <si>
    <t>Markelle Fultz</t>
  </si>
  <si>
    <t>Lonzo Ball</t>
  </si>
  <si>
    <t>Jayson Tatum</t>
  </si>
  <si>
    <t>Josh Jackson</t>
  </si>
  <si>
    <t>De'Aaron Fox</t>
  </si>
  <si>
    <t>Jonathan Isaac</t>
  </si>
  <si>
    <t>Lauri Markkanen</t>
  </si>
  <si>
    <t>Frank Ntilikina</t>
  </si>
  <si>
    <t>Dennis Smith Jr.</t>
  </si>
  <si>
    <t>NC State</t>
  </si>
  <si>
    <t>Zach Collins</t>
  </si>
  <si>
    <t>Malik Monk</t>
  </si>
  <si>
    <t>Luke Kennard</t>
  </si>
  <si>
    <t>Donovan Mitchell</t>
  </si>
  <si>
    <t>Bam Adebayo</t>
  </si>
  <si>
    <t>Justin Patton</t>
  </si>
  <si>
    <t>D.J. Wilson</t>
  </si>
  <si>
    <t>T.J. Leaf</t>
  </si>
  <si>
    <t>John Collins</t>
  </si>
  <si>
    <t>Harry Giles</t>
  </si>
  <si>
    <t>Terrance Ferguson</t>
  </si>
  <si>
    <t>Jarrett Allen</t>
  </si>
  <si>
    <t>OG Anunoby</t>
  </si>
  <si>
    <t>Tyler Lydon</t>
  </si>
  <si>
    <t>Anžejs Pasečņiks</t>
  </si>
  <si>
    <t>Caleb Swanigan</t>
  </si>
  <si>
    <t>Kyle Kuzma</t>
  </si>
  <si>
    <t>Utah</t>
  </si>
  <si>
    <t>Tony Bradley</t>
  </si>
  <si>
    <t>Derrick White</t>
  </si>
  <si>
    <t>Josh Hart</t>
  </si>
  <si>
    <t>Frank Jackson</t>
  </si>
  <si>
    <t>Davon Reed</t>
  </si>
  <si>
    <t>Wes Iwundu</t>
  </si>
  <si>
    <t>Frank Mason III</t>
  </si>
  <si>
    <t>Ivan Rabb</t>
  </si>
  <si>
    <t>Jonah Bolden</t>
  </si>
  <si>
    <t>Jawun Evans</t>
  </si>
  <si>
    <t>Dwayne Bacon</t>
  </si>
  <si>
    <t>Tyler Dorsey</t>
  </si>
  <si>
    <t>Damyean Dotson</t>
  </si>
  <si>
    <t>Sterling Brown</t>
  </si>
  <si>
    <t>Ike Anigbogu</t>
  </si>
  <si>
    <t>Sindarius Thornwell</t>
  </si>
  <si>
    <t>Vlatko Čančar</t>
  </si>
  <si>
    <t>Mathias Lessort</t>
  </si>
  <si>
    <t>Edmond Sumner</t>
  </si>
  <si>
    <t>Kadeem Allen</t>
  </si>
  <si>
    <t>Alec Peters</t>
  </si>
  <si>
    <t>Valparaiso</t>
  </si>
  <si>
    <t>Nigel Williams-Goss</t>
  </si>
  <si>
    <t>Jabari Bird</t>
  </si>
  <si>
    <t>Sasha Vezenkov</t>
  </si>
  <si>
    <t>Ognjen Jaramaz</t>
  </si>
  <si>
    <t>Jaron Blossomgame</t>
  </si>
  <si>
    <t>Alpha Kaba</t>
  </si>
  <si>
    <t>Luke Kornet</t>
  </si>
  <si>
    <t>C-F</t>
  </si>
  <si>
    <t>Daniel Theis</t>
  </si>
  <si>
    <t>Chris Boucher</t>
  </si>
  <si>
    <t>Royce O'Neale</t>
  </si>
  <si>
    <t>Alex Caruso</t>
  </si>
  <si>
    <t>Maxi Kleber</t>
  </si>
  <si>
    <t>Torrey Craig</t>
  </si>
  <si>
    <t>Khem Birch</t>
  </si>
  <si>
    <t>Ryan Arcidiacono</t>
  </si>
  <si>
    <t>Damion Lee</t>
  </si>
  <si>
    <t>Alfonzo McKinnie</t>
  </si>
  <si>
    <t>Shaquille Harrison</t>
  </si>
  <si>
    <t>Miloš Teodosić</t>
  </si>
  <si>
    <t>PJ Dozier</t>
  </si>
  <si>
    <t>Antonio Blakeney</t>
  </si>
  <si>
    <t>Ben Simmons</t>
  </si>
  <si>
    <t>Brandon Ingram</t>
  </si>
  <si>
    <t>Jaylen Brown</t>
  </si>
  <si>
    <t>Dragan Bender</t>
  </si>
  <si>
    <t>Kris Dunn</t>
  </si>
  <si>
    <t>Buddy Hield</t>
  </si>
  <si>
    <t>Bench Contributor</t>
  </si>
  <si>
    <t>Jamal Murray</t>
  </si>
  <si>
    <t>Marquese Chriss</t>
  </si>
  <si>
    <t>Jakob Poeltl</t>
  </si>
  <si>
    <t>(under 150 games)</t>
  </si>
  <si>
    <t>Thon Maker</t>
  </si>
  <si>
    <t>Domantas Sabonis</t>
  </si>
  <si>
    <t>Taurean Prince</t>
  </si>
  <si>
    <t>Georgios Papagiannis</t>
  </si>
  <si>
    <t>Denzel Valentine</t>
  </si>
  <si>
    <t>Juancho Hernangómez</t>
  </si>
  <si>
    <t>Guerschon Yabusele</t>
  </si>
  <si>
    <t>Wade Baldwin</t>
  </si>
  <si>
    <t>Henry Ellenson</t>
  </si>
  <si>
    <t>Malik Beasley</t>
  </si>
  <si>
    <t>Caris LeVert</t>
  </si>
  <si>
    <t>DeAndre' Bembry</t>
  </si>
  <si>
    <t>Saint Joseph's</t>
  </si>
  <si>
    <t>Malachi Richardson</t>
  </si>
  <si>
    <t>Ante Žižić</t>
  </si>
  <si>
    <t>Timothé Luwawu-Cabarrot</t>
  </si>
  <si>
    <t>Brice Johnson</t>
  </si>
  <si>
    <t>Furkan Korkmaz</t>
  </si>
  <si>
    <t>Pascal Siakam</t>
  </si>
  <si>
    <t>New Mexico State</t>
  </si>
  <si>
    <t>Skal Labissière</t>
  </si>
  <si>
    <t>Dejounte Murray</t>
  </si>
  <si>
    <t>Damian Jones</t>
  </si>
  <si>
    <t>Deyonta Davis</t>
  </si>
  <si>
    <t>Cheick Diallo</t>
  </si>
  <si>
    <t>Tyler Ulis</t>
  </si>
  <si>
    <t>Rade Zagorac</t>
  </si>
  <si>
    <t>Chinanu Onuaku</t>
  </si>
  <si>
    <t>Patrick McCaw</t>
  </si>
  <si>
    <t>UNLV</t>
  </si>
  <si>
    <t>David Michineau</t>
  </si>
  <si>
    <t>Diamond Stone</t>
  </si>
  <si>
    <t>Stephen Zimmerman</t>
  </si>
  <si>
    <t>Isaiah Whitehead</t>
  </si>
  <si>
    <t>Zhou Qi</t>
  </si>
  <si>
    <t>Isaïa Cordinier</t>
  </si>
  <si>
    <t>Demetrius Jackson</t>
  </si>
  <si>
    <t>A.J. Hammons</t>
  </si>
  <si>
    <t>Jake Layman</t>
  </si>
  <si>
    <t>Paul Zipser</t>
  </si>
  <si>
    <t>Michael Gbinije</t>
  </si>
  <si>
    <t>Ben Bentil</t>
  </si>
  <si>
    <t>Joel Bolomboy</t>
  </si>
  <si>
    <t>Petr Cornelie</t>
  </si>
  <si>
    <t>Kay Felder</t>
  </si>
  <si>
    <t>Oakland</t>
  </si>
  <si>
    <t>Marcus Paige</t>
  </si>
  <si>
    <t>Daniel Hamilton</t>
  </si>
  <si>
    <t>Wang Zhelin</t>
  </si>
  <si>
    <t>Abdel Nader</t>
  </si>
  <si>
    <t>Isaiah Cousins</t>
  </si>
  <si>
    <t>Tyrone Wallace</t>
  </si>
  <si>
    <t>Fred VanVleet</t>
  </si>
  <si>
    <t>Dorian Finney-Smith</t>
  </si>
  <si>
    <t>Gary Payton II</t>
  </si>
  <si>
    <t>Derrick Jones Jr.</t>
  </si>
  <si>
    <t>Bryn Forbes</t>
  </si>
  <si>
    <t>Danuel House Jr.</t>
  </si>
  <si>
    <t>Yogi Ferrell</t>
  </si>
  <si>
    <t>Rodney McGruder</t>
  </si>
  <si>
    <t>David Nwaba</t>
  </si>
  <si>
    <t>Quinn Cook</t>
  </si>
  <si>
    <t>Treveon Graham</t>
  </si>
  <si>
    <t>Mindaugas Kuzminskas</t>
  </si>
  <si>
    <t>Malcolm Delaney</t>
  </si>
  <si>
    <t>Isaiah Taylor</t>
  </si>
  <si>
    <t>Chasson Randle</t>
  </si>
  <si>
    <t>Ron Baker</t>
  </si>
  <si>
    <t>Wayne Selden</t>
  </si>
  <si>
    <t>Karl-Anthony Towns</t>
  </si>
  <si>
    <t>D'Angelo Russell</t>
  </si>
  <si>
    <t>Jahlil Okafor</t>
  </si>
  <si>
    <t>Kristaps Porziņģis</t>
  </si>
  <si>
    <t>Mario Hezonja</t>
  </si>
  <si>
    <t>Willie Cauley-Stein</t>
  </si>
  <si>
    <t>Emmanuel Mudiay</t>
  </si>
  <si>
    <t>Stanley Johnson</t>
  </si>
  <si>
    <t>Frank Kaminsky</t>
  </si>
  <si>
    <t>Justise Winslow</t>
  </si>
  <si>
    <t>Myles Turner</t>
  </si>
  <si>
    <t>Trey Lyles</t>
  </si>
  <si>
    <t>Devin Booker</t>
  </si>
  <si>
    <t>Cameron Payne</t>
  </si>
  <si>
    <t>Kelly Oubre Jr.</t>
  </si>
  <si>
    <t>Terry Rozier</t>
  </si>
  <si>
    <t>Rashad Vaughn</t>
  </si>
  <si>
    <t>Sam Dekker</t>
  </si>
  <si>
    <t>Jerian Grant</t>
  </si>
  <si>
    <t>Delon Wright</t>
  </si>
  <si>
    <t>Justin Anderson</t>
  </si>
  <si>
    <t>Bobby Portis</t>
  </si>
  <si>
    <t>Rondae Hollis-Jefferson</t>
  </si>
  <si>
    <t>Tyus Jones</t>
  </si>
  <si>
    <t>Jarell Martin</t>
  </si>
  <si>
    <t>Nikola Milutinov</t>
  </si>
  <si>
    <t>Larry Nance Jr.</t>
  </si>
  <si>
    <t>R.J. Hunter</t>
  </si>
  <si>
    <t>Georgia State University</t>
  </si>
  <si>
    <t>Chris McCullough</t>
  </si>
  <si>
    <t>Kevon Looney</t>
  </si>
  <si>
    <t>Jordan Mickey</t>
  </si>
  <si>
    <t>Anthony Brown</t>
  </si>
  <si>
    <t>Rakeem Christmas</t>
  </si>
  <si>
    <t>Darrun Hilliard</t>
  </si>
  <si>
    <t>Juan Pablo Vaulet</t>
  </si>
  <si>
    <t>Olivier Hanlan</t>
  </si>
  <si>
    <t>Joe Young</t>
  </si>
  <si>
    <t>Andrew Harrison</t>
  </si>
  <si>
    <t>William &amp; Mary</t>
  </si>
  <si>
    <t>Artūras Gudaitis</t>
  </si>
  <si>
    <t>Dakari Johnson</t>
  </si>
  <si>
    <t>Aaron White</t>
  </si>
  <si>
    <t>Marcus Eriksson</t>
  </si>
  <si>
    <t>Tyler Harvey</t>
  </si>
  <si>
    <t>Eastern Washington</t>
  </si>
  <si>
    <t>Satnam Singh</t>
  </si>
  <si>
    <t>Sir'Dominic Pointer</t>
  </si>
  <si>
    <t>St. John's</t>
  </si>
  <si>
    <t>Dani Díez</t>
  </si>
  <si>
    <t>Cady Lalanne</t>
  </si>
  <si>
    <t>UMass</t>
  </si>
  <si>
    <t>Branden Dawson</t>
  </si>
  <si>
    <t>Nikola Radičević</t>
  </si>
  <si>
    <t>J.P. Tokoto</t>
  </si>
  <si>
    <t>Dimitrios Agravanis</t>
  </si>
  <si>
    <t>Luka Mitrović</t>
  </si>
  <si>
    <t>Christian Wood</t>
  </si>
  <si>
    <t>T.J. McConnell</t>
  </si>
  <si>
    <t>Willie Reed</t>
  </si>
  <si>
    <t>F-C</t>
  </si>
  <si>
    <t>Cristiano Felício</t>
  </si>
  <si>
    <t>Salah Mejri</t>
  </si>
  <si>
    <t>Jonathon Simmons</t>
  </si>
  <si>
    <t>Marcelo Huertas</t>
  </si>
  <si>
    <t>Andrew Wiggins</t>
  </si>
  <si>
    <t>Jabari Parker</t>
  </si>
  <si>
    <t>Joel Embiid</t>
  </si>
  <si>
    <t>4 of the top 5 are &gt; 10ppg</t>
  </si>
  <si>
    <t>Aaron Gordon</t>
  </si>
  <si>
    <t>2 of 6-10</t>
  </si>
  <si>
    <t>Dante Exum</t>
  </si>
  <si>
    <t>Marcus Smart</t>
  </si>
  <si>
    <t>year</t>
  </si>
  <si>
    <t>Julius Randle</t>
  </si>
  <si>
    <t>Percentage of Players Averaging &gt;10ppg</t>
  </si>
  <si>
    <t>Nik Stauskas</t>
  </si>
  <si>
    <t>Pick Range</t>
  </si>
  <si>
    <t>Noah Vonleh</t>
  </si>
  <si>
    <t>1 to 5</t>
  </si>
  <si>
    <t>Elfrid Payton</t>
  </si>
  <si>
    <t>Louisiana</t>
  </si>
  <si>
    <t>6 to 10</t>
  </si>
  <si>
    <t>Doug McDermott</t>
  </si>
  <si>
    <t>11 to 15</t>
  </si>
  <si>
    <t>Dario Šarić</t>
  </si>
  <si>
    <t>16 to 20</t>
  </si>
  <si>
    <t>Zach LaVine</t>
  </si>
  <si>
    <t>21 to 25</t>
  </si>
  <si>
    <t>T.J. Warren</t>
  </si>
  <si>
    <t>26 to 30</t>
  </si>
  <si>
    <t>Adreian Payne</t>
  </si>
  <si>
    <t>31 to 35</t>
  </si>
  <si>
    <t>Jusuf Nurkić</t>
  </si>
  <si>
    <t>36 to 40</t>
  </si>
  <si>
    <t>James Young</t>
  </si>
  <si>
    <t>41 to 45</t>
  </si>
  <si>
    <t>Tyler Ennis</t>
  </si>
  <si>
    <t>46 to 50</t>
  </si>
  <si>
    <t>Gary Harris</t>
  </si>
  <si>
    <t>51 to 55</t>
  </si>
  <si>
    <t>Bruno Caboclo</t>
  </si>
  <si>
    <t>56 to 60</t>
  </si>
  <si>
    <t>Mitch McGary</t>
  </si>
  <si>
    <t>Jordan Adams</t>
  </si>
  <si>
    <t>Rodney Hood</t>
  </si>
  <si>
    <t>Shabazz Napier</t>
  </si>
  <si>
    <t>Clint Capela</t>
  </si>
  <si>
    <t>P.J. Hairston</t>
  </si>
  <si>
    <t>Bogdan Bogdanović</t>
  </si>
  <si>
    <t>C.J. Wilcox</t>
  </si>
  <si>
    <t>Josh Huestis</t>
  </si>
  <si>
    <t>Kyle Anderson</t>
  </si>
  <si>
    <t>Damien Inglis</t>
  </si>
  <si>
    <t>K.J. McDaniels</t>
  </si>
  <si>
    <t>Cleanthony Early</t>
  </si>
  <si>
    <t>Jarnell Stokes</t>
  </si>
  <si>
    <t>Johnny O'Bryant</t>
  </si>
  <si>
    <t>DeAndre Daniels</t>
  </si>
  <si>
    <t>Nick Johnson</t>
  </si>
  <si>
    <t>Edy Tavares</t>
  </si>
  <si>
    <t>Markel Brown</t>
  </si>
  <si>
    <t>Russ Smith</t>
  </si>
  <si>
    <t>Lamar Patterson</t>
  </si>
  <si>
    <t>Cameron Bairstow</t>
  </si>
  <si>
    <t>New Mexico</t>
  </si>
  <si>
    <t>Alec Brown</t>
  </si>
  <si>
    <t>Green Bay</t>
  </si>
  <si>
    <t>Thanasis Antetokounmpo</t>
  </si>
  <si>
    <t>Vasilije Micić</t>
  </si>
  <si>
    <t>Alessandro Gentile</t>
  </si>
  <si>
    <t>Nemanja Dangubić</t>
  </si>
  <si>
    <t>Semaj Christon</t>
  </si>
  <si>
    <t>Devyn Marble</t>
  </si>
  <si>
    <t>Louis Labeyrie</t>
  </si>
  <si>
    <t>Jordan McRae</t>
  </si>
  <si>
    <t>Xavier Thames</t>
  </si>
  <si>
    <t>Cory Jefferson</t>
  </si>
  <si>
    <t>Joe Ingles</t>
  </si>
  <si>
    <t>F-G</t>
  </si>
  <si>
    <t>Tyler Johnson</t>
  </si>
  <si>
    <t>JaMychal Green</t>
  </si>
  <si>
    <t>Langston Galloway</t>
  </si>
  <si>
    <t>Tarik Black</t>
  </si>
  <si>
    <t>Tim Frazier</t>
  </si>
  <si>
    <t>Eric Moreland</t>
  </si>
  <si>
    <t>Sean Kilpatrick</t>
  </si>
  <si>
    <t>Damjan Rudež</t>
  </si>
  <si>
    <t>JaKarr Sampson</t>
  </si>
  <si>
    <t>Elijah Millsap</t>
  </si>
  <si>
    <t>Anthony Bennett</t>
  </si>
  <si>
    <t>Victor Oladipo</t>
  </si>
  <si>
    <t>Otto Porter Jr.</t>
  </si>
  <si>
    <t>Georgetown</t>
  </si>
  <si>
    <t>CHA</t>
  </si>
  <si>
    <t>Cody Zeller</t>
  </si>
  <si>
    <t>Alex Len</t>
  </si>
  <si>
    <t>NOH</t>
  </si>
  <si>
    <t>Nerlens Noel</t>
  </si>
  <si>
    <t>Ben McLemore</t>
  </si>
  <si>
    <t>Kentavious Caldwell-Pope</t>
  </si>
  <si>
    <t>Trey Burke</t>
  </si>
  <si>
    <t>CJ McCollum</t>
  </si>
  <si>
    <t>Lehigh</t>
  </si>
  <si>
    <t>Michael Carter-Williams</t>
  </si>
  <si>
    <t>Steven Adams</t>
  </si>
  <si>
    <t>Kelly Olynyk</t>
  </si>
  <si>
    <t>Shabazz Muhammad</t>
  </si>
  <si>
    <t>Giannis Antetokounmpo</t>
  </si>
  <si>
    <t>Lucas Nogueira</t>
  </si>
  <si>
    <t>Dennis Schröder</t>
  </si>
  <si>
    <t>Shane Larkin</t>
  </si>
  <si>
    <t>Sergey Karasev</t>
  </si>
  <si>
    <t>Tony Snell</t>
  </si>
  <si>
    <t>Gorgui Dieng</t>
  </si>
  <si>
    <t>Mason Plumlee</t>
  </si>
  <si>
    <t>Solomon Hill</t>
  </si>
  <si>
    <t>Tim Hardaway Jr.</t>
  </si>
  <si>
    <t>Reggie Bullock</t>
  </si>
  <si>
    <t>Andre Roberson</t>
  </si>
  <si>
    <t>Rudy Gobert</t>
  </si>
  <si>
    <t>Livio Jean-Charles</t>
  </si>
  <si>
    <t>Archie Goodwin</t>
  </si>
  <si>
    <t>Nemanja Nedović</t>
  </si>
  <si>
    <t>Álex Abrines</t>
  </si>
  <si>
    <t>Carrick Felix</t>
  </si>
  <si>
    <t>Isaiah Canaan</t>
  </si>
  <si>
    <t>Glen Rice Jr.</t>
  </si>
  <si>
    <t>Ray McCallum</t>
  </si>
  <si>
    <t>Detroit Mercy</t>
  </si>
  <si>
    <t>Tony Mitchell</t>
  </si>
  <si>
    <t>University of North Texas</t>
  </si>
  <si>
    <t>Nate Wolters</t>
  </si>
  <si>
    <t>South Dakota State</t>
  </si>
  <si>
    <t>Jeff Withey</t>
  </si>
  <si>
    <t>Grant Jerrett</t>
  </si>
  <si>
    <t>Jamaal Franklin</t>
  </si>
  <si>
    <t>Pierre Jackson</t>
  </si>
  <si>
    <t>Ricky Ledo</t>
  </si>
  <si>
    <t>Marko Todorović</t>
  </si>
  <si>
    <t>Erick Green</t>
  </si>
  <si>
    <t>Ryan Kelly</t>
  </si>
  <si>
    <t>Erik Murphy</t>
  </si>
  <si>
    <t>Romero Osby</t>
  </si>
  <si>
    <t>Lorenzo Brown</t>
  </si>
  <si>
    <t>Colton Iverson</t>
  </si>
  <si>
    <t>Arsalan Kazemi</t>
  </si>
  <si>
    <t>Joffrey Lauvergne</t>
  </si>
  <si>
    <t>Peyton Siva</t>
  </si>
  <si>
    <t>Alex Oriakhi</t>
  </si>
  <si>
    <t>Deshaun Thomas</t>
  </si>
  <si>
    <t>Bojan Dubljević</t>
  </si>
  <si>
    <t>Jānis Timma</t>
  </si>
  <si>
    <t>Robert Covington</t>
  </si>
  <si>
    <t>Dewayne Dedmon</t>
  </si>
  <si>
    <t>Seth Curry</t>
  </si>
  <si>
    <t>Matthew Dellavedova</t>
  </si>
  <si>
    <t>Hollis Thompson</t>
  </si>
  <si>
    <t>Ian Clark</t>
  </si>
  <si>
    <t>Pero Antić</t>
  </si>
  <si>
    <t>Troy Daniels</t>
  </si>
  <si>
    <t>Phil Pressey</t>
  </si>
  <si>
    <t>Anthony Davis</t>
  </si>
  <si>
    <t>Michael Kidd-Gilchrist</t>
  </si>
  <si>
    <t>Bradley Beal</t>
  </si>
  <si>
    <t>Dion Waiters</t>
  </si>
  <si>
    <t>Thomas Robinson</t>
  </si>
  <si>
    <t>Damian Lillard</t>
  </si>
  <si>
    <t>Harrison Barnes</t>
  </si>
  <si>
    <t>Terrence Ross</t>
  </si>
  <si>
    <t>Andre Drummond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</si>
  <si>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</si>
  <si>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</si>
  <si>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</si>
  <si>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</si>
  <si>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</si>
  <si>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</si>
  <si>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</si>
  <si>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</si>
  <si>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</si>
  <si>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</si>
  <si>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St. Bonaventure</t>
  </si>
  <si>
    <t>Evan Fournier</t>
  </si>
  <si>
    <t>Jared Sullinger</t>
  </si>
  <si>
    <t>Fab Melo</t>
  </si>
  <si>
    <t>John Jenkins</t>
  </si>
  <si>
    <t>Jared Cunningham</t>
  </si>
  <si>
    <t>Oregon State</t>
  </si>
  <si>
    <t>Tony Wroten</t>
  </si>
  <si>
    <t>Miles Plumlee</t>
  </si>
  <si>
    <t>Arnett Moultrie</t>
  </si>
  <si>
    <t>Perry Jones</t>
  </si>
  <si>
    <t>Marquis Teague</t>
  </si>
  <si>
    <t>Festus Ezeli</t>
  </si>
  <si>
    <t>Jeff Taylor</t>
  </si>
  <si>
    <t>Bernard James</t>
  </si>
  <si>
    <t>Orlando Johnson</t>
  </si>
  <si>
    <t>Quincy Miller</t>
  </si>
  <si>
    <t>Tyshawn Taylor</t>
  </si>
  <si>
    <t>Doron Lamb</t>
  </si>
  <si>
    <t>Kim English</t>
  </si>
  <si>
    <t>Justin Hamilton</t>
  </si>
  <si>
    <t>Darius Miller</t>
  </si>
  <si>
    <t>Kevin Murphy</t>
  </si>
  <si>
    <t>Tennessee Technological University</t>
  </si>
  <si>
    <t>Kostas Papanikolaou</t>
  </si>
  <si>
    <t>İzzet Türkyılmaz</t>
  </si>
  <si>
    <t>Kris Joseph</t>
  </si>
  <si>
    <t>Ognjen Kuzmić</t>
  </si>
  <si>
    <t>Furkan Aldemir</t>
  </si>
  <si>
    <t>Tornike Shengelia</t>
  </si>
  <si>
    <t>Darius Johnson-Odom</t>
  </si>
  <si>
    <t>Tomislav Zubčić</t>
  </si>
  <si>
    <t>NJN</t>
  </si>
  <si>
    <t>İlkan Karaman</t>
  </si>
  <si>
    <t>Robbie Hummel</t>
  </si>
  <si>
    <t>Marcus Denmon</t>
  </si>
  <si>
    <t>Robert Sacre</t>
  </si>
  <si>
    <t>Justin Holiday</t>
  </si>
  <si>
    <t>Kent Bazemore</t>
  </si>
  <si>
    <t>Aron Baynes</t>
  </si>
  <si>
    <t>Mirza Teletović</t>
  </si>
  <si>
    <t>Pablo Prigioni</t>
  </si>
  <si>
    <t>Brian Roberts</t>
  </si>
  <si>
    <t>Chris Copeland</t>
  </si>
  <si>
    <t>Henry Sims</t>
  </si>
  <si>
    <t>Chris Johnson</t>
  </si>
  <si>
    <t>Alexey Shved</t>
  </si>
  <si>
    <t>DeQuan Jones</t>
  </si>
  <si>
    <t>Diante Garrett</t>
  </si>
  <si>
    <t>Kyrie Irving</t>
  </si>
  <si>
    <t>Derrick Williams</t>
  </si>
  <si>
    <t>Enes Freedom</t>
  </si>
  <si>
    <t>Tristan Thompson</t>
  </si>
  <si>
    <t>Jonas Valančiūnas</t>
  </si>
  <si>
    <t>Jan Veselý</t>
  </si>
  <si>
    <t>Bismack Biyombo</t>
  </si>
  <si>
    <t>Brandon Knight</t>
  </si>
  <si>
    <t>Kemba Walker</t>
  </si>
  <si>
    <t>Jimmer Fredette</t>
  </si>
  <si>
    <t>BYU</t>
  </si>
  <si>
    <t>Klay Thompson</t>
  </si>
  <si>
    <t>Alec Burks</t>
  </si>
  <si>
    <t>Markieff Morris</t>
  </si>
  <si>
    <t>Marcus Morris</t>
  </si>
  <si>
    <t>Kawhi Leonard</t>
  </si>
  <si>
    <t>Nikola Vučević</t>
  </si>
  <si>
    <t>Iman Shumpert</t>
  </si>
  <si>
    <t>Chris Singleton</t>
  </si>
  <si>
    <t>Tobias Harris</t>
  </si>
  <si>
    <t>Donatas Motiejūnas</t>
  </si>
  <si>
    <t>Nolan Smith</t>
  </si>
  <si>
    <t>Kenneth Faried</t>
  </si>
  <si>
    <t>Morehead State University</t>
  </si>
  <si>
    <t>Nikola Mirotić</t>
  </si>
  <si>
    <t>Reggie Jackson</t>
  </si>
  <si>
    <t>MarShon Brooks</t>
  </si>
  <si>
    <t>Jordan Hamilton</t>
  </si>
  <si>
    <t>JaJuan Johnson</t>
  </si>
  <si>
    <t>Norris Cole</t>
  </si>
  <si>
    <t>Cleveland State University</t>
  </si>
  <si>
    <t>Cory Joseph</t>
  </si>
  <si>
    <t>Jimmy Butler</t>
  </si>
  <si>
    <t>Justin Harper</t>
  </si>
  <si>
    <t>Richmond</t>
  </si>
  <si>
    <t>Kyle Singler</t>
  </si>
  <si>
    <t>Tyler Honeycutt</t>
  </si>
  <si>
    <t>Jordan Williams</t>
  </si>
  <si>
    <t>Trey Thompkins</t>
  </si>
  <si>
    <t>Jeremy Tyler</t>
  </si>
  <si>
    <t>Jon Leuer</t>
  </si>
  <si>
    <t>Darius Morris</t>
  </si>
  <si>
    <t>Malcolm Lee</t>
  </si>
  <si>
    <t>Charles Jenkins</t>
  </si>
  <si>
    <t>Josh Harrellson</t>
  </si>
  <si>
    <t>Andrew Goudelock</t>
  </si>
  <si>
    <t>Travis Leslie</t>
  </si>
  <si>
    <t>Keith Benson</t>
  </si>
  <si>
    <t>Josh Selby</t>
  </si>
  <si>
    <t>Lavoy Allen</t>
  </si>
  <si>
    <t>Temple</t>
  </si>
  <si>
    <t>Jon Diebler</t>
  </si>
  <si>
    <t>Vernon Macklin</t>
  </si>
  <si>
    <t>DeAndre Liggins</t>
  </si>
  <si>
    <t>Milan Mačvan</t>
  </si>
  <si>
    <t>Chukwudiebere Maduabum</t>
  </si>
  <si>
    <t>Tanguy Ngombo</t>
  </si>
  <si>
    <t>Ater Majok</t>
  </si>
  <si>
    <t>Ádám Hanga</t>
  </si>
  <si>
    <t>Greg Smith</t>
  </si>
  <si>
    <t>Gustavo Ayón</t>
  </si>
  <si>
    <t>Ivan Johnson</t>
  </si>
  <si>
    <t>Donald Sloan</t>
  </si>
  <si>
    <t>Greg Stiemsma</t>
  </si>
  <si>
    <t>Lance Thomas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</si>
  <si>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</si>
  <si>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</si>
  <si>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</si>
  <si>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</si>
  <si>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</si>
  <si>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</si>
  <si>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</si>
  <si>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</si>
  <si>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</si>
  <si>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</si>
  <si>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Fresno State</t>
  </si>
  <si>
    <t>Cole Aldrich</t>
  </si>
  <si>
    <t>Xavier Henry</t>
  </si>
  <si>
    <t>Ed Davis</t>
  </si>
  <si>
    <t>Patrick Patterson</t>
  </si>
  <si>
    <t>Larry Sanders</t>
  </si>
  <si>
    <t>Luke Babbitt</t>
  </si>
  <si>
    <t>Kevin Séraphin</t>
  </si>
  <si>
    <t>Eric Bledsoe</t>
  </si>
  <si>
    <t>Avery Bradley</t>
  </si>
  <si>
    <t>James Anderson</t>
  </si>
  <si>
    <t>Craig Brackins</t>
  </si>
  <si>
    <t>Elliot Williams</t>
  </si>
  <si>
    <t>Trevor Booker</t>
  </si>
  <si>
    <t>Damion James</t>
  </si>
  <si>
    <t>Dominique Jones</t>
  </si>
  <si>
    <t>South Florida</t>
  </si>
  <si>
    <t>Quincy Pondexter</t>
  </si>
  <si>
    <t>Jordan Crawford</t>
  </si>
  <si>
    <t>Greivis Vásquez</t>
  </si>
  <si>
    <t>Daniel Orton</t>
  </si>
  <si>
    <t>Lazar Hayward</t>
  </si>
  <si>
    <t>Tibor Pleiß</t>
  </si>
  <si>
    <t>Dexter Pittman</t>
  </si>
  <si>
    <t>Armon Johnson</t>
  </si>
  <si>
    <t>Terrico White</t>
  </si>
  <si>
    <t>Ole Miss</t>
  </si>
  <si>
    <t>Darington Hobson</t>
  </si>
  <si>
    <t>Andy Rautins</t>
  </si>
  <si>
    <t>Jarvis Varnado</t>
  </si>
  <si>
    <t>Da'Sean Butler</t>
  </si>
  <si>
    <t>Devin Ebanks</t>
  </si>
  <si>
    <t>Jerome Jordan</t>
  </si>
  <si>
    <t>Tulsa</t>
  </si>
  <si>
    <t>Paulão Prestes</t>
  </si>
  <si>
    <t>Gani Lawal</t>
  </si>
  <si>
    <t>Tiny Gallon</t>
  </si>
  <si>
    <t>Latavious Williams</t>
  </si>
  <si>
    <t>Ryan Richards</t>
  </si>
  <si>
    <t>Solomon Alabi</t>
  </si>
  <si>
    <t>Magnum Rolle</t>
  </si>
  <si>
    <t>Louisiana Tech</t>
  </si>
  <si>
    <t>Luke Harangody</t>
  </si>
  <si>
    <t>Pape Sy</t>
  </si>
  <si>
    <t>Willie Warren</t>
  </si>
  <si>
    <t>Jeremy Evans</t>
  </si>
  <si>
    <t>Hamady N'Diaye</t>
  </si>
  <si>
    <t>Rutgers University</t>
  </si>
  <si>
    <t>Ryan Reid</t>
  </si>
  <si>
    <t>Derrick Caracter</t>
  </si>
  <si>
    <t>Texas-El Paso</t>
  </si>
  <si>
    <t>Stanley Robinson</t>
  </si>
  <si>
    <t>Dwayne Collins</t>
  </si>
  <si>
    <t>Timofey Mozgov</t>
  </si>
  <si>
    <t>Jeremy Lin</t>
  </si>
  <si>
    <t>Ish Smith</t>
  </si>
  <si>
    <t>Gary Neal</t>
  </si>
  <si>
    <t>Jeff Adrien</t>
  </si>
  <si>
    <t>Samardo Samuels</t>
  </si>
  <si>
    <t>Eugene Jeter</t>
  </si>
  <si>
    <t>Manny Harris</t>
  </si>
  <si>
    <t>Blake Griffin</t>
  </si>
  <si>
    <t>Hasheem Thabeet</t>
  </si>
  <si>
    <t>James Harden</t>
  </si>
  <si>
    <t>Tyreke Evans</t>
  </si>
  <si>
    <t>Ricky Rubio</t>
  </si>
  <si>
    <t>Jonny Flynn</t>
  </si>
  <si>
    <t>Stephen Curry</t>
  </si>
  <si>
    <t>Davidson</t>
  </si>
  <si>
    <t>Jordan Hill</t>
  </si>
  <si>
    <t>DeMar DeRozan</t>
  </si>
  <si>
    <t>Brandon Jennings</t>
  </si>
  <si>
    <t>Terrence Williams</t>
  </si>
  <si>
    <t>Gerald Henderson</t>
  </si>
  <si>
    <t>Tyler Hansbrough</t>
  </si>
  <si>
    <t>Earl Clark</t>
  </si>
  <si>
    <t>Austin Daye</t>
  </si>
  <si>
    <t>James Johnson</t>
  </si>
  <si>
    <t>Jrue Holiday</t>
  </si>
  <si>
    <t>Ty Lawson</t>
  </si>
  <si>
    <t>Jeff Teague</t>
  </si>
  <si>
    <t>Eric Maynor</t>
  </si>
  <si>
    <t>Darren Collison</t>
  </si>
  <si>
    <t>Victor Claver</t>
  </si>
  <si>
    <t>Omri Casspi</t>
  </si>
  <si>
    <t>Byron Mullens</t>
  </si>
  <si>
    <t>Rodrigue Beaubois</t>
  </si>
  <si>
    <t>Taj Gibson</t>
  </si>
  <si>
    <t>DeMarre Carroll</t>
  </si>
  <si>
    <t>Wayne Ellington</t>
  </si>
  <si>
    <t>Toney Douglas</t>
  </si>
  <si>
    <t>Christian Eyenga</t>
  </si>
  <si>
    <t>Jeff Ayres</t>
  </si>
  <si>
    <t>Jermaine Taylor</t>
  </si>
  <si>
    <t>Sergio Llull</t>
  </si>
  <si>
    <t>DaJuan Summers</t>
  </si>
  <si>
    <t>Sam Young</t>
  </si>
  <si>
    <t>Jon Brockman</t>
  </si>
  <si>
    <t>Derrick Brown</t>
  </si>
  <si>
    <t>Nick Calathes</t>
  </si>
  <si>
    <t>Henk Norel</t>
  </si>
  <si>
    <t>Taylor Griffin</t>
  </si>
  <si>
    <t>Sergiy Gladyr</t>
  </si>
  <si>
    <t>Goran Suton</t>
  </si>
  <si>
    <t>Jack McClinton</t>
  </si>
  <si>
    <t>A.J. Price</t>
  </si>
  <si>
    <t>Nando De Colo</t>
  </si>
  <si>
    <t>Robert Vaden</t>
  </si>
  <si>
    <t>UAB</t>
  </si>
  <si>
    <t>Ahmad Nivins</t>
  </si>
  <si>
    <t>Emir Preldžić</t>
  </si>
  <si>
    <t>Lester Hudson</t>
  </si>
  <si>
    <t>University of Tennessee at Martin</t>
  </si>
  <si>
    <t>Chinemelu Elonu</t>
  </si>
  <si>
    <t>Robert Dozier</t>
  </si>
  <si>
    <t>Wesley Matthews</t>
  </si>
  <si>
    <t>Reggie Williams</t>
  </si>
  <si>
    <t>Garrett Temple</t>
  </si>
  <si>
    <t>Alonzo Gee</t>
  </si>
  <si>
    <t>WS/YR</t>
  </si>
  <si>
    <t>Ante Tomić</t>
  </si>
  <si>
    <t>Trent Plaisted</t>
  </si>
  <si>
    <t>Richard Hendrix</t>
  </si>
  <si>
    <t>DeVon Hardin</t>
  </si>
  <si>
    <t>Shan Foster</t>
  </si>
  <si>
    <t>Tadija Dragićević</t>
  </si>
  <si>
    <t>Maarty Leunen</t>
  </si>
  <si>
    <t>James Gist</t>
  </si>
  <si>
    <t>Deron Washington</t>
  </si>
  <si>
    <t>Stanko Barać</t>
  </si>
  <si>
    <t>NOK</t>
  </si>
  <si>
    <t>Adam Haluska</t>
  </si>
  <si>
    <t>Reyshawn Terry</t>
  </si>
  <si>
    <t>Jared Jordan</t>
  </si>
  <si>
    <t>Marist College</t>
  </si>
  <si>
    <t>Renaldas Seibutis</t>
  </si>
  <si>
    <t>Brad Newley</t>
  </si>
  <si>
    <t>Herbert Hill</t>
  </si>
  <si>
    <t>Sammy Mejia</t>
  </si>
  <si>
    <t>Georgios Printezis</t>
  </si>
  <si>
    <t>Milovan Raković</t>
  </si>
  <si>
    <t>Pick</t>
  </si>
  <si>
    <t>Win Shares Per Year</t>
  </si>
  <si>
    <t>Henry Walker</t>
  </si>
  <si>
    <t>Chris Douglas-Roberts</t>
  </si>
  <si>
    <t>Semih Erden</t>
  </si>
  <si>
    <t>Aaron Gray</t>
  </si>
  <si>
    <t>Nick Fazekas</t>
  </si>
  <si>
    <t>Joey Dorsey</t>
  </si>
  <si>
    <t>Dominic McGuire</t>
  </si>
  <si>
    <t>Kyle Weaver</t>
  </si>
  <si>
    <t>Darnell Jackson</t>
  </si>
  <si>
    <t>Malik Hairston</t>
  </si>
  <si>
    <t>Chris Richard</t>
  </si>
  <si>
    <t>Stéphane Lasme</t>
  </si>
  <si>
    <t>Sasha Kaun</t>
  </si>
  <si>
    <t>Gabe Pruitt</t>
  </si>
  <si>
    <t>Kyrylo Fesenko</t>
  </si>
  <si>
    <t>Nathan Jawai</t>
  </si>
  <si>
    <t>Derrick Byars</t>
  </si>
  <si>
    <t>Sonny Weems</t>
  </si>
  <si>
    <t>Sean Singletary</t>
  </si>
  <si>
    <t>Joe Crawford</t>
  </si>
  <si>
    <t>Jermareo Davidson</t>
  </si>
  <si>
    <t>JamesOn Curry</t>
  </si>
  <si>
    <t>Marcus Williams</t>
  </si>
  <si>
    <t>Walter Sharpe</t>
  </si>
  <si>
    <t>Patrick Ewing</t>
  </si>
  <si>
    <t>Sun Yue</t>
  </si>
  <si>
    <t>Taurean Green</t>
  </si>
  <si>
    <t>Demetris Nichols</t>
  </si>
  <si>
    <t>D.J. Strawberry</t>
  </si>
  <si>
    <t>Mike Taylor</t>
  </si>
  <si>
    <t>Derrick Rose</t>
  </si>
  <si>
    <t>Michael Beasley</t>
  </si>
  <si>
    <t>O.J. Mayo</t>
  </si>
  <si>
    <t>Russell Westbrook</t>
  </si>
  <si>
    <t>Kevin Love</t>
  </si>
  <si>
    <t>Danilo Gallinari</t>
  </si>
  <si>
    <t>Eric Gordon</t>
  </si>
  <si>
    <t>Joe Alexander</t>
  </si>
  <si>
    <t>D.J. Augustin</t>
  </si>
  <si>
    <t>Brook Lopez</t>
  </si>
  <si>
    <t>Jerryd Bayless</t>
  </si>
  <si>
    <t>Jason Thompson</t>
  </si>
  <si>
    <t>Rider University</t>
  </si>
  <si>
    <t>Brandon Rush</t>
  </si>
  <si>
    <t>Anthony Randolph</t>
  </si>
  <si>
    <t>Robin Lopez</t>
  </si>
  <si>
    <t>Marreese Speights</t>
  </si>
  <si>
    <t>Roy Hibbert</t>
  </si>
  <si>
    <t>JaVale McGee</t>
  </si>
  <si>
    <t>J.J. Hickson</t>
  </si>
  <si>
    <t>Alexis Ajinça</t>
  </si>
  <si>
    <t>Ryan Anderson</t>
  </si>
  <si>
    <t>Courtney Lee</t>
  </si>
  <si>
    <t>Kosta Koufos</t>
  </si>
  <si>
    <t>Serge Ibaka</t>
  </si>
  <si>
    <t>Nicolas Batum</t>
  </si>
  <si>
    <t>George Hill</t>
  </si>
  <si>
    <t>IUPUI</t>
  </si>
  <si>
    <t>Darrell Arthur</t>
  </si>
  <si>
    <t>Donté Greene</t>
  </si>
  <si>
    <t>D.J. White</t>
  </si>
  <si>
    <t>J.R. Giddens</t>
  </si>
  <si>
    <t>Anthony Morrow</t>
  </si>
  <si>
    <t>Anthony Tolliver</t>
  </si>
  <si>
    <t>Cartier Martin</t>
  </si>
  <si>
    <t>Bobby Brown</t>
  </si>
  <si>
    <t>Greg Oden</t>
  </si>
  <si>
    <t>Kevin Durant</t>
  </si>
  <si>
    <t>Al Horford</t>
  </si>
  <si>
    <t>Mike Conley</t>
  </si>
  <si>
    <t>Jeff Green</t>
  </si>
  <si>
    <t>Yi Jianlian</t>
  </si>
  <si>
    <t>Corey Brewer</t>
  </si>
  <si>
    <t>Brandan Wright</t>
  </si>
  <si>
    <t>Joakim Noah</t>
  </si>
  <si>
    <t>Spencer Hawes</t>
  </si>
  <si>
    <t>Acie Law</t>
  </si>
  <si>
    <t>Thaddeus Young</t>
  </si>
  <si>
    <t>Julian Wright</t>
  </si>
  <si>
    <t>Al Thornton</t>
  </si>
  <si>
    <t>Rodney Stuckey</t>
  </si>
  <si>
    <t>Nick Young</t>
  </si>
  <si>
    <t>Sean Williams</t>
  </si>
  <si>
    <t>Marco Belinelli</t>
  </si>
  <si>
    <t>Javaris Crittenton</t>
  </si>
  <si>
    <t>Jason Smith</t>
  </si>
  <si>
    <t>Daequan Cook</t>
  </si>
  <si>
    <t>Jared Dudley</t>
  </si>
  <si>
    <t>Wilson Chandler</t>
  </si>
  <si>
    <t>Rudy Fernández</t>
  </si>
  <si>
    <t>Morris Almond</t>
  </si>
  <si>
    <t>Rice University</t>
  </si>
  <si>
    <t>Aaron Brooks</t>
  </si>
  <si>
    <t>Arron Afflalo</t>
  </si>
  <si>
    <t>Tiago Splitter</t>
  </si>
  <si>
    <t>Alando Tucker</t>
  </si>
  <si>
    <t>Petteri Koponen</t>
  </si>
  <si>
    <t>Jamario Moon</t>
  </si>
  <si>
    <t>C.J. Watson</t>
  </si>
  <si>
    <t>Joel Anthony</t>
  </si>
  <si>
    <t>Andrea Bargnani</t>
  </si>
  <si>
    <t>LaMarcus Aldridge</t>
  </si>
  <si>
    <t>Adam Morrison</t>
  </si>
  <si>
    <t>Tyrus Thomas</t>
  </si>
  <si>
    <t>Shelden Williams</t>
  </si>
  <si>
    <t>Brandon Roy</t>
  </si>
  <si>
    <t>Randy Foye</t>
  </si>
  <si>
    <t>Rudy Gay</t>
  </si>
  <si>
    <t>Patrick O'Bryant</t>
  </si>
  <si>
    <t>Bradley</t>
  </si>
  <si>
    <t>Mouhamed Sene</t>
  </si>
  <si>
    <t>JJ Redick</t>
  </si>
  <si>
    <t>Hilton Armstrong</t>
  </si>
  <si>
    <t>Thabo Sefolosha</t>
  </si>
  <si>
    <t>Ronnie Brewer</t>
  </si>
  <si>
    <t>Cedric Simmons</t>
  </si>
  <si>
    <t>Rodney Carney</t>
  </si>
  <si>
    <t>Shawne Williams</t>
  </si>
  <si>
    <t>Oleksiy Pecherov</t>
  </si>
  <si>
    <t>Quincy Douby</t>
  </si>
  <si>
    <t>Renaldo Balkman</t>
  </si>
  <si>
    <t>Rajon Rondo</t>
  </si>
  <si>
    <t>Josh Boone</t>
  </si>
  <si>
    <t>Kyle Lowry</t>
  </si>
  <si>
    <t>Shannon Brown</t>
  </si>
  <si>
    <t>Jordan Farmar</t>
  </si>
  <si>
    <t>Sergio Rodríguez</t>
  </si>
  <si>
    <t>Maurice Ager</t>
  </si>
  <si>
    <t>Mardy Collins</t>
  </si>
  <si>
    <t>Joel Freeland</t>
  </si>
  <si>
    <t>James White</t>
  </si>
  <si>
    <t>Steve Novak</t>
  </si>
  <si>
    <t>Solomon Jones</t>
  </si>
  <si>
    <t>Paul Davis</t>
  </si>
  <si>
    <t>P.J. Tucker</t>
  </si>
  <si>
    <t>Craig Smith</t>
  </si>
  <si>
    <t>Bobby Jones</t>
  </si>
  <si>
    <t>Kosta Perović</t>
  </si>
  <si>
    <t>David Noel</t>
  </si>
  <si>
    <t>Denham Brown</t>
  </si>
  <si>
    <t>James Augustine</t>
  </si>
  <si>
    <t>Daniel Gibson</t>
  </si>
  <si>
    <t>Marcus Vinicius</t>
  </si>
  <si>
    <t>Lior Eliyahu</t>
  </si>
  <si>
    <t>Alexander Johnson</t>
  </si>
  <si>
    <t>Dee Brown</t>
  </si>
  <si>
    <t>Paul Millsap</t>
  </si>
  <si>
    <t>Vladimir Veremeenko</t>
  </si>
  <si>
    <t>Leon Powe</t>
  </si>
  <si>
    <t>Ryan Hollins</t>
  </si>
  <si>
    <t>Cheikh Samb</t>
  </si>
  <si>
    <t>Guillermo Díaz</t>
  </si>
  <si>
    <t>Yotam Halperin</t>
  </si>
  <si>
    <t>Hassan Adams</t>
  </si>
  <si>
    <t>Ejike Ugboaja</t>
  </si>
  <si>
    <t>Edin Bavčić</t>
  </si>
  <si>
    <t>Loukas Mavrokefalidis</t>
  </si>
  <si>
    <t>J.R. Pinnock</t>
  </si>
  <si>
    <t>George Washington</t>
  </si>
  <si>
    <t>Damir Markota</t>
  </si>
  <si>
    <t>Will Blalock</t>
  </si>
  <si>
    <t>Kelenna Azubuike</t>
  </si>
  <si>
    <t>J.J. Barea</t>
  </si>
  <si>
    <t>Jorge Garbajosa</t>
  </si>
  <si>
    <t>Lou Amundson</t>
  </si>
  <si>
    <t>Chris Quinn</t>
  </si>
  <si>
    <t>Walter Herrmann</t>
  </si>
  <si>
    <t>Yakhouba Diawara</t>
  </si>
  <si>
    <t>Andrew Bogut</t>
  </si>
  <si>
    <t>Marvin Williams</t>
  </si>
  <si>
    <t>Deron Williams</t>
  </si>
  <si>
    <t>Chris Paul</t>
  </si>
  <si>
    <t>Raymond Felton</t>
  </si>
  <si>
    <t>Martell Webster</t>
  </si>
  <si>
    <t>Charlie Villanueva</t>
  </si>
  <si>
    <t>Channing Frye</t>
  </si>
  <si>
    <t>Ike Diogu</t>
  </si>
  <si>
    <t>Andrew Bynum</t>
  </si>
  <si>
    <t>Fran Vázquez</t>
  </si>
  <si>
    <t>Yaroslav Korolev</t>
  </si>
  <si>
    <t>Sean May</t>
  </si>
  <si>
    <t>Rashad McCants</t>
  </si>
  <si>
    <t>Antoine Wright</t>
  </si>
  <si>
    <t>Joey Graham</t>
  </si>
  <si>
    <t>Danny Granger</t>
  </si>
  <si>
    <t>Gerald Green</t>
  </si>
  <si>
    <t>Hakim Warrick</t>
  </si>
  <si>
    <t>Julius Hodge</t>
  </si>
  <si>
    <t>Nate Robinson</t>
  </si>
  <si>
    <t>Jarrett Jack</t>
  </si>
  <si>
    <t>Francisco García</t>
  </si>
  <si>
    <t>Luther Head</t>
  </si>
  <si>
    <t>Johan Petro</t>
  </si>
  <si>
    <t>Jason Maxiell</t>
  </si>
  <si>
    <t>Linas Kleiza</t>
  </si>
  <si>
    <t>Ian Mahinmi</t>
  </si>
  <si>
    <t>Wayne Simien</t>
  </si>
  <si>
    <t>David Lee</t>
  </si>
  <si>
    <t>Salim Stoudamire</t>
  </si>
  <si>
    <t>Daniel Ewing</t>
  </si>
  <si>
    <t>Brandon Bass</t>
  </si>
  <si>
    <t>C.J. Miles</t>
  </si>
  <si>
    <t>Ricky Sánchez</t>
  </si>
  <si>
    <t>Ersan İlyasova</t>
  </si>
  <si>
    <t>Ronny Turiaf</t>
  </si>
  <si>
    <t>Travis Diener</t>
  </si>
  <si>
    <t>Von Wafer</t>
  </si>
  <si>
    <t>Monta Ellis</t>
  </si>
  <si>
    <t>Roko Ukić</t>
  </si>
  <si>
    <t>Chris Taft</t>
  </si>
  <si>
    <t>Mile Ilić</t>
  </si>
  <si>
    <t>Martynas Andriuškevičius</t>
  </si>
  <si>
    <t>Lou Williams</t>
  </si>
  <si>
    <t>Erazem Lorbek</t>
  </si>
  <si>
    <t>Bracey Wright</t>
  </si>
  <si>
    <t>Mickaël Gelabale</t>
  </si>
  <si>
    <t>Andray Blatche</t>
  </si>
  <si>
    <t>Ryan Gomes</t>
  </si>
  <si>
    <t>Robert Whaley</t>
  </si>
  <si>
    <t>Walsh University</t>
  </si>
  <si>
    <t>Axel Hervelle</t>
  </si>
  <si>
    <t>Orien Greene</t>
  </si>
  <si>
    <t>Dijon Thompson</t>
  </si>
  <si>
    <t>Lawrence Roberts</t>
  </si>
  <si>
    <t>Amir Johnson</t>
  </si>
  <si>
    <t>Marcin Gortat</t>
  </si>
  <si>
    <t>Uroš Slokar</t>
  </si>
  <si>
    <t>Cenk Akyol</t>
  </si>
  <si>
    <t>Alex Acker</t>
  </si>
  <si>
    <t>José Calderón</t>
  </si>
  <si>
    <t>Chuck Hayes</t>
  </si>
  <si>
    <t>Fabricio Oberto</t>
  </si>
  <si>
    <t>Šarūnas Jasikevičius</t>
  </si>
  <si>
    <t>James Singleton</t>
  </si>
  <si>
    <t>Alan Anderson</t>
  </si>
  <si>
    <t>Will Bynum</t>
  </si>
  <si>
    <t>Dwight Howard</t>
  </si>
  <si>
    <t>Emeka Okafor</t>
  </si>
  <si>
    <t>Ben Gordon</t>
  </si>
  <si>
    <t>Shaun Livingston</t>
  </si>
  <si>
    <t>Devin Harris</t>
  </si>
  <si>
    <t>Josh Childress</t>
  </si>
  <si>
    <t>Luol Deng</t>
  </si>
  <si>
    <t>Rafael Araújo</t>
  </si>
  <si>
    <t>Andre Iguodala</t>
  </si>
  <si>
    <t>Luke Jackson</t>
  </si>
  <si>
    <t>Andris Biedriņš</t>
  </si>
  <si>
    <t>Robert Swift</t>
  </si>
  <si>
    <t>Sebastian Telfair</t>
  </si>
  <si>
    <t>Kris Humphries</t>
  </si>
  <si>
    <t>Al Jefferson</t>
  </si>
  <si>
    <t>Kirk Snyder</t>
  </si>
  <si>
    <t>Josh Smith</t>
  </si>
  <si>
    <t>J.R. Smith</t>
  </si>
  <si>
    <t>Dorell Wright</t>
  </si>
  <si>
    <t>Jameer Nelson</t>
  </si>
  <si>
    <t>Pavel Podkolzin</t>
  </si>
  <si>
    <t>Viktor Khryapa</t>
  </si>
  <si>
    <t>Sergei Monia</t>
  </si>
  <si>
    <t>Delonte West</t>
  </si>
  <si>
    <t>Tony Allen</t>
  </si>
  <si>
    <t>Kevin Martin</t>
  </si>
  <si>
    <t>Western Carolina University</t>
  </si>
  <si>
    <t>Sasha Vujačić</t>
  </si>
  <si>
    <t>Beno Udrih</t>
  </si>
  <si>
    <t>David Harrison</t>
  </si>
  <si>
    <t>Anderson Varejão</t>
  </si>
  <si>
    <t>Jackson Vroman</t>
  </si>
  <si>
    <t>Peter John Ramos</t>
  </si>
  <si>
    <t>Lionel Chalmers</t>
  </si>
  <si>
    <t>Donta Smith</t>
  </si>
  <si>
    <t>Southeastern Illinois College</t>
  </si>
  <si>
    <t>Andre Emmett</t>
  </si>
  <si>
    <t>Antonio Burks</t>
  </si>
  <si>
    <t>Royal Ivey</t>
  </si>
  <si>
    <t>Chris Duhon</t>
  </si>
  <si>
    <t>Albert Miralles</t>
  </si>
  <si>
    <t>Justin Reed</t>
  </si>
  <si>
    <t>David Young</t>
  </si>
  <si>
    <t>NC Central</t>
  </si>
  <si>
    <t>Viktor Sanikidze</t>
  </si>
  <si>
    <t>Trevor Ariza</t>
  </si>
  <si>
    <t>Tim Pickett</t>
  </si>
  <si>
    <t>Bernard Robinson</t>
  </si>
  <si>
    <t>Ha Seung-Jin</t>
  </si>
  <si>
    <t>Pape Sow</t>
  </si>
  <si>
    <t>Cal State Fullerton</t>
  </si>
  <si>
    <t>Ricky Minard</t>
  </si>
  <si>
    <t>Sergei Lishouk</t>
  </si>
  <si>
    <t>Vassilis Spanoulis</t>
  </si>
  <si>
    <t>Christian Drejer</t>
  </si>
  <si>
    <t>Romain Sato</t>
  </si>
  <si>
    <t>Matt Freije</t>
  </si>
  <si>
    <t>Rickey Paulding</t>
  </si>
  <si>
    <t>Luis Flores</t>
  </si>
  <si>
    <t>Manhattan University</t>
  </si>
  <si>
    <t>Marcus Douthit</t>
  </si>
  <si>
    <t>Sergei Karaulov</t>
  </si>
  <si>
    <t>Blake Stepp</t>
  </si>
  <si>
    <t>Rashad Wright</t>
  </si>
  <si>
    <t>Name</t>
  </si>
  <si>
    <t>Andrés Nocioni</t>
  </si>
  <si>
    <t>Quinton Ross</t>
  </si>
  <si>
    <t>Damien Wilkins</t>
  </si>
  <si>
    <t>LeBron James</t>
  </si>
  <si>
    <t>Darko Miličić</t>
  </si>
  <si>
    <t>Carmelo Anthony</t>
  </si>
  <si>
    <t>Chris Bosh</t>
  </si>
  <si>
    <t>korver</t>
  </si>
  <si>
    <t>Dwyane Wade</t>
  </si>
  <si>
    <t>Chris Kaman</t>
  </si>
  <si>
    <t>Central Michigan University</t>
  </si>
  <si>
    <t>Kirk Hinrich</t>
  </si>
  <si>
    <t>only for recent drafts</t>
  </si>
  <si>
    <t>T.J. Ford</t>
  </si>
  <si>
    <t>Mike Sweetney</t>
  </si>
  <si>
    <t>Jarvis Hayes</t>
  </si>
  <si>
    <t>Mickaël Piétrus</t>
  </si>
  <si>
    <t>Nick Collison</t>
  </si>
  <si>
    <t>Marcus Banks</t>
  </si>
  <si>
    <t>Luke Ridnour</t>
  </si>
  <si>
    <t>Reece Gaines</t>
  </si>
  <si>
    <t>Troy Bell</t>
  </si>
  <si>
    <t>% of players who played less than 82 games</t>
  </si>
  <si>
    <t>stop at 2020 bc that shows a full 4 years (rookie contract length)?</t>
  </si>
  <si>
    <t>Žarko Čabarkapa</t>
  </si>
  <si>
    <t>David West</t>
  </si>
  <si>
    <t>Sasha Pavlović</t>
  </si>
  <si>
    <t>Dahntay Jones</t>
  </si>
  <si>
    <t>Boris Diaw</t>
  </si>
  <si>
    <t>Zoran Planinić</t>
  </si>
  <si>
    <t>Travis Outlaw</t>
  </si>
  <si>
    <t>Brian Cook</t>
  </si>
  <si>
    <t>Carlos Delfino</t>
  </si>
  <si>
    <t>Ndudi Ebi</t>
  </si>
  <si>
    <t>Kendrick Perkins</t>
  </si>
  <si>
    <t>Leandro Barbosa</t>
  </si>
  <si>
    <t>Josh Howard</t>
  </si>
  <si>
    <t>Maciej Lampe</t>
  </si>
  <si>
    <t>Jason Kapono</t>
  </si>
  <si>
    <t>Luke Walton</t>
  </si>
  <si>
    <t>Jerome Beasley</t>
  </si>
  <si>
    <t>University of North Dakota</t>
  </si>
  <si>
    <t>Sofoklis Schortsanitis</t>
  </si>
  <si>
    <t>Szymon Szewczyk</t>
  </si>
  <si>
    <t>Mario Austin</t>
  </si>
  <si>
    <t>Travis Hansen</t>
  </si>
  <si>
    <t>Steve Blake</t>
  </si>
  <si>
    <t>Slavko Vraneš</t>
  </si>
  <si>
    <t>Derrick Zimmerman</t>
  </si>
  <si>
    <t>Willie Green</t>
  </si>
  <si>
    <t>Zaza Pachulia</t>
  </si>
  <si>
    <t>Keith Bogans</t>
  </si>
  <si>
    <t>Malick Badiane</t>
  </si>
  <si>
    <t>Matt Bonner</t>
  </si>
  <si>
    <t>Sani Bečirovič</t>
  </si>
  <si>
    <t>Mo Williams</t>
  </si>
  <si>
    <t>James Lang</t>
  </si>
  <si>
    <t>James Jones</t>
  </si>
  <si>
    <t>Paccelis Morlende</t>
  </si>
  <si>
    <t>Kyle Korver</t>
  </si>
  <si>
    <t>Remon van de Hare</t>
  </si>
  <si>
    <t>Tommy Smith</t>
  </si>
  <si>
    <t>Nedžad Sinanović</t>
  </si>
  <si>
    <t>Rick Rickert</t>
  </si>
  <si>
    <t>Brandon Hunter</t>
  </si>
  <si>
    <t>Xue Yuyang</t>
  </si>
  <si>
    <t>Andreas Glyniadakis</t>
  </si>
  <si>
    <t>Udonis Haslem</t>
  </si>
  <si>
    <t>Matt Carroll</t>
  </si>
  <si>
    <t>Marquis Daniels</t>
  </si>
  <si>
    <t>Ime Udoka</t>
  </si>
  <si>
    <t>Keith McLeod</t>
  </si>
  <si>
    <t>first year was 2000-01</t>
  </si>
  <si>
    <t>MP/G</t>
  </si>
  <si>
    <t>Season</t>
  </si>
  <si>
    <t>Age</t>
  </si>
  <si>
    <t>GS</t>
  </si>
  <si>
    <t>AS</t>
  </si>
  <si>
    <t>FG</t>
  </si>
  <si>
    <t>FGA</t>
  </si>
  <si>
    <t>2P</t>
  </si>
  <si>
    <t>2PA</t>
  </si>
  <si>
    <t>3P</t>
  </si>
  <si>
    <t>3PA</t>
  </si>
  <si>
    <t>FT</t>
  </si>
  <si>
    <t>FTA</t>
  </si>
  <si>
    <t>ORB</t>
  </si>
  <si>
    <t>DRB</t>
  </si>
  <si>
    <t>STL</t>
  </si>
  <si>
    <t>BLK</t>
  </si>
  <si>
    <t>TOV</t>
  </si>
  <si>
    <t>PF</t>
  </si>
  <si>
    <t>2P%</t>
  </si>
  <si>
    <t>TS%</t>
  </si>
  <si>
    <t>eFG%</t>
  </si>
  <si>
    <t>Raja Bell</t>
  </si>
  <si>
    <t>2005-06</t>
  </si>
  <si>
    <t>Ira Newble</t>
  </si>
  <si>
    <t>2001-02</t>
  </si>
  <si>
    <t>Stanislav Medvedenko</t>
  </si>
  <si>
    <t>2003-04</t>
  </si>
  <si>
    <t>first year was 2001-02</t>
  </si>
  <si>
    <t>Mike James</t>
  </si>
  <si>
    <t>Charlie Bell</t>
  </si>
  <si>
    <t>2006-07</t>
  </si>
  <si>
    <t>Malik Allen</t>
  </si>
  <si>
    <t>2002-03</t>
  </si>
  <si>
    <t>Carlos Arroyo</t>
  </si>
  <si>
    <t>Maurice Evans</t>
  </si>
  <si>
    <t>2008-09</t>
  </si>
  <si>
    <t>Chris Andersen</t>
  </si>
  <si>
    <t>2009-10</t>
  </si>
  <si>
    <t>first year was 2002-03</t>
  </si>
  <si>
    <t>Smush Parker</t>
  </si>
  <si>
    <t>Reggie Evans</t>
  </si>
  <si>
    <t>2012-13</t>
  </si>
  <si>
    <t>Devin Brown</t>
  </si>
  <si>
    <t>2004-05</t>
  </si>
  <si>
    <t>first year was 2003-04</t>
  </si>
  <si>
    <t>GSW,IND</t>
  </si>
  <si>
    <t>first year was 2004-05</t>
  </si>
  <si>
    <t>first year was 2005-06</t>
  </si>
  <si>
    <t>2007-08</t>
  </si>
  <si>
    <t>2014-15</t>
  </si>
  <si>
    <t>first year was 2006-07</t>
  </si>
  <si>
    <t>2017-18</t>
  </si>
  <si>
    <t>first year was 2007-08</t>
  </si>
  <si>
    <t>2011-12</t>
  </si>
  <si>
    <t>first year was 2008-09</t>
  </si>
  <si>
    <t>2013-14</t>
  </si>
  <si>
    <t>ATL,CHI</t>
  </si>
  <si>
    <t>MIN,SAC</t>
  </si>
  <si>
    <t>first year was 2009-10</t>
  </si>
  <si>
    <t>2010-11</t>
  </si>
  <si>
    <t>2015-16</t>
  </si>
  <si>
    <t>first year was 2010-11</t>
  </si>
  <si>
    <t>CLE,DEN</t>
  </si>
  <si>
    <t>CHA,MIL</t>
  </si>
  <si>
    <t>first year was 2011-12</t>
  </si>
  <si>
    <t>first year was 2012-13</t>
  </si>
  <si>
    <t>2019-20</t>
  </si>
  <si>
    <t>CLE,PHI</t>
  </si>
  <si>
    <t>first year was 2013-14</t>
  </si>
  <si>
    <t>2016-17</t>
  </si>
  <si>
    <t>first year was 2014-15</t>
  </si>
  <si>
    <t>2018-19</t>
  </si>
  <si>
    <t>HOU,LAL</t>
  </si>
  <si>
    <t>first year was 2015-16</t>
  </si>
  <si>
    <t>2020-21</t>
  </si>
  <si>
    <t>first year was 2016-17</t>
  </si>
  <si>
    <t>2023-24</t>
  </si>
  <si>
    <t>2021-22</t>
  </si>
  <si>
    <t>CHI,MEM</t>
  </si>
  <si>
    <t>first year was 2017-18</t>
  </si>
  <si>
    <t>2022-23</t>
  </si>
  <si>
    <t>ORL,TOR</t>
  </si>
  <si>
    <t>first year was 2018-19</t>
  </si>
  <si>
    <t>first year was 2019-20</t>
  </si>
  <si>
    <t>first year was 2020-21</t>
  </si>
  <si>
    <t>first year was 2021-22</t>
  </si>
  <si>
    <t>first year was 2022-23</t>
  </si>
  <si>
    <t>first year was 2023-24</t>
  </si>
  <si>
    <t>Duop Reath</t>
  </si>
  <si>
    <t>Ricky Council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</si>
</sst>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  <numFmt numFmtId="165" formatCode="&quot;$&quot;#,##0.0_);[Red]\(&quot;$&quot;#,##0.0\)"/>
    <numFmt numFmtId="166" formatCode="0.000"/>
    <numFmt numFmtId="167" formatCode="0.0"/>
  </numFmts>
  <fonts count="4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22"/>
      <color theme="0" tint="-4.9989318521683403E-2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2"/>
      <color theme="1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sz val="26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0"/>
      <name val="Aptos Narrow"/>
      <scheme val="minor"/>
    </font>
    <font>
      <b/>
      <sz val="10"/>
      <color rgb="FF000000"/>
      <name val="Aptos Narrow"/>
      <scheme val="minor"/>
    </font>
    <font>
      <i/>
      <sz val="10"/>
      <color theme="1"/>
      <name val="Aptos Narrow"/>
      <scheme val="minor"/>
    </font>
    <font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scheme val="minor"/>
    </font>
    <font>
      <b/>
      <sz val="10"/>
      <name val="Aptos Narrow"/>
      <scheme val="minor"/>
    </font>
    <font>
      <sz val="10"/>
      <color theme="9" tint="-0.499984740745262"/>
      <name val="Aptos Narrow"/>
      <scheme val="minor"/>
    </font>
    <font>
      <b/>
      <sz val="10"/>
      <color rgb="FF00610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7D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75317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6EFCE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9" fontId="18" fillId="0" borderId="0" xfId="0" applyNumberFormat="1" applyFont="1" applyAlignment="1">
      <alignment wrapText="1"/>
    </xf>
    <xf numFmtId="9" fontId="0" fillId="0" borderId="0" xfId="0" applyNumberFormat="1"/>
    <xf numFmtId="0" fontId="21" fillId="0" borderId="0" xfId="0" applyFont="1"/>
    <xf numFmtId="2" fontId="21" fillId="0" borderId="0" xfId="0" applyNumberFormat="1" applyFont="1"/>
    <xf numFmtId="16" fontId="21" fillId="0" borderId="0" xfId="0" applyNumberFormat="1" applyFont="1"/>
    <xf numFmtId="9" fontId="18" fillId="0" borderId="0" xfId="1" applyFont="1" applyAlignment="1">
      <alignment wrapText="1"/>
    </xf>
    <xf numFmtId="0" fontId="22" fillId="0" borderId="0" xfId="0" applyFont="1"/>
    <xf numFmtId="0" fontId="22" fillId="0" borderId="0" xfId="0" applyFont="1" applyAlignment="1">
      <alignment wrapText="1"/>
    </xf>
    <xf numFmtId="0" fontId="23" fillId="34" borderId="0" xfId="0" applyFont="1" applyFill="1" applyAlignment="1">
      <alignment horizontal="center" vertical="center" wrapText="1"/>
    </xf>
    <xf numFmtId="6" fontId="25" fillId="0" borderId="0" xfId="0" applyNumberFormat="1" applyFont="1" applyAlignment="1">
      <alignment horizontal="center" vertical="center"/>
    </xf>
    <xf numFmtId="0" fontId="26" fillId="35" borderId="0" xfId="0" applyFont="1" applyFill="1" applyAlignment="1">
      <alignment horizontal="center" vertical="center" wrapText="1"/>
    </xf>
    <xf numFmtId="0" fontId="26" fillId="35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6" fillId="37" borderId="0" xfId="0" applyFont="1" applyFill="1" applyAlignment="1">
      <alignment horizontal="center" vertical="center"/>
    </xf>
    <xf numFmtId="10" fontId="25" fillId="0" borderId="0" xfId="1" applyNumberFormat="1" applyFont="1" applyAlignment="1">
      <alignment horizontal="center" vertical="center"/>
    </xf>
    <xf numFmtId="164" fontId="25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36" borderId="0" xfId="0" applyFont="1" applyFill="1" applyAlignment="1">
      <alignment vertical="center"/>
    </xf>
    <xf numFmtId="0" fontId="22" fillId="38" borderId="0" xfId="0" applyFont="1" applyFill="1" applyAlignment="1">
      <alignment vertical="center"/>
    </xf>
    <xf numFmtId="0" fontId="27" fillId="39" borderId="0" xfId="0" applyFont="1" applyFill="1" applyAlignment="1">
      <alignment vertical="center"/>
    </xf>
    <xf numFmtId="44" fontId="22" fillId="0" borderId="0" xfId="43" applyFont="1"/>
    <xf numFmtId="0" fontId="28" fillId="40" borderId="0" xfId="0" applyFont="1" applyFill="1"/>
    <xf numFmtId="0" fontId="28" fillId="0" borderId="0" xfId="0" applyFont="1"/>
    <xf numFmtId="164" fontId="22" fillId="0" borderId="0" xfId="1" applyNumberFormat="1" applyFont="1"/>
    <xf numFmtId="164" fontId="22" fillId="0" borderId="0" xfId="0" applyNumberFormat="1" applyFont="1"/>
    <xf numFmtId="0" fontId="28" fillId="41" borderId="0" xfId="0" applyFont="1" applyFill="1" applyAlignment="1">
      <alignment horizontal="center" vertical="center" wrapText="1"/>
    </xf>
    <xf numFmtId="0" fontId="28" fillId="41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 wrapText="1"/>
    </xf>
    <xf numFmtId="9" fontId="28" fillId="42" borderId="0" xfId="0" applyNumberFormat="1" applyFont="1" applyFill="1" applyAlignment="1">
      <alignment horizontal="center" vertical="center"/>
    </xf>
    <xf numFmtId="0" fontId="28" fillId="43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wrapText="1"/>
    </xf>
    <xf numFmtId="0" fontId="31" fillId="0" borderId="0" xfId="0" applyFont="1"/>
    <xf numFmtId="2" fontId="31" fillId="0" borderId="0" xfId="0" applyNumberFormat="1" applyFont="1"/>
    <xf numFmtId="16" fontId="31" fillId="0" borderId="0" xfId="0" applyNumberFormat="1" applyFont="1"/>
    <xf numFmtId="0" fontId="32" fillId="0" borderId="0" xfId="0" applyFont="1" applyAlignment="1">
      <alignment wrapText="1"/>
    </xf>
    <xf numFmtId="165" fontId="22" fillId="0" borderId="0" xfId="0" applyNumberFormat="1" applyFont="1"/>
    <xf numFmtId="8" fontId="22" fillId="0" borderId="0" xfId="0" applyNumberFormat="1" applyFont="1"/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45" borderId="0" xfId="0" applyFont="1" applyFill="1" applyAlignment="1">
      <alignment horizontal="center" vertical="center"/>
    </xf>
    <xf numFmtId="0" fontId="34" fillId="46" borderId="0" xfId="0" applyFont="1" applyFill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34" fillId="49" borderId="0" xfId="0" applyFont="1" applyFill="1" applyAlignment="1">
      <alignment horizontal="center" vertical="center"/>
    </xf>
    <xf numFmtId="0" fontId="34" fillId="48" borderId="0" xfId="0" applyFont="1" applyFill="1" applyAlignment="1">
      <alignment horizontal="center" vertical="center"/>
    </xf>
    <xf numFmtId="0" fontId="34" fillId="38" borderId="0" xfId="0" applyFont="1" applyFill="1" applyAlignment="1">
      <alignment horizontal="center" vertical="center"/>
    </xf>
    <xf numFmtId="0" fontId="34" fillId="50" borderId="0" xfId="0" applyFont="1" applyFill="1" applyAlignment="1">
      <alignment horizontal="center" vertical="center"/>
    </xf>
    <xf numFmtId="0" fontId="34" fillId="51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4" fillId="50" borderId="0" xfId="0" applyFont="1" applyFill="1" applyAlignment="1">
      <alignment horizontal="center" vertical="center" wrapText="1"/>
    </xf>
    <xf numFmtId="0" fontId="34" fillId="3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4" fillId="48" borderId="0" xfId="0" applyFont="1" applyFill="1" applyAlignment="1">
      <alignment horizontal="center" vertical="center" wrapText="1"/>
    </xf>
    <xf numFmtId="0" fontId="34" fillId="48" borderId="0" xfId="0" applyFont="1" applyFill="1" applyAlignment="1">
      <alignment wrapText="1"/>
    </xf>
    <xf numFmtId="0" fontId="19" fillId="53" borderId="0" xfId="0" applyFont="1" applyFill="1" applyAlignment="1">
      <alignment horizontal="center" vertical="center" wrapText="1"/>
    </xf>
    <xf numFmtId="0" fontId="18" fillId="53" borderId="0" xfId="0" applyFont="1" applyFill="1" applyAlignment="1">
      <alignment wrapText="1"/>
    </xf>
    <xf numFmtId="0" fontId="0" fillId="53" borderId="0" xfId="0" applyFill="1" applyAlignment="1">
      <alignment wrapText="1"/>
    </xf>
    <xf numFmtId="0" fontId="0" fillId="53" borderId="0" xfId="0" applyFill="1"/>
    <xf numFmtId="0" fontId="34" fillId="38" borderId="0" xfId="0" applyFont="1" applyFill="1" applyAlignment="1">
      <alignment wrapText="1"/>
    </xf>
    <xf numFmtId="0" fontId="35" fillId="0" borderId="0" xfId="0" applyFont="1" applyAlignment="1">
      <alignment wrapText="1"/>
    </xf>
    <xf numFmtId="0" fontId="34" fillId="0" borderId="0" xfId="0" applyFont="1" applyAlignment="1">
      <alignment horizontal="center" vertical="center"/>
    </xf>
    <xf numFmtId="0" fontId="32" fillId="53" borderId="0" xfId="0" applyFont="1" applyFill="1" applyAlignment="1">
      <alignment horizontal="center" vertical="center" wrapText="1"/>
    </xf>
    <xf numFmtId="0" fontId="33" fillId="53" borderId="0" xfId="0" applyFont="1" applyFill="1" applyAlignment="1">
      <alignment horizontal="center" vertical="center" wrapText="1"/>
    </xf>
    <xf numFmtId="0" fontId="33" fillId="53" borderId="0" xfId="0" applyFont="1" applyFill="1" applyAlignment="1">
      <alignment horizontal="center" vertical="center"/>
    </xf>
    <xf numFmtId="0" fontId="35" fillId="53" borderId="0" xfId="0" applyFont="1" applyFill="1" applyAlignment="1">
      <alignment wrapText="1"/>
    </xf>
    <xf numFmtId="16" fontId="31" fillId="53" borderId="0" xfId="0" applyNumberFormat="1" applyFont="1" applyFill="1"/>
    <xf numFmtId="0" fontId="18" fillId="50" borderId="0" xfId="0" applyFont="1" applyFill="1" applyAlignment="1">
      <alignment wrapText="1"/>
    </xf>
    <xf numFmtId="0" fontId="34" fillId="50" borderId="0" xfId="0" applyFont="1" applyFill="1" applyAlignment="1">
      <alignment wrapText="1"/>
    </xf>
    <xf numFmtId="0" fontId="18" fillId="51" borderId="0" xfId="0" applyFont="1" applyFill="1" applyAlignment="1">
      <alignment wrapText="1"/>
    </xf>
    <xf numFmtId="0" fontId="34" fillId="51" borderId="0" xfId="0" applyFont="1" applyFill="1" applyAlignment="1">
      <alignment wrapText="1"/>
    </xf>
    <xf numFmtId="0" fontId="18" fillId="54" borderId="0" xfId="0" applyFont="1" applyFill="1" applyAlignment="1">
      <alignment horizontal="center" vertical="center"/>
    </xf>
    <xf numFmtId="0" fontId="18" fillId="45" borderId="0" xfId="0" applyFont="1" applyFill="1" applyAlignment="1">
      <alignment wrapText="1"/>
    </xf>
    <xf numFmtId="0" fontId="34" fillId="45" borderId="0" xfId="0" applyFont="1" applyFill="1" applyAlignment="1">
      <alignment wrapText="1"/>
    </xf>
    <xf numFmtId="0" fontId="34" fillId="54" borderId="0" xfId="0" applyFont="1" applyFill="1" applyAlignment="1">
      <alignment wrapText="1"/>
    </xf>
    <xf numFmtId="0" fontId="18" fillId="54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1" fontId="18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38" borderId="0" xfId="0" applyFont="1" applyFill="1" applyAlignment="1">
      <alignment horizontal="center" vertical="center"/>
    </xf>
    <xf numFmtId="0" fontId="36" fillId="50" borderId="0" xfId="0" applyFont="1" applyFill="1" applyAlignment="1">
      <alignment horizontal="center" vertical="center"/>
    </xf>
    <xf numFmtId="0" fontId="36" fillId="51" borderId="0" xfId="0" applyFont="1" applyFill="1" applyAlignment="1">
      <alignment horizontal="center" vertical="center"/>
    </xf>
    <xf numFmtId="0" fontId="36" fillId="47" borderId="0" xfId="0" applyFont="1" applyFill="1" applyAlignment="1">
      <alignment horizontal="center" vertical="center"/>
    </xf>
    <xf numFmtId="0" fontId="36" fillId="49" borderId="0" xfId="0" applyFont="1" applyFill="1" applyAlignment="1">
      <alignment horizontal="center" vertical="center"/>
    </xf>
    <xf numFmtId="0" fontId="36" fillId="48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16" fontId="37" fillId="0" borderId="0" xfId="0" applyNumberFormat="1" applyFont="1" applyAlignment="1">
      <alignment horizontal="center" vertical="center"/>
    </xf>
    <xf numFmtId="0" fontId="32" fillId="52" borderId="0" xfId="0" applyFont="1" applyFill="1" applyAlignment="1">
      <alignment horizontal="center" vertical="center" wrapText="1"/>
    </xf>
    <xf numFmtId="0" fontId="33" fillId="52" borderId="0" xfId="0" applyFont="1" applyFill="1" applyAlignment="1">
      <alignment horizontal="center" vertical="center" wrapText="1"/>
    </xf>
    <xf numFmtId="0" fontId="33" fillId="52" borderId="0" xfId="0" applyFont="1" applyFill="1" applyAlignment="1">
      <alignment horizontal="center" vertical="center"/>
    </xf>
    <xf numFmtId="0" fontId="37" fillId="52" borderId="0" xfId="0" applyFont="1" applyFill="1" applyAlignment="1">
      <alignment horizontal="center" vertical="center"/>
    </xf>
    <xf numFmtId="0" fontId="36" fillId="48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6" fillId="50" borderId="0" xfId="0" applyFont="1" applyFill="1" applyAlignment="1">
      <alignment horizontal="center" vertical="center" wrapText="1"/>
    </xf>
    <xf numFmtId="0" fontId="36" fillId="38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53" borderId="0" xfId="0" applyFont="1" applyFill="1" applyAlignment="1">
      <alignment horizontal="center" vertical="center" wrapText="1"/>
    </xf>
    <xf numFmtId="0" fontId="18" fillId="53" borderId="0" xfId="0" applyFont="1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4" fillId="51" borderId="0" xfId="0" applyFont="1" applyFill="1" applyAlignment="1">
      <alignment horizontal="center" vertical="center" wrapText="1"/>
    </xf>
    <xf numFmtId="0" fontId="34" fillId="54" borderId="0" xfId="0" applyFont="1" applyFill="1" applyAlignment="1">
      <alignment horizontal="center" vertical="center" wrapText="1"/>
    </xf>
    <xf numFmtId="0" fontId="34" fillId="45" borderId="0" xfId="0" applyFont="1" applyFill="1" applyAlignment="1">
      <alignment horizontal="center" vertical="center" wrapText="1"/>
    </xf>
    <xf numFmtId="167" fontId="33" fillId="0" borderId="0" xfId="0" applyNumberFormat="1" applyFont="1" applyAlignment="1">
      <alignment horizontal="center" vertical="center" wrapText="1"/>
    </xf>
    <xf numFmtId="0" fontId="36" fillId="51" borderId="0" xfId="0" applyFont="1" applyFill="1" applyAlignment="1">
      <alignment horizontal="center" vertical="center" wrapText="1"/>
    </xf>
    <xf numFmtId="0" fontId="33" fillId="54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54" borderId="0" xfId="0" applyFont="1" applyFill="1" applyAlignment="1">
      <alignment horizontal="center" vertical="center" wrapText="1"/>
    </xf>
    <xf numFmtId="0" fontId="36" fillId="4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33" fillId="54" borderId="0" xfId="0" applyFont="1" applyFill="1" applyAlignment="1">
      <alignment horizontal="center" vertical="center" wrapText="1"/>
    </xf>
    <xf numFmtId="0" fontId="33" fillId="51" borderId="0" xfId="0" applyFont="1" applyFill="1" applyAlignment="1">
      <alignment horizontal="center" vertical="center" wrapText="1"/>
    </xf>
    <xf numFmtId="0" fontId="33" fillId="38" borderId="0" xfId="0" applyFont="1" applyFill="1" applyAlignment="1">
      <alignment horizontal="center" vertical="center" wrapText="1"/>
    </xf>
    <xf numFmtId="0" fontId="18" fillId="46" borderId="0" xfId="0" applyFont="1" applyFill="1" applyAlignment="1">
      <alignment wrapText="1"/>
    </xf>
    <xf numFmtId="0" fontId="39" fillId="55" borderId="0" xfId="0" applyFont="1" applyFill="1" applyAlignment="1">
      <alignment horizontal="center" vertical="center"/>
    </xf>
    <xf numFmtId="0" fontId="39" fillId="56" borderId="0" xfId="0" applyFont="1" applyFill="1" applyAlignment="1">
      <alignment horizontal="center" vertical="center"/>
    </xf>
    <xf numFmtId="0" fontId="39" fillId="39" borderId="0" xfId="0" applyFont="1" applyFill="1" applyAlignment="1">
      <alignment horizontal="center" vertical="center"/>
    </xf>
    <xf numFmtId="0" fontId="39" fillId="57" borderId="0" xfId="0" applyFont="1" applyFill="1" applyAlignment="1">
      <alignment horizontal="center" vertical="center"/>
    </xf>
    <xf numFmtId="0" fontId="39" fillId="58" borderId="0" xfId="0" applyFont="1" applyFill="1" applyAlignment="1">
      <alignment horizontal="center" vertical="center"/>
    </xf>
    <xf numFmtId="0" fontId="40" fillId="59" borderId="0" xfId="0" applyFont="1" applyFill="1" applyAlignment="1">
      <alignment horizontal="center" vertical="center"/>
    </xf>
    <xf numFmtId="0" fontId="39" fillId="60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" fontId="42" fillId="0" borderId="0" xfId="0" applyNumberFormat="1" applyFont="1" applyAlignment="1">
      <alignment horizontal="center" vertical="center" wrapText="1"/>
    </xf>
    <xf numFmtId="1" fontId="41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7" fontId="41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53" borderId="0" xfId="0" applyFont="1" applyFill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4" fillId="61" borderId="0" xfId="0" applyFont="1" applyFill="1" applyAlignment="1">
      <alignment horizontal="center" vertical="center" wrapText="1"/>
    </xf>
    <xf numFmtId="0" fontId="40" fillId="0" borderId="0" xfId="0" applyFont="1" applyAlignment="1">
      <alignment wrapText="1"/>
    </xf>
    <xf numFmtId="0" fontId="40" fillId="39" borderId="0" xfId="0" applyFont="1" applyFill="1" applyAlignment="1">
      <alignment wrapText="1"/>
    </xf>
    <xf numFmtId="0" fontId="45" fillId="61" borderId="0" xfId="0" applyFont="1" applyFill="1" applyAlignment="1">
      <alignment wrapText="1"/>
    </xf>
    <xf numFmtId="0" fontId="40" fillId="59" borderId="0" xfId="0" applyFont="1" applyFill="1" applyAlignment="1">
      <alignment wrapText="1"/>
    </xf>
    <xf numFmtId="0" fontId="40" fillId="57" borderId="0" xfId="0" applyFont="1" applyFill="1" applyAlignment="1">
      <alignment wrapText="1"/>
    </xf>
    <xf numFmtId="0" fontId="40" fillId="58" borderId="0" xfId="0" applyFont="1" applyFill="1" applyAlignment="1">
      <alignment wrapText="1"/>
    </xf>
    <xf numFmtId="6" fontId="22" fillId="0" borderId="0" xfId="0" applyNumberFormat="1" applyFont="1"/>
    <xf numFmtId="0" fontId="33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A003B"/>
      <color rgb="FFDDDB00"/>
      <color rgb="FFFF7D81"/>
      <color rgb="FFFFED00"/>
      <color rgb="FF4C4B0A"/>
      <color rgb="FFFE8E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Draft</a:t>
            </a:r>
            <a:r>
              <a:rPr lang="en-US" baseline="0"/>
              <a:t> Hits by Pick Range</a:t>
            </a:r>
          </a:p>
          <a:p>
            <a:pPr>
              <a:defRPr/>
            </a:pPr>
            <a:r>
              <a:rPr lang="en-US" baseline="0"/>
              <a:t>(80 picks total per range)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'Draft Hits'!$X$38</c:f>
              <c:strCache>
                <c:ptCount val="1"/>
                <c:pt idx="0">
                  <c:v>All Star+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'Draft Hits'!$Y$37:$AD$37</c:f>
              <c:strCache>
                <c:ptCount val="6"/>
                <c:pt idx="0">
                  <c:v>31-35</c:v>
                </c:pt>
                <c:pt idx="1">
                  <c:v>36-40</c:v>
                </c:pt>
                <c:pt idx="2">
                  <c:v>41-45</c:v>
                </c:pt>
                <c:pt idx="3">
                  <c:v>46-50</c:v>
                </c:pt>
                <c:pt idx="4">
                  <c:v>51-55</c:v>
                </c:pt>
                <c:pt idx="5">
                  <c:v>56-60</c:v>
                </c:pt>
              </c:strCache>
            </c:strRef>
          </c:cat>
          <c:val>
            <c:numRef>
              <c:f>'Draft Hits'!$Y$38:$AD$38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C-D540-A0A2-8135B2A8A22D}"/>
            </c:ext>
          </c:extLst>
        </c:ser>
        <c:ser>
          <c:idx val="1"/>
          <c:order val="1"/>
          <c:tx>
            <c:strRef>
              <c:f>'Draft Hits'!$X$39</c:f>
              <c:strCache>
                <c:ptCount val="1"/>
                <c:pt idx="0">
                  <c:v>Quality Starter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'Draft Hits'!$Y$37:$AD$37</c:f>
              <c:strCache>
                <c:ptCount val="6"/>
                <c:pt idx="0">
                  <c:v>31-35</c:v>
                </c:pt>
                <c:pt idx="1">
                  <c:v>36-40</c:v>
                </c:pt>
                <c:pt idx="2">
                  <c:v>41-45</c:v>
                </c:pt>
                <c:pt idx="3">
                  <c:v>46-50</c:v>
                </c:pt>
                <c:pt idx="4">
                  <c:v>51-55</c:v>
                </c:pt>
                <c:pt idx="5">
                  <c:v>56-60</c:v>
                </c:pt>
              </c:strCache>
            </c:strRef>
          </c:cat>
          <c:val>
            <c:numRef>
              <c:f>'Draft Hits'!$Y$39:$AD$39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D540-A0A2-8135B2A8A22D}"/>
            </c:ext>
          </c:extLst>
        </c:ser>
        <c:ser>
          <c:idx val="2"/>
          <c:order val="2"/>
          <c:tx>
            <c:strRef>
              <c:f>'Draft Hits'!$X$40</c:f>
              <c:strCache>
                <c:ptCount val="1"/>
                <c:pt idx="0">
                  <c:v>Role Player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'Draft Hits'!$Y$37:$AD$37</c:f>
              <c:strCache>
                <c:ptCount val="6"/>
                <c:pt idx="0">
                  <c:v>31-35</c:v>
                </c:pt>
                <c:pt idx="1">
                  <c:v>36-40</c:v>
                </c:pt>
                <c:pt idx="2">
                  <c:v>41-45</c:v>
                </c:pt>
                <c:pt idx="3">
                  <c:v>46-50</c:v>
                </c:pt>
                <c:pt idx="4">
                  <c:v>51-55</c:v>
                </c:pt>
                <c:pt idx="5">
                  <c:v>56-60</c:v>
                </c:pt>
              </c:strCache>
            </c:strRef>
          </c:cat>
          <c:val>
            <c:numRef>
              <c:f>'Draft Hits'!$Y$40:$AD$40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C-D540-A0A2-8135B2A8A22D}"/>
            </c:ext>
          </c:extLst>
        </c:ser>
        <c:ser>
          <c:idx val="3"/>
          <c:order val="3"/>
          <c:tx>
            <c:strRef>
              <c:f>'Draft Hits'!$X$41</c:f>
              <c:strCache>
                <c:ptCount val="1"/>
                <c:pt idx="0">
                  <c:v>Deep Rotation Guy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'Draft Hits'!$Y$37:$AD$37</c:f>
              <c:strCache>
                <c:ptCount val="6"/>
                <c:pt idx="0">
                  <c:v>31-35</c:v>
                </c:pt>
                <c:pt idx="1">
                  <c:v>36-40</c:v>
                </c:pt>
                <c:pt idx="2">
                  <c:v>41-45</c:v>
                </c:pt>
                <c:pt idx="3">
                  <c:v>46-50</c:v>
                </c:pt>
                <c:pt idx="4">
                  <c:v>51-55</c:v>
                </c:pt>
                <c:pt idx="5">
                  <c:v>56-60</c:v>
                </c:pt>
              </c:strCache>
            </c:strRef>
          </c:cat>
          <c:val>
            <c:numRef>
              <c:f>'Draft Hits'!$Y$41:$AD$41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C-D540-A0A2-8135B2A8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471695"/>
        <c:axId val="1480464959"/>
      </c:barChart>
      <c:catAx>
        <c:axId val="148047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64959"/>
        <c:crosses val="autoZero"/>
        <c:auto val="1"/>
        <c:lblAlgn val="ctr"/>
        <c:lblOffset val="100"/>
        <c:noMultiLvlLbl val="0"/>
      </c:catAx>
      <c:valAx>
        <c:axId val="148046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7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31-35</a:t>
            </a:r>
          </a:p>
        </c:rich>
      </c:tx>
      <c:layout>
        <c:manualLayout>
          <c:xMode val="edge"/>
          <c:yMode val="edge"/>
          <c:x val="2.9560509357538456E-2"/>
          <c:y val="2.8592677422816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'Draft Hits'!$AH$37</c:f>
              <c:strCache>
                <c:ptCount val="1"/>
                <c:pt idx="0">
                  <c:v>31-35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9EB-574F-B62D-B919294CDF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9EB-574F-B62D-B919294CDF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9EB-574F-B62D-B919294CDF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9EB-574F-B62D-B919294CDF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F1-B743-936D-CE312B18AF92}"/>
              </c:ext>
            </c:extLst>
          </c:dPt>
          <c:dLbls>
            <c:dLbl>
              <c:idx val="0"/>
              <c:layout>
                <c:manualLayout>
                  <c:x val="-4.693006919739795E-2"/>
                  <c:y val="-3.3358123659952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9EB-574F-B62D-B919294CDF40}"/>
                </c:ext>
              </c:extLst>
            </c:dLbl>
            <c:dLbl>
              <c:idx val="1"/>
              <c:layout>
                <c:manualLayout>
                  <c:x val="-2.7605923057292942E-2"/>
                  <c:y val="-6.19508010827694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9EB-574F-B62D-B919294CDF40}"/>
                </c:ext>
              </c:extLst>
            </c:dLbl>
            <c:dLbl>
              <c:idx val="2"/>
              <c:layout>
                <c:manualLayout>
                  <c:x val="1.9324146140104959E-2"/>
                  <c:y val="-1.90617849485444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9EB-574F-B62D-B919294CDF40}"/>
                </c:ext>
              </c:extLst>
            </c:dLbl>
            <c:dLbl>
              <c:idx val="3"/>
              <c:layout>
                <c:manualLayout>
                  <c:x val="-1.0122054856832624E-16"/>
                  <c:y val="3.33581236599527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9EB-574F-B62D-B919294CD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Hits'!$AG$38:$AG$42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Hits'!$AH$38:$AH$42</c:f>
              <c:numCache>
                <c:formatCode>General</c:formatCode>
                <c:ptCount val="5"/>
                <c:pt idx="0">
                  <c:v>3.7499999999999999E-2</c:v>
                </c:pt>
                <c:pt idx="1">
                  <c:v>8.7499999999999994E-2</c:v>
                </c:pt>
                <c:pt idx="2">
                  <c:v>0.1125</c:v>
                </c:pt>
                <c:pt idx="3">
                  <c:v>0.125</c:v>
                </c:pt>
                <c:pt idx="4">
                  <c:v>0.63749999999999996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9EB-574F-B62D-B919294CDF40}"/>
            </c:ext>
          </c:extLst>
        </c:ser>
        <c:ser>
          <c:idx val="0"/>
          <c:order val="1"/>
          <c:tx>
            <c:strRef>
              <c:f>'Draft Hits'!$AH$37</c:f>
              <c:strCache>
                <c:ptCount val="1"/>
                <c:pt idx="0">
                  <c:v>31-35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9EB-574F-B62D-B919294CDF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9EB-574F-B62D-B919294CDF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9EB-574F-B62D-B919294CDF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9EB-574F-B62D-B919294CDF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9EB-574F-B62D-B919294CDF40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63%</a:t>
                    </a: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9EB-574F-B62D-B919294CD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Hits'!$AG$38:$AG$42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Hits'!$AH$38:$AH$42</c:f>
              <c:numCache>
                <c:formatCode>General</c:formatCode>
                <c:ptCount val="5"/>
                <c:pt idx="0">
                  <c:v>3.7499999999999999E-2</c:v>
                </c:pt>
                <c:pt idx="1">
                  <c:v>8.7499999999999994E-2</c:v>
                </c:pt>
                <c:pt idx="2">
                  <c:v>0.1125</c:v>
                </c:pt>
                <c:pt idx="3">
                  <c:v>0.125</c:v>
                </c:pt>
                <c:pt idx="4">
                  <c:v>0.63749999999999996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9EB-574F-B62D-B919294CDF4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36-40</a:t>
            </a:r>
          </a:p>
        </c:rich>
      </c:tx>
      <c:layout>
        <c:manualLayout>
          <c:xMode val="edge"/>
          <c:yMode val="edge"/>
          <c:x val="2.6772311128751822E-2"/>
          <c:y val="3.3063998735460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Hits'!$AH$55</c:f>
              <c:strCache>
                <c:ptCount val="1"/>
                <c:pt idx="0">
                  <c:v>36-40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18-B246-BF18-4667A9EC7D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18-B246-BF18-4667A9EC7D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C18-B246-BF18-4667A9EC7D7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18-B246-BF18-4667A9EC7D7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C18-B246-BF18-4667A9EC7D7E}"/>
              </c:ext>
            </c:extLst>
          </c:dPt>
          <c:dLbls>
            <c:dLbl>
              <c:idx val="0"/>
              <c:layout>
                <c:manualLayout>
                  <c:x val="-5.2451253808856638E-2"/>
                  <c:y val="-3.77874271262401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18-B246-BF18-4667A9EC7D7E}"/>
                </c:ext>
              </c:extLst>
            </c:dLbl>
            <c:dLbl>
              <c:idx val="1"/>
              <c:layout>
                <c:manualLayout>
                  <c:x val="4.9690661503127294E-2"/>
                  <c:y val="-5.19577122985801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18-B246-BF18-4667A9EC7D7E}"/>
                </c:ext>
              </c:extLst>
            </c:dLbl>
            <c:dLbl>
              <c:idx val="2"/>
              <c:layout>
                <c:manualLayout>
                  <c:x val="5.5211846114585879E-3"/>
                  <c:y val="5.66811406893601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8-B246-BF18-4667A9EC7D7E}"/>
                </c:ext>
              </c:extLst>
            </c:dLbl>
            <c:dLbl>
              <c:idx val="3"/>
              <c:layout>
                <c:manualLayout>
                  <c:x val="5.5211846114585879E-3"/>
                  <c:y val="9.44685678155994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8-B246-BF18-4667A9EC7D7E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18-B246-BF18-4667A9EC7D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Hits'!$AG$56:$AG$60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Hits'!$AH$56:$AH$60</c:f>
              <c:numCache>
                <c:formatCode>General</c:formatCode>
                <c:ptCount val="5"/>
                <c:pt idx="0">
                  <c:v>1.2500000000000001E-2</c:v>
                </c:pt>
                <c:pt idx="1">
                  <c:v>0.05</c:v>
                </c:pt>
                <c:pt idx="2">
                  <c:v>0.1</c:v>
                </c:pt>
                <c:pt idx="3">
                  <c:v>0.1875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8-B246-BF18-4667A9EC7D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41-45</a:t>
            </a:r>
          </a:p>
        </c:rich>
      </c:tx>
      <c:layout>
        <c:manualLayout>
          <c:xMode val="edge"/>
          <c:yMode val="edge"/>
          <c:x val="2.4039324746079872E-2"/>
          <c:y val="3.3063998735460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Hits'!$AH$62</c:f>
              <c:strCache>
                <c:ptCount val="1"/>
                <c:pt idx="0">
                  <c:v>41-45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5F-CF43-856D-F7ACC29729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25F-CF43-856D-F7ACC29729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5F-CF43-856D-F7ACC29729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5F-CF43-856D-F7ACC29729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0D-D94E-9BE9-B90431196DCC}"/>
              </c:ext>
            </c:extLst>
          </c:dPt>
          <c:dLbls>
            <c:dLbl>
              <c:idx val="0"/>
              <c:layout>
                <c:manualLayout>
                  <c:x val="-0.11042369222917171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5F-CF43-856D-F7ACC2972929}"/>
                </c:ext>
              </c:extLst>
            </c:dLbl>
            <c:dLbl>
              <c:idx val="1"/>
              <c:layout>
                <c:manualLayout>
                  <c:x val="0"/>
                  <c:y val="-7.08514258617002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5F-CF43-856D-F7ACC2972929}"/>
                </c:ext>
              </c:extLst>
            </c:dLbl>
            <c:dLbl>
              <c:idx val="2"/>
              <c:layout>
                <c:manualLayout>
                  <c:x val="0.10490250761771318"/>
                  <c:y val="2.83405703446800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5F-CF43-856D-F7ACC2972929}"/>
                </c:ext>
              </c:extLst>
            </c:dLbl>
            <c:dLbl>
              <c:idx val="3"/>
              <c:layout>
                <c:manualLayout>
                  <c:x val="2.4845330751563546E-2"/>
                  <c:y val="9.44685678156003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5F-CF43-856D-F7ACC2972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Hits'!$AG$63:$AG$67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Hits'!$AH$63:$AH$67</c:f>
              <c:numCache>
                <c:formatCode>General</c:formatCode>
                <c:ptCount val="5"/>
                <c:pt idx="0">
                  <c:v>1.2500000000000001E-2</c:v>
                </c:pt>
                <c:pt idx="1">
                  <c:v>3.7499999999999999E-2</c:v>
                </c:pt>
                <c:pt idx="2">
                  <c:v>0.05</c:v>
                </c:pt>
                <c:pt idx="3">
                  <c:v>0.15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F-CF43-856D-F7ACC29729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46-50</a:t>
            </a:r>
          </a:p>
        </c:rich>
      </c:tx>
      <c:layout>
        <c:manualLayout>
          <c:xMode val="edge"/>
          <c:yMode val="edge"/>
          <c:x val="2.7357090675411512E-2"/>
          <c:y val="2.8340570344680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Hits'!$AH$69</c:f>
              <c:strCache>
                <c:ptCount val="1"/>
                <c:pt idx="0">
                  <c:v>46-50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47-BD44-976F-2CF1D89514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D47-BD44-976F-2CF1D895141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D47-BD44-976F-2CF1D895141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47-BD44-976F-2CF1D895141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88-F34A-9A66-9DC4D9CAF4A8}"/>
              </c:ext>
            </c:extLst>
          </c:dPt>
          <c:dLbls>
            <c:dLbl>
              <c:idx val="0"/>
              <c:layout>
                <c:manualLayout>
                  <c:x val="-9.0986951155573412E-2"/>
                  <c:y val="-4.723428390780016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47-BD44-976F-2CF1D8951414}"/>
                </c:ext>
              </c:extLst>
            </c:dLbl>
            <c:dLbl>
              <c:idx val="1"/>
              <c:layout>
                <c:manualLayout>
                  <c:x val="-5.5143606760953553E-3"/>
                  <c:y val="-6.61279974709202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47-BD44-976F-2CF1D8951414}"/>
                </c:ext>
              </c:extLst>
            </c:dLbl>
            <c:dLbl>
              <c:idx val="2"/>
              <c:layout>
                <c:manualLayout>
                  <c:x val="5.2386426422905773E-2"/>
                  <c:y val="-2.1648796702328208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47-BD44-976F-2CF1D8951414}"/>
                </c:ext>
              </c:extLst>
            </c:dLbl>
            <c:dLbl>
              <c:idx val="3"/>
              <c:layout>
                <c:manualLayout>
                  <c:x val="2.7571803380476777E-3"/>
                  <c:y val="0.113362281378720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7-BD44-976F-2CF1D89514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Hits'!$AG$70:$AG$74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Hits'!$AH$70:$AH$74</c:f>
              <c:numCache>
                <c:formatCode>General</c:formatCode>
                <c:ptCount val="5"/>
                <c:pt idx="0">
                  <c:v>1.2500000000000001E-2</c:v>
                </c:pt>
                <c:pt idx="1">
                  <c:v>3.7499999999999999E-2</c:v>
                </c:pt>
                <c:pt idx="2">
                  <c:v>3.7499999999999999E-2</c:v>
                </c:pt>
                <c:pt idx="3">
                  <c:v>8.7499999999999994E-2</c:v>
                </c:pt>
                <c:pt idx="4">
                  <c:v>0.82499999999999996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7-BD44-976F-2CF1D8951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51-55</a:t>
            </a:r>
          </a:p>
        </c:rich>
      </c:tx>
      <c:layout>
        <c:manualLayout>
          <c:xMode val="edge"/>
          <c:yMode val="edge"/>
          <c:x val="1.9113121464648931E-2"/>
          <c:y val="2.8340570344680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Hits'!$AH$76</c:f>
              <c:strCache>
                <c:ptCount val="1"/>
                <c:pt idx="0">
                  <c:v>51-55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486-A446-B132-2563ADAD30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86-A446-B132-2563ADAD30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86-A446-B132-2563ADAD306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86-A446-B132-2563ADAD306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86-A446-B132-2563ADAD306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86-A446-B132-2563ADAD306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86-A446-B132-2563ADAD3066}"/>
                </c:ext>
              </c:extLst>
            </c:dLbl>
            <c:dLbl>
              <c:idx val="2"/>
              <c:layout>
                <c:manualLayout>
                  <c:x val="0.1102872135219071"/>
                  <c:y val="-5.66811406893602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86-A446-B132-2563ADAD3066}"/>
                </c:ext>
              </c:extLst>
            </c:dLbl>
            <c:dLbl>
              <c:idx val="3"/>
              <c:layout>
                <c:manualLayout>
                  <c:x val="5.238642642290587E-2"/>
                  <c:y val="9.9191996206380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86-A446-B132-2563ADAD30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Hits'!$AG$77:$AG$81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Hits'!$AH$77:$AH$81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3.7499999999999999E-2</c:v>
                </c:pt>
                <c:pt idx="3">
                  <c:v>6.25E-2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6-A446-B132-2563ADAD3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Picks 56-60</a:t>
            </a:r>
          </a:p>
        </c:rich>
      </c:tx>
      <c:layout>
        <c:manualLayout>
          <c:xMode val="edge"/>
          <c:yMode val="edge"/>
          <c:x val="2.7384662478791962E-2"/>
          <c:y val="2.8340570344680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Hits'!$AH$85</c:f>
              <c:strCache>
                <c:ptCount val="1"/>
                <c:pt idx="0">
                  <c:v>56-60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19-8346-B136-967106F931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19-8346-B136-967106F931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319-8346-B136-967106F931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19-8346-B136-967106F931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19-8346-B136-967106F93157}"/>
              </c:ext>
            </c:extLst>
          </c:dPt>
          <c:dLbls>
            <c:dLbl>
              <c:idx val="0"/>
              <c:layout>
                <c:manualLayout>
                  <c:x val="-7.1686688789239672E-2"/>
                  <c:y val="-2.36171419539000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9-8346-B136-967106F931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19-8346-B136-967106F93157}"/>
                </c:ext>
              </c:extLst>
            </c:dLbl>
            <c:dLbl>
              <c:idx val="2"/>
              <c:layout>
                <c:manualLayout>
                  <c:x val="3.5843344394619808E-2"/>
                  <c:y val="-7.557485425248028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19-8346-B136-967106F93157}"/>
                </c:ext>
              </c:extLst>
            </c:dLbl>
            <c:dLbl>
              <c:idx val="3"/>
              <c:layout>
                <c:manualLayout>
                  <c:x val="0.1461305579165269"/>
                  <c:y val="4.25108555170201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19-8346-B136-967106F93157}"/>
                </c:ext>
              </c:extLst>
            </c:dLbl>
            <c:dLbl>
              <c:idx val="4"/>
              <c:layout>
                <c:manualLayout>
                  <c:x val="-0.13510183656433625"/>
                  <c:y val="-0.122809138160280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19-8346-B136-967106F931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Hits'!$AG$86:$AG$90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Hits'!$AH$86:$AH$90</c:f>
              <c:numCache>
                <c:formatCode>General</c:formatCode>
                <c:ptCount val="5"/>
                <c:pt idx="0">
                  <c:v>1.2500000000000001E-2</c:v>
                </c:pt>
                <c:pt idx="1">
                  <c:v>0</c:v>
                </c:pt>
                <c:pt idx="2">
                  <c:v>1.2500000000000001E-2</c:v>
                </c:pt>
                <c:pt idx="3">
                  <c:v>2.5000000000000001E-2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9-8346-B136-967106F931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"Good" 2RP</a:t>
            </a:r>
          </a:p>
          <a:p>
            <a:pPr>
              <a:defRPr/>
            </a:pPr>
            <a:r>
              <a:rPr lang="en-US"/>
              <a:t>(All</a:t>
            </a:r>
            <a:r>
              <a:rPr lang="en-US" baseline="0"/>
              <a:t> picks 31-45)</a:t>
            </a:r>
            <a:endParaRPr lang="en-US"/>
          </a:p>
        </c:rich>
      </c:tx>
      <c:layout>
        <c:manualLayout>
          <c:xMode val="edge"/>
          <c:yMode val="edge"/>
          <c:x val="4.329855643044619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Hits'!$AR$37</c:f>
              <c:strCache>
                <c:ptCount val="1"/>
                <c:pt idx="0">
                  <c:v>31-45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11D-AA4E-8D4C-FA5D51BCC7A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1D-AA4E-8D4C-FA5D51BCC7A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11D-AA4E-8D4C-FA5D51BCC7A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1D-AA4E-8D4C-FA5D51BCC7A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1D-AA4E-8D4C-FA5D51BCC7A2}"/>
              </c:ext>
            </c:extLst>
          </c:dPt>
          <c:dLbls>
            <c:dLbl>
              <c:idx val="0"/>
              <c:layout>
                <c:manualLayout>
                  <c:x val="-5.027932960893855E-2"/>
                  <c:y val="-2.1484129456758326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1D-AA4E-8D4C-FA5D51BCC7A2}"/>
                </c:ext>
              </c:extLst>
            </c:dLbl>
            <c:dLbl>
              <c:idx val="1"/>
              <c:layout>
                <c:manualLayout>
                  <c:x val="-2.7932960893854747E-2"/>
                  <c:y val="-4.68750057671021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1D-AA4E-8D4C-FA5D51BCC7A2}"/>
                </c:ext>
              </c:extLst>
            </c:dLbl>
            <c:dLbl>
              <c:idx val="2"/>
              <c:layout>
                <c:manualLayout>
                  <c:x val="6.7039106145251395E-2"/>
                  <c:y val="-9.375001153420461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1D-AA4E-8D4C-FA5D51BCC7A2}"/>
                </c:ext>
              </c:extLst>
            </c:dLbl>
            <c:dLbl>
              <c:idx val="3"/>
              <c:layout>
                <c:manualLayout>
                  <c:x val="1.6759776536312748E-2"/>
                  <c:y val="-3.2812504036971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1D-AA4E-8D4C-FA5D51BCC7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Hits'!$AG$38:$AG$42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Hits'!$AR$38:$AR$42</c:f>
              <c:numCache>
                <c:formatCode>General</c:formatCode>
                <c:ptCount val="5"/>
                <c:pt idx="0">
                  <c:v>2.0833333333333332E-2</c:v>
                </c:pt>
                <c:pt idx="1">
                  <c:v>5.8333333333333334E-2</c:v>
                </c:pt>
                <c:pt idx="2">
                  <c:v>8.7499999999999994E-2</c:v>
                </c:pt>
                <c:pt idx="3">
                  <c:v>0.15416666666666667</c:v>
                </c:pt>
                <c:pt idx="4">
                  <c:v>0.6791666666666667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D-AA4E-8D4C-FA5D51BCC7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"Bad" 2RP</a:t>
            </a:r>
          </a:p>
          <a:p>
            <a:pPr>
              <a:defRPr/>
            </a:pPr>
            <a:r>
              <a:rPr lang="en-US"/>
              <a:t>(36-60)</a:t>
            </a:r>
          </a:p>
        </c:rich>
      </c:tx>
      <c:layout>
        <c:manualLayout>
          <c:xMode val="edge"/>
          <c:yMode val="edge"/>
          <c:x val="3.8416666666666696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'Draft Hits'!$AS$37</c:f>
              <c:strCache>
                <c:ptCount val="1"/>
                <c:pt idx="0">
                  <c:v>46-60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B2-5442-B77B-91FCC31F4F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3B2-5442-B77B-91FCC31F4F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B2-5442-B77B-91FCC31F4F1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3B2-5442-B77B-91FCC31F4F1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B2-5442-B77B-91FCC31F4F10}"/>
              </c:ext>
            </c:extLst>
          </c:dPt>
          <c:dLbls>
            <c:dLbl>
              <c:idx val="0"/>
              <c:layout>
                <c:manualLayout>
                  <c:x val="-0.12500000000000006"/>
                  <c:y val="-4.629629629629608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B2-5442-B77B-91FCC31F4F10}"/>
                </c:ext>
              </c:extLst>
            </c:dLbl>
            <c:dLbl>
              <c:idx val="1"/>
              <c:layout>
                <c:manualLayout>
                  <c:x val="-3.0555555555555607E-2"/>
                  <c:y val="-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B2-5442-B77B-91FCC31F4F10}"/>
                </c:ext>
              </c:extLst>
            </c:dLbl>
            <c:dLbl>
              <c:idx val="2"/>
              <c:layout>
                <c:manualLayout>
                  <c:x val="9.4444444444444345E-2"/>
                  <c:y val="-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B2-5442-B77B-91FCC31F4F10}"/>
                </c:ext>
              </c:extLst>
            </c:dLbl>
            <c:dLbl>
              <c:idx val="3"/>
              <c:layout>
                <c:manualLayout>
                  <c:x val="7.4999999999999997E-2"/>
                  <c:y val="0.157407407407407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B2-5442-B77B-91FCC31F4F10}"/>
                </c:ext>
              </c:extLst>
            </c:dLbl>
            <c:dLbl>
              <c:idx val="4"/>
              <c:layout>
                <c:manualLayout>
                  <c:x val="-0.10555555555555556"/>
                  <c:y val="-0.138888888888888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B2-5442-B77B-91FCC31F4F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'Draft Hits'!$AG$38:$AG$42</c:f>
              <c:strCache>
                <c:ptCount val="5"/>
                <c:pt idx="0">
                  <c:v>All Star+</c:v>
                </c:pt>
                <c:pt idx="1">
                  <c:v>Quality Starter</c:v>
                </c:pt>
                <c:pt idx="2">
                  <c:v>Role Player</c:v>
                </c:pt>
                <c:pt idx="3">
                  <c:v>Deep Rotation Guy</c:v>
                </c:pt>
                <c:pt idx="4">
                  <c:v>Valueless</c:v>
                </c:pt>
              </c:strCache>
            </c:strRef>
          </c:cat>
          <c:val>
            <c:numRef>
              <c:f>'Draft Hits'!$AS$38:$AS$42</c:f>
              <c:numCache>
                <c:formatCode>General</c:formatCode>
                <c:ptCount val="5"/>
                <c:pt idx="0">
                  <c:v>8.3333333333333332E-3</c:v>
                </c:pt>
                <c:pt idx="1">
                  <c:v>1.2500000000000001E-2</c:v>
                </c:pt>
                <c:pt idx="2">
                  <c:v>2.9166666666666667E-2</c:v>
                </c:pt>
                <c:pt idx="3">
                  <c:v>5.8333333333333334E-2</c:v>
                </c:pt>
                <c:pt idx="4">
                  <c:v>0.89166666666666661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2-5442-B77B-91FCC31F4F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MASTER!$R$1</c:f>
              <c:strCache>
                <c:ptCount val="1"/>
                <c:pt idx="0">
                  <c:v>WS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MASTER!$A$2:$A$479</c:f>
              <c:strCache>
                <c:ptCount val="478"/>
                <c:pt idx="0">
                  <c:v>36</c:v>
                </c:pt>
                <c:pt idx="1">
                  <c:v>39</c:v>
                </c:pt>
                <c:pt idx="2">
                  <c:v>46</c:v>
                </c:pt>
                <c:pt idx="3">
                  <c:v>50</c:v>
                </c:pt>
                <c:pt idx="4">
                  <c:v>54</c:v>
                </c:pt>
                <c:pt idx="5">
                  <c:v>58</c:v>
                </c:pt>
                <c:pt idx="6">
                  <c:v>34</c:v>
                </c:pt>
                <c:pt idx="7">
                  <c:v>45</c:v>
                </c:pt>
                <c:pt idx="8">
                  <c:v>49</c:v>
                </c:pt>
                <c:pt idx="9">
                  <c:v>57</c:v>
                </c:pt>
                <c:pt idx="10">
                  <c:v>47</c:v>
                </c:pt>
                <c:pt idx="11">
                  <c:v>51</c:v>
                </c:pt>
                <c:pt idx="12">
                  <c:v>56</c:v>
                </c:pt>
                <c:pt idx="13">
                  <c:v>60</c:v>
                </c:pt>
                <c:pt idx="14">
                  <c:v>43</c:v>
                </c:pt>
                <c:pt idx="15">
                  <c:v>44</c:v>
                </c:pt>
                <c:pt idx="16">
                  <c:v>51</c:v>
                </c:pt>
                <c:pt idx="17">
                  <c:v>50</c:v>
                </c:pt>
                <c:pt idx="18">
                  <c:v>58</c:v>
                </c:pt>
                <c:pt idx="19">
                  <c:v>60</c:v>
                </c:pt>
                <c:pt idx="20">
                  <c:v>35</c:v>
                </c:pt>
                <c:pt idx="21">
                  <c:v>39</c:v>
                </c:pt>
                <c:pt idx="22">
                  <c:v>44</c:v>
                </c:pt>
                <c:pt idx="23">
                  <c:v>57</c:v>
                </c:pt>
                <c:pt idx="24">
                  <c:v>59</c:v>
                </c:pt>
                <c:pt idx="25">
                  <c:v>39</c:v>
                </c:pt>
                <c:pt idx="26">
                  <c:v>42</c:v>
                </c:pt>
                <c:pt idx="27">
                  <c:v>45</c:v>
                </c:pt>
                <c:pt idx="28">
                  <c:v>47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37</c:v>
                </c:pt>
                <c:pt idx="41">
                  <c:v>50</c:v>
                </c:pt>
                <c:pt idx="42">
                  <c:v>53</c:v>
                </c:pt>
                <c:pt idx="43">
                  <c:v>54</c:v>
                </c:pt>
                <c:pt idx="44">
                  <c:v>57</c:v>
                </c:pt>
                <c:pt idx="45">
                  <c:v>59</c:v>
                </c:pt>
                <c:pt idx="46">
                  <c:v>45</c:v>
                </c:pt>
                <c:pt idx="47">
                  <c:v>51</c:v>
                </c:pt>
                <c:pt idx="48">
                  <c:v>53</c:v>
                </c:pt>
                <c:pt idx="49">
                  <c:v>54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60</c:v>
                </c:pt>
                <c:pt idx="54">
                  <c:v>50</c:v>
                </c:pt>
                <c:pt idx="55">
                  <c:v>56</c:v>
                </c:pt>
                <c:pt idx="56">
                  <c:v>57</c:v>
                </c:pt>
                <c:pt idx="57">
                  <c:v>59</c:v>
                </c:pt>
                <c:pt idx="58">
                  <c:v>51</c:v>
                </c:pt>
                <c:pt idx="59">
                  <c:v>54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36</c:v>
                </c:pt>
                <c:pt idx="65">
                  <c:v>42</c:v>
                </c:pt>
                <c:pt idx="66">
                  <c:v>45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51</c:v>
                </c:pt>
                <c:pt idx="71">
                  <c:v>59</c:v>
                </c:pt>
                <c:pt idx="72">
                  <c:v>60</c:v>
                </c:pt>
                <c:pt idx="73">
                  <c:v>34</c:v>
                </c:pt>
                <c:pt idx="74">
                  <c:v>47</c:v>
                </c:pt>
                <c:pt idx="75">
                  <c:v>49</c:v>
                </c:pt>
                <c:pt idx="76">
                  <c:v>50</c:v>
                </c:pt>
                <c:pt idx="77">
                  <c:v>51</c:v>
                </c:pt>
                <c:pt idx="78">
                  <c:v>54</c:v>
                </c:pt>
                <c:pt idx="79">
                  <c:v>56</c:v>
                </c:pt>
                <c:pt idx="80">
                  <c:v>57</c:v>
                </c:pt>
                <c:pt idx="81">
                  <c:v>59</c:v>
                </c:pt>
                <c:pt idx="82">
                  <c:v>60</c:v>
                </c:pt>
                <c:pt idx="83">
                  <c:v>44</c:v>
                </c:pt>
                <c:pt idx="84">
                  <c:v>46</c:v>
                </c:pt>
                <c:pt idx="85">
                  <c:v>49</c:v>
                </c:pt>
                <c:pt idx="86">
                  <c:v>50</c:v>
                </c:pt>
                <c:pt idx="87">
                  <c:v>51</c:v>
                </c:pt>
                <c:pt idx="88">
                  <c:v>53</c:v>
                </c:pt>
                <c:pt idx="89">
                  <c:v>54</c:v>
                </c:pt>
                <c:pt idx="90">
                  <c:v>57</c:v>
                </c:pt>
                <c:pt idx="91">
                  <c:v>59</c:v>
                </c:pt>
                <c:pt idx="92">
                  <c:v>39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50</c:v>
                </c:pt>
                <c:pt idx="97">
                  <c:v>54</c:v>
                </c:pt>
                <c:pt idx="98">
                  <c:v>55</c:v>
                </c:pt>
                <c:pt idx="99">
                  <c:v>57</c:v>
                </c:pt>
                <c:pt idx="100">
                  <c:v>58</c:v>
                </c:pt>
                <c:pt idx="101">
                  <c:v>60</c:v>
                </c:pt>
                <c:pt idx="102">
                  <c:v>Pick</c:v>
                </c:pt>
                <c:pt idx="103">
                  <c:v>48</c:v>
                </c:pt>
                <c:pt idx="104">
                  <c:v>33</c:v>
                </c:pt>
                <c:pt idx="105">
                  <c:v>35</c:v>
                </c:pt>
                <c:pt idx="106">
                  <c:v>36</c:v>
                </c:pt>
                <c:pt idx="107">
                  <c:v>32</c:v>
                </c:pt>
                <c:pt idx="108">
                  <c:v>33</c:v>
                </c:pt>
                <c:pt idx="109">
                  <c:v>32</c:v>
                </c:pt>
                <c:pt idx="110">
                  <c:v>38</c:v>
                </c:pt>
                <c:pt idx="111">
                  <c:v>35</c:v>
                </c:pt>
                <c:pt idx="112">
                  <c:v>39</c:v>
                </c:pt>
                <c:pt idx="113">
                  <c:v>45</c:v>
                </c:pt>
                <c:pt idx="114">
                  <c:v>31</c:v>
                </c:pt>
                <c:pt idx="115">
                  <c:v>31</c:v>
                </c:pt>
                <c:pt idx="116">
                  <c:v>35</c:v>
                </c:pt>
                <c:pt idx="117">
                  <c:v>45</c:v>
                </c:pt>
                <c:pt idx="118">
                  <c:v>60</c:v>
                </c:pt>
                <c:pt idx="119">
                  <c:v>31</c:v>
                </c:pt>
                <c:pt idx="120">
                  <c:v>36</c:v>
                </c:pt>
                <c:pt idx="121">
                  <c:v>43</c:v>
                </c:pt>
                <c:pt idx="122">
                  <c:v>34</c:v>
                </c:pt>
                <c:pt idx="123">
                  <c:v>42</c:v>
                </c:pt>
                <c:pt idx="124">
                  <c:v>48</c:v>
                </c:pt>
                <c:pt idx="125">
                  <c:v>39</c:v>
                </c:pt>
                <c:pt idx="126">
                  <c:v>34</c:v>
                </c:pt>
                <c:pt idx="127">
                  <c:v>46</c:v>
                </c:pt>
                <c:pt idx="128">
                  <c:v>38</c:v>
                </c:pt>
                <c:pt idx="129">
                  <c:v>38</c:v>
                </c:pt>
                <c:pt idx="130">
                  <c:v>46</c:v>
                </c:pt>
                <c:pt idx="131">
                  <c:v>31</c:v>
                </c:pt>
                <c:pt idx="132">
                  <c:v>38</c:v>
                </c:pt>
                <c:pt idx="133">
                  <c:v>51</c:v>
                </c:pt>
                <c:pt idx="134">
                  <c:v>32</c:v>
                </c:pt>
                <c:pt idx="135">
                  <c:v>37</c:v>
                </c:pt>
                <c:pt idx="136">
                  <c:v>39</c:v>
                </c:pt>
                <c:pt idx="137">
                  <c:v>35</c:v>
                </c:pt>
                <c:pt idx="138">
                  <c:v>42</c:v>
                </c:pt>
                <c:pt idx="139">
                  <c:v>55</c:v>
                </c:pt>
                <c:pt idx="140">
                  <c:v>40</c:v>
                </c:pt>
                <c:pt idx="141">
                  <c:v>37</c:v>
                </c:pt>
                <c:pt idx="142">
                  <c:v>56</c:v>
                </c:pt>
                <c:pt idx="143">
                  <c:v>36</c:v>
                </c:pt>
                <c:pt idx="144">
                  <c:v>41</c:v>
                </c:pt>
                <c:pt idx="145">
                  <c:v>37</c:v>
                </c:pt>
                <c:pt idx="146">
                  <c:v>43</c:v>
                </c:pt>
                <c:pt idx="147">
                  <c:v>33</c:v>
                </c:pt>
                <c:pt idx="148">
                  <c:v>52</c:v>
                </c:pt>
                <c:pt idx="149">
                  <c:v>41</c:v>
                </c:pt>
                <c:pt idx="150">
                  <c:v>42</c:v>
                </c:pt>
                <c:pt idx="151">
                  <c:v>42</c:v>
                </c:pt>
                <c:pt idx="152">
                  <c:v>41</c:v>
                </c:pt>
                <c:pt idx="153">
                  <c:v>40</c:v>
                </c:pt>
                <c:pt idx="154">
                  <c:v>35</c:v>
                </c:pt>
                <c:pt idx="155">
                  <c:v>42</c:v>
                </c:pt>
                <c:pt idx="156">
                  <c:v>35</c:v>
                </c:pt>
                <c:pt idx="157">
                  <c:v>33</c:v>
                </c:pt>
                <c:pt idx="158">
                  <c:v>50</c:v>
                </c:pt>
                <c:pt idx="159">
                  <c:v>49</c:v>
                </c:pt>
                <c:pt idx="160">
                  <c:v>41</c:v>
                </c:pt>
                <c:pt idx="161">
                  <c:v>58</c:v>
                </c:pt>
                <c:pt idx="162">
                  <c:v>46</c:v>
                </c:pt>
                <c:pt idx="163">
                  <c:v>49</c:v>
                </c:pt>
                <c:pt idx="164">
                  <c:v>55</c:v>
                </c:pt>
                <c:pt idx="165">
                  <c:v>37</c:v>
                </c:pt>
                <c:pt idx="166">
                  <c:v>34</c:v>
                </c:pt>
                <c:pt idx="167">
                  <c:v>39</c:v>
                </c:pt>
                <c:pt idx="168">
                  <c:v>46</c:v>
                </c:pt>
                <c:pt idx="169">
                  <c:v>50</c:v>
                </c:pt>
                <c:pt idx="170">
                  <c:v>35</c:v>
                </c:pt>
                <c:pt idx="171">
                  <c:v>44</c:v>
                </c:pt>
                <c:pt idx="172">
                  <c:v>31</c:v>
                </c:pt>
                <c:pt idx="173">
                  <c:v>34</c:v>
                </c:pt>
                <c:pt idx="174">
                  <c:v>43</c:v>
                </c:pt>
                <c:pt idx="175">
                  <c:v>31</c:v>
                </c:pt>
                <c:pt idx="176">
                  <c:v>40</c:v>
                </c:pt>
                <c:pt idx="177">
                  <c:v>44</c:v>
                </c:pt>
                <c:pt idx="178">
                  <c:v>50</c:v>
                </c:pt>
                <c:pt idx="179">
                  <c:v>37</c:v>
                </c:pt>
                <c:pt idx="180">
                  <c:v>36</c:v>
                </c:pt>
                <c:pt idx="181">
                  <c:v>41</c:v>
                </c:pt>
                <c:pt idx="182">
                  <c:v>32</c:v>
                </c:pt>
                <c:pt idx="183">
                  <c:v>33</c:v>
                </c:pt>
                <c:pt idx="184">
                  <c:v>40</c:v>
                </c:pt>
                <c:pt idx="185">
                  <c:v>54</c:v>
                </c:pt>
                <c:pt idx="186">
                  <c:v>58</c:v>
                </c:pt>
                <c:pt idx="187">
                  <c:v>35</c:v>
                </c:pt>
                <c:pt idx="188">
                  <c:v>31</c:v>
                </c:pt>
                <c:pt idx="189">
                  <c:v>45</c:v>
                </c:pt>
                <c:pt idx="190">
                  <c:v>40</c:v>
                </c:pt>
                <c:pt idx="191">
                  <c:v>55</c:v>
                </c:pt>
                <c:pt idx="192">
                  <c:v>47</c:v>
                </c:pt>
                <c:pt idx="193">
                  <c:v>53</c:v>
                </c:pt>
                <c:pt idx="194">
                  <c:v>39</c:v>
                </c:pt>
                <c:pt idx="195">
                  <c:v>55</c:v>
                </c:pt>
                <c:pt idx="196">
                  <c:v>36</c:v>
                </c:pt>
                <c:pt idx="197">
                  <c:v>36</c:v>
                </c:pt>
                <c:pt idx="198">
                  <c:v>45</c:v>
                </c:pt>
                <c:pt idx="199">
                  <c:v>34</c:v>
                </c:pt>
                <c:pt idx="200">
                  <c:v>33</c:v>
                </c:pt>
                <c:pt idx="201">
                  <c:v>32</c:v>
                </c:pt>
                <c:pt idx="202">
                  <c:v>36</c:v>
                </c:pt>
                <c:pt idx="203">
                  <c:v>37</c:v>
                </c:pt>
                <c:pt idx="204">
                  <c:v>48</c:v>
                </c:pt>
                <c:pt idx="205">
                  <c:v>45</c:v>
                </c:pt>
                <c:pt idx="206">
                  <c:v>38</c:v>
                </c:pt>
                <c:pt idx="207">
                  <c:v>33</c:v>
                </c:pt>
                <c:pt idx="208">
                  <c:v>35</c:v>
                </c:pt>
                <c:pt idx="209">
                  <c:v>32</c:v>
                </c:pt>
                <c:pt idx="210">
                  <c:v>31</c:v>
                </c:pt>
                <c:pt idx="211">
                  <c:v>53</c:v>
                </c:pt>
                <c:pt idx="212">
                  <c:v>55</c:v>
                </c:pt>
                <c:pt idx="213">
                  <c:v>57</c:v>
                </c:pt>
                <c:pt idx="214">
                  <c:v>40</c:v>
                </c:pt>
                <c:pt idx="215">
                  <c:v>46</c:v>
                </c:pt>
                <c:pt idx="216">
                  <c:v>46</c:v>
                </c:pt>
                <c:pt idx="217">
                  <c:v>44</c:v>
                </c:pt>
                <c:pt idx="218">
                  <c:v>60</c:v>
                </c:pt>
                <c:pt idx="219">
                  <c:v>52</c:v>
                </c:pt>
                <c:pt idx="220">
                  <c:v>39</c:v>
                </c:pt>
                <c:pt idx="221">
                  <c:v>31</c:v>
                </c:pt>
                <c:pt idx="222">
                  <c:v>37</c:v>
                </c:pt>
                <c:pt idx="223">
                  <c:v>45</c:v>
                </c:pt>
                <c:pt idx="224">
                  <c:v>43</c:v>
                </c:pt>
                <c:pt idx="225">
                  <c:v>54</c:v>
                </c:pt>
                <c:pt idx="226">
                  <c:v>45</c:v>
                </c:pt>
                <c:pt idx="227">
                  <c:v>57</c:v>
                </c:pt>
                <c:pt idx="228">
                  <c:v>47</c:v>
                </c:pt>
                <c:pt idx="229">
                  <c:v>38</c:v>
                </c:pt>
                <c:pt idx="230">
                  <c:v>49</c:v>
                </c:pt>
                <c:pt idx="231">
                  <c:v>53</c:v>
                </c:pt>
                <c:pt idx="232">
                  <c:v>58</c:v>
                </c:pt>
                <c:pt idx="233">
                  <c:v>46</c:v>
                </c:pt>
                <c:pt idx="234">
                  <c:v>47</c:v>
                </c:pt>
                <c:pt idx="235">
                  <c:v>40</c:v>
                </c:pt>
                <c:pt idx="236">
                  <c:v>60</c:v>
                </c:pt>
                <c:pt idx="237">
                  <c:v>49</c:v>
                </c:pt>
                <c:pt idx="238">
                  <c:v>38</c:v>
                </c:pt>
                <c:pt idx="239">
                  <c:v>38</c:v>
                </c:pt>
                <c:pt idx="240">
                  <c:v>32</c:v>
                </c:pt>
                <c:pt idx="241">
                  <c:v>44</c:v>
                </c:pt>
                <c:pt idx="242">
                  <c:v>33</c:v>
                </c:pt>
                <c:pt idx="243">
                  <c:v>34</c:v>
                </c:pt>
                <c:pt idx="244">
                  <c:v>43</c:v>
                </c:pt>
                <c:pt idx="245">
                  <c:v>52</c:v>
                </c:pt>
                <c:pt idx="246">
                  <c:v>40</c:v>
                </c:pt>
                <c:pt idx="247">
                  <c:v>55</c:v>
                </c:pt>
                <c:pt idx="248">
                  <c:v>45</c:v>
                </c:pt>
                <c:pt idx="249">
                  <c:v>48</c:v>
                </c:pt>
                <c:pt idx="250">
                  <c:v>44</c:v>
                </c:pt>
                <c:pt idx="251">
                  <c:v>33</c:v>
                </c:pt>
                <c:pt idx="252">
                  <c:v>34</c:v>
                </c:pt>
                <c:pt idx="253">
                  <c:v>36</c:v>
                </c:pt>
                <c:pt idx="254">
                  <c:v>45</c:v>
                </c:pt>
                <c:pt idx="255">
                  <c:v>36</c:v>
                </c:pt>
                <c:pt idx="256">
                  <c:v>47</c:v>
                </c:pt>
                <c:pt idx="257">
                  <c:v>37</c:v>
                </c:pt>
                <c:pt idx="258">
                  <c:v>52</c:v>
                </c:pt>
                <c:pt idx="259">
                  <c:v>34</c:v>
                </c:pt>
                <c:pt idx="260">
                  <c:v>47</c:v>
                </c:pt>
                <c:pt idx="261">
                  <c:v>33</c:v>
                </c:pt>
                <c:pt idx="262">
                  <c:v>47</c:v>
                </c:pt>
                <c:pt idx="263">
                  <c:v>52</c:v>
                </c:pt>
                <c:pt idx="264">
                  <c:v>44</c:v>
                </c:pt>
                <c:pt idx="265">
                  <c:v>48</c:v>
                </c:pt>
                <c:pt idx="266">
                  <c:v>60</c:v>
                </c:pt>
                <c:pt idx="267">
                  <c:v>58</c:v>
                </c:pt>
                <c:pt idx="268">
                  <c:v>42</c:v>
                </c:pt>
                <c:pt idx="269">
                  <c:v>50</c:v>
                </c:pt>
                <c:pt idx="270">
                  <c:v>31</c:v>
                </c:pt>
                <c:pt idx="271">
                  <c:v>49</c:v>
                </c:pt>
                <c:pt idx="272">
                  <c:v>52</c:v>
                </c:pt>
                <c:pt idx="273">
                  <c:v>38</c:v>
                </c:pt>
                <c:pt idx="274">
                  <c:v>46</c:v>
                </c:pt>
                <c:pt idx="275">
                  <c:v>36</c:v>
                </c:pt>
                <c:pt idx="276">
                  <c:v>60</c:v>
                </c:pt>
                <c:pt idx="277">
                  <c:v>52</c:v>
                </c:pt>
                <c:pt idx="278">
                  <c:v>32</c:v>
                </c:pt>
                <c:pt idx="279">
                  <c:v>31</c:v>
                </c:pt>
                <c:pt idx="280">
                  <c:v>52</c:v>
                </c:pt>
                <c:pt idx="281">
                  <c:v>40</c:v>
                </c:pt>
                <c:pt idx="282">
                  <c:v>44</c:v>
                </c:pt>
                <c:pt idx="283">
                  <c:v>39</c:v>
                </c:pt>
                <c:pt idx="284">
                  <c:v>58</c:v>
                </c:pt>
                <c:pt idx="285">
                  <c:v>48</c:v>
                </c:pt>
                <c:pt idx="286">
                  <c:v>45</c:v>
                </c:pt>
                <c:pt idx="287">
                  <c:v>32</c:v>
                </c:pt>
                <c:pt idx="288">
                  <c:v>41</c:v>
                </c:pt>
                <c:pt idx="289">
                  <c:v>44</c:v>
                </c:pt>
                <c:pt idx="290">
                  <c:v>41</c:v>
                </c:pt>
                <c:pt idx="291">
                  <c:v>41</c:v>
                </c:pt>
                <c:pt idx="292">
                  <c:v>58</c:v>
                </c:pt>
                <c:pt idx="293">
                  <c:v>53</c:v>
                </c:pt>
                <c:pt idx="294">
                  <c:v>53</c:v>
                </c:pt>
                <c:pt idx="295">
                  <c:v>51</c:v>
                </c:pt>
                <c:pt idx="296">
                  <c:v>37</c:v>
                </c:pt>
                <c:pt idx="297">
                  <c:v>38</c:v>
                </c:pt>
                <c:pt idx="298">
                  <c:v>37</c:v>
                </c:pt>
                <c:pt idx="299">
                  <c:v>59</c:v>
                </c:pt>
                <c:pt idx="300">
                  <c:v>42</c:v>
                </c:pt>
                <c:pt idx="301">
                  <c:v>34</c:v>
                </c:pt>
                <c:pt idx="302">
                  <c:v>54</c:v>
                </c:pt>
                <c:pt idx="303">
                  <c:v>59</c:v>
                </c:pt>
                <c:pt idx="304">
                  <c:v>38</c:v>
                </c:pt>
                <c:pt idx="305">
                  <c:v>58</c:v>
                </c:pt>
                <c:pt idx="306">
                  <c:v>46</c:v>
                </c:pt>
                <c:pt idx="307">
                  <c:v>48</c:v>
                </c:pt>
                <c:pt idx="308">
                  <c:v>50</c:v>
                </c:pt>
                <c:pt idx="309">
                  <c:v>51</c:v>
                </c:pt>
                <c:pt idx="310">
                  <c:v>46</c:v>
                </c:pt>
                <c:pt idx="311">
                  <c:v>32</c:v>
                </c:pt>
                <c:pt idx="312">
                  <c:v>31</c:v>
                </c:pt>
                <c:pt idx="313">
                  <c:v>36</c:v>
                </c:pt>
                <c:pt idx="314">
                  <c:v>44</c:v>
                </c:pt>
                <c:pt idx="315">
                  <c:v>40</c:v>
                </c:pt>
                <c:pt idx="316">
                  <c:v>52</c:v>
                </c:pt>
                <c:pt idx="317">
                  <c:v>48</c:v>
                </c:pt>
                <c:pt idx="318">
                  <c:v>57</c:v>
                </c:pt>
                <c:pt idx="319">
                  <c:v>40</c:v>
                </c:pt>
                <c:pt idx="320">
                  <c:v>56</c:v>
                </c:pt>
                <c:pt idx="321">
                  <c:v>37</c:v>
                </c:pt>
                <c:pt idx="322">
                  <c:v>44</c:v>
                </c:pt>
                <c:pt idx="323">
                  <c:v>54</c:v>
                </c:pt>
                <c:pt idx="324">
                  <c:v>56</c:v>
                </c:pt>
                <c:pt idx="325">
                  <c:v>32</c:v>
                </c:pt>
                <c:pt idx="326">
                  <c:v>44</c:v>
                </c:pt>
                <c:pt idx="327">
                  <c:v>50</c:v>
                </c:pt>
                <c:pt idx="328">
                  <c:v>35</c:v>
                </c:pt>
                <c:pt idx="329">
                  <c:v>38</c:v>
                </c:pt>
                <c:pt idx="330">
                  <c:v>38</c:v>
                </c:pt>
                <c:pt idx="331">
                  <c:v>34</c:v>
                </c:pt>
                <c:pt idx="332">
                  <c:v>33</c:v>
                </c:pt>
                <c:pt idx="333">
                  <c:v>43</c:v>
                </c:pt>
                <c:pt idx="334">
                  <c:v>49</c:v>
                </c:pt>
                <c:pt idx="335">
                  <c:v>33</c:v>
                </c:pt>
                <c:pt idx="336">
                  <c:v>39</c:v>
                </c:pt>
                <c:pt idx="337">
                  <c:v>40</c:v>
                </c:pt>
                <c:pt idx="338">
                  <c:v>52</c:v>
                </c:pt>
                <c:pt idx="339">
                  <c:v>48</c:v>
                </c:pt>
                <c:pt idx="340">
                  <c:v>47</c:v>
                </c:pt>
                <c:pt idx="341">
                  <c:v>43</c:v>
                </c:pt>
                <c:pt idx="342">
                  <c:v>43</c:v>
                </c:pt>
                <c:pt idx="343">
                  <c:v>32</c:v>
                </c:pt>
                <c:pt idx="344">
                  <c:v>56</c:v>
                </c:pt>
                <c:pt idx="345">
                  <c:v>59</c:v>
                </c:pt>
                <c:pt idx="346">
                  <c:v>56</c:v>
                </c:pt>
                <c:pt idx="347">
                  <c:v>58</c:v>
                </c:pt>
                <c:pt idx="348">
                  <c:v>43</c:v>
                </c:pt>
                <c:pt idx="349">
                  <c:v>55</c:v>
                </c:pt>
                <c:pt idx="350">
                  <c:v>52</c:v>
                </c:pt>
                <c:pt idx="351">
                  <c:v>47</c:v>
                </c:pt>
                <c:pt idx="352">
                  <c:v>57</c:v>
                </c:pt>
                <c:pt idx="353">
                  <c:v>32</c:v>
                </c:pt>
                <c:pt idx="354">
                  <c:v>41</c:v>
                </c:pt>
                <c:pt idx="355">
                  <c:v>42</c:v>
                </c:pt>
                <c:pt idx="356">
                  <c:v>33</c:v>
                </c:pt>
                <c:pt idx="357">
                  <c:v>38</c:v>
                </c:pt>
                <c:pt idx="358">
                  <c:v>39</c:v>
                </c:pt>
                <c:pt idx="359">
                  <c:v>43</c:v>
                </c:pt>
                <c:pt idx="360">
                  <c:v>32</c:v>
                </c:pt>
                <c:pt idx="361">
                  <c:v>49</c:v>
                </c:pt>
                <c:pt idx="362">
                  <c:v>45</c:v>
                </c:pt>
                <c:pt idx="363">
                  <c:v>41</c:v>
                </c:pt>
                <c:pt idx="364">
                  <c:v>48</c:v>
                </c:pt>
                <c:pt idx="365">
                  <c:v>51</c:v>
                </c:pt>
                <c:pt idx="366">
                  <c:v>33</c:v>
                </c:pt>
                <c:pt idx="367">
                  <c:v>41</c:v>
                </c:pt>
                <c:pt idx="368">
                  <c:v>53</c:v>
                </c:pt>
                <c:pt idx="369">
                  <c:v>57</c:v>
                </c:pt>
                <c:pt idx="370">
                  <c:v>56</c:v>
                </c:pt>
                <c:pt idx="371">
                  <c:v>37</c:v>
                </c:pt>
                <c:pt idx="372">
                  <c:v>36</c:v>
                </c:pt>
                <c:pt idx="373">
                  <c:v>48</c:v>
                </c:pt>
                <c:pt idx="374">
                  <c:v>46</c:v>
                </c:pt>
                <c:pt idx="375">
                  <c:v>42</c:v>
                </c:pt>
                <c:pt idx="376">
                  <c:v>58</c:v>
                </c:pt>
                <c:pt idx="377">
                  <c:v>53</c:v>
                </c:pt>
                <c:pt idx="378">
                  <c:v>51</c:v>
                </c:pt>
                <c:pt idx="379">
                  <c:v>55</c:v>
                </c:pt>
                <c:pt idx="380">
                  <c:v>60</c:v>
                </c:pt>
                <c:pt idx="381">
                  <c:v>42</c:v>
                </c:pt>
                <c:pt idx="382">
                  <c:v>47</c:v>
                </c:pt>
                <c:pt idx="383">
                  <c:v>50</c:v>
                </c:pt>
                <c:pt idx="384">
                  <c:v>56</c:v>
                </c:pt>
                <c:pt idx="385">
                  <c:v>31</c:v>
                </c:pt>
                <c:pt idx="386">
                  <c:v>36</c:v>
                </c:pt>
                <c:pt idx="387">
                  <c:v>44</c:v>
                </c:pt>
                <c:pt idx="388">
                  <c:v>54</c:v>
                </c:pt>
                <c:pt idx="389">
                  <c:v>53</c:v>
                </c:pt>
                <c:pt idx="390">
                  <c:v>59</c:v>
                </c:pt>
                <c:pt idx="391">
                  <c:v>52</c:v>
                </c:pt>
                <c:pt idx="392">
                  <c:v>55</c:v>
                </c:pt>
                <c:pt idx="393">
                  <c:v>47</c:v>
                </c:pt>
                <c:pt idx="394">
                  <c:v>55</c:v>
                </c:pt>
                <c:pt idx="395">
                  <c:v>41</c:v>
                </c:pt>
                <c:pt idx="396">
                  <c:v>46</c:v>
                </c:pt>
                <c:pt idx="397">
                  <c:v>48</c:v>
                </c:pt>
                <c:pt idx="398">
                  <c:v>53</c:v>
                </c:pt>
                <c:pt idx="399">
                  <c:v>55</c:v>
                </c:pt>
                <c:pt idx="400">
                  <c:v>56</c:v>
                </c:pt>
                <c:pt idx="401">
                  <c:v>56</c:v>
                </c:pt>
                <c:pt idx="402">
                  <c:v>33</c:v>
                </c:pt>
                <c:pt idx="403">
                  <c:v>41</c:v>
                </c:pt>
                <c:pt idx="404">
                  <c:v>42</c:v>
                </c:pt>
                <c:pt idx="405">
                  <c:v>37</c:v>
                </c:pt>
                <c:pt idx="406">
                  <c:v>46</c:v>
                </c:pt>
                <c:pt idx="407">
                  <c:v>48</c:v>
                </c:pt>
                <c:pt idx="408">
                  <c:v>46</c:v>
                </c:pt>
                <c:pt idx="409">
                  <c:v>50</c:v>
                </c:pt>
                <c:pt idx="410">
                  <c:v>53</c:v>
                </c:pt>
                <c:pt idx="411">
                  <c:v>56</c:v>
                </c:pt>
                <c:pt idx="412">
                  <c:v>48</c:v>
                </c:pt>
                <c:pt idx="413">
                  <c:v>39</c:v>
                </c:pt>
                <c:pt idx="414">
                  <c:v>42</c:v>
                </c:pt>
                <c:pt idx="415">
                  <c:v>58</c:v>
                </c:pt>
                <c:pt idx="416">
                  <c:v>36</c:v>
                </c:pt>
                <c:pt idx="417">
                  <c:v>51</c:v>
                </c:pt>
                <c:pt idx="418">
                  <c:v>35</c:v>
                </c:pt>
                <c:pt idx="419">
                  <c:v>43</c:v>
                </c:pt>
                <c:pt idx="420">
                  <c:v>55</c:v>
                </c:pt>
                <c:pt idx="421">
                  <c:v>38</c:v>
                </c:pt>
                <c:pt idx="422">
                  <c:v>52</c:v>
                </c:pt>
                <c:pt idx="423">
                  <c:v>34</c:v>
                </c:pt>
                <c:pt idx="424">
                  <c:v>40</c:v>
                </c:pt>
                <c:pt idx="425">
                  <c:v>35</c:v>
                </c:pt>
                <c:pt idx="426">
                  <c:v>37</c:v>
                </c:pt>
                <c:pt idx="427">
                  <c:v>59</c:v>
                </c:pt>
                <c:pt idx="428">
                  <c:v>49</c:v>
                </c:pt>
                <c:pt idx="429">
                  <c:v>35</c:v>
                </c:pt>
                <c:pt idx="430">
                  <c:v>34</c:v>
                </c:pt>
                <c:pt idx="431">
                  <c:v>33</c:v>
                </c:pt>
                <c:pt idx="432">
                  <c:v>60</c:v>
                </c:pt>
                <c:pt idx="433">
                  <c:v>34</c:v>
                </c:pt>
                <c:pt idx="434">
                  <c:v>41</c:v>
                </c:pt>
                <c:pt idx="435">
                  <c:v>32</c:v>
                </c:pt>
                <c:pt idx="436">
                  <c:v>60</c:v>
                </c:pt>
                <c:pt idx="437">
                  <c:v>54</c:v>
                </c:pt>
                <c:pt idx="438">
                  <c:v>57</c:v>
                </c:pt>
                <c:pt idx="439">
                  <c:v>40</c:v>
                </c:pt>
                <c:pt idx="440">
                  <c:v>43</c:v>
                </c:pt>
                <c:pt idx="441">
                  <c:v>49</c:v>
                </c:pt>
                <c:pt idx="442">
                  <c:v>51</c:v>
                </c:pt>
                <c:pt idx="443">
                  <c:v>31</c:v>
                </c:pt>
                <c:pt idx="444">
                  <c:v>42</c:v>
                </c:pt>
                <c:pt idx="445">
                  <c:v>47</c:v>
                </c:pt>
                <c:pt idx="446">
                  <c:v>35</c:v>
                </c:pt>
                <c:pt idx="447">
                  <c:v>40</c:v>
                </c:pt>
                <c:pt idx="448">
                  <c:v>49</c:v>
                </c:pt>
                <c:pt idx="449">
                  <c:v>51</c:v>
                </c:pt>
                <c:pt idx="450">
                  <c:v>54</c:v>
                </c:pt>
                <c:pt idx="451">
                  <c:v>31</c:v>
                </c:pt>
                <c:pt idx="452">
                  <c:v>32</c:v>
                </c:pt>
                <c:pt idx="453">
                  <c:v>43</c:v>
                </c:pt>
                <c:pt idx="454">
                  <c:v>40</c:v>
                </c:pt>
                <c:pt idx="455">
                  <c:v>52</c:v>
                </c:pt>
                <c:pt idx="456">
                  <c:v>53</c:v>
                </c:pt>
                <c:pt idx="457">
                  <c:v>35</c:v>
                </c:pt>
                <c:pt idx="458">
                  <c:v>31</c:v>
                </c:pt>
                <c:pt idx="459">
                  <c:v>52</c:v>
                </c:pt>
                <c:pt idx="460">
                  <c:v>56</c:v>
                </c:pt>
                <c:pt idx="461">
                  <c:v>55</c:v>
                </c:pt>
                <c:pt idx="462">
                  <c:v>48</c:v>
                </c:pt>
                <c:pt idx="463">
                  <c:v>39</c:v>
                </c:pt>
                <c:pt idx="464">
                  <c:v>53</c:v>
                </c:pt>
                <c:pt idx="465">
                  <c:v>39</c:v>
                </c:pt>
                <c:pt idx="466">
                  <c:v>54</c:v>
                </c:pt>
                <c:pt idx="467">
                  <c:v>56</c:v>
                </c:pt>
                <c:pt idx="468">
                  <c:v>37</c:v>
                </c:pt>
                <c:pt idx="469">
                  <c:v>38</c:v>
                </c:pt>
                <c:pt idx="470">
                  <c:v>59</c:v>
                </c:pt>
                <c:pt idx="471">
                  <c:v>34</c:v>
                </c:pt>
                <c:pt idx="472">
                  <c:v>43</c:v>
                </c:pt>
                <c:pt idx="473">
                  <c:v>47</c:v>
                </c:pt>
                <c:pt idx="474">
                  <c:v>49</c:v>
                </c:pt>
                <c:pt idx="475">
                  <c:v>55</c:v>
                </c:pt>
                <c:pt idx="476">
                  <c:v>42</c:v>
                </c:pt>
                <c:pt idx="477">
                  <c:v>41</c:v>
                </c:pt>
              </c:strCache>
            </c:strRef>
          </c:xVal>
          <c:yVal>
            <c:numRef>
              <c:f>MASTER!$R$2:$R$479</c:f>
              <c:numCache>
                <c:formatCode>General</c:formatCode>
                <c:ptCount val="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3" formatCode="0">
                  <c:v>85.3</c:v>
                </c:pt>
                <c:pt idx="104">
                  <c:v>44.4</c:v>
                </c:pt>
                <c:pt idx="105" formatCode="0">
                  <c:v>98.2</c:v>
                </c:pt>
                <c:pt idx="106">
                  <c:v>33.9</c:v>
                </c:pt>
                <c:pt idx="107">
                  <c:v>42.9</c:v>
                </c:pt>
                <c:pt idx="108" formatCode="0">
                  <c:v>52</c:v>
                </c:pt>
                <c:pt idx="109">
                  <c:v>46.2</c:v>
                </c:pt>
                <c:pt idx="110">
                  <c:v>30.7</c:v>
                </c:pt>
                <c:pt idx="111">
                  <c:v>62.7</c:v>
                </c:pt>
                <c:pt idx="112">
                  <c:v>57.6</c:v>
                </c:pt>
                <c:pt idx="113">
                  <c:v>47.2</c:v>
                </c:pt>
                <c:pt idx="114">
                  <c:v>24.3</c:v>
                </c:pt>
                <c:pt idx="115" formatCode="0">
                  <c:v>35.9</c:v>
                </c:pt>
                <c:pt idx="116">
                  <c:v>15.7</c:v>
                </c:pt>
                <c:pt idx="117" formatCode="0">
                  <c:v>56.7</c:v>
                </c:pt>
                <c:pt idx="118" formatCode="0">
                  <c:v>45.3</c:v>
                </c:pt>
                <c:pt idx="119" formatCode="0">
                  <c:v>37.6</c:v>
                </c:pt>
                <c:pt idx="120">
                  <c:v>33.200000000000003</c:v>
                </c:pt>
                <c:pt idx="121">
                  <c:v>25.2</c:v>
                </c:pt>
                <c:pt idx="122" formatCode="0">
                  <c:v>32.299999999999997</c:v>
                </c:pt>
                <c:pt idx="123" formatCode="0">
                  <c:v>40.200000000000003</c:v>
                </c:pt>
                <c:pt idx="124">
                  <c:v>19.899999999999999</c:v>
                </c:pt>
                <c:pt idx="125">
                  <c:v>36.4</c:v>
                </c:pt>
                <c:pt idx="126">
                  <c:v>43</c:v>
                </c:pt>
                <c:pt idx="127" formatCode="0">
                  <c:v>49.3</c:v>
                </c:pt>
                <c:pt idx="128" formatCode="0">
                  <c:v>28.9</c:v>
                </c:pt>
                <c:pt idx="129">
                  <c:v>35.1</c:v>
                </c:pt>
                <c:pt idx="130">
                  <c:v>31.7</c:v>
                </c:pt>
                <c:pt idx="131" formatCode="0">
                  <c:v>18.8</c:v>
                </c:pt>
                <c:pt idx="132">
                  <c:v>12.4</c:v>
                </c:pt>
                <c:pt idx="133">
                  <c:v>24.5</c:v>
                </c:pt>
                <c:pt idx="134">
                  <c:v>17.899999999999999</c:v>
                </c:pt>
                <c:pt idx="135">
                  <c:v>29.4</c:v>
                </c:pt>
                <c:pt idx="136" formatCode="0">
                  <c:v>25.8</c:v>
                </c:pt>
                <c:pt idx="137" formatCode="0">
                  <c:v>20</c:v>
                </c:pt>
                <c:pt idx="138">
                  <c:v>19.600000000000001</c:v>
                </c:pt>
                <c:pt idx="139">
                  <c:v>11.2</c:v>
                </c:pt>
                <c:pt idx="140">
                  <c:v>27.7</c:v>
                </c:pt>
                <c:pt idx="141" formatCode="0">
                  <c:v>19</c:v>
                </c:pt>
                <c:pt idx="142" formatCode="0">
                  <c:v>28.8</c:v>
                </c:pt>
                <c:pt idx="143" formatCode="0">
                  <c:v>20.9</c:v>
                </c:pt>
                <c:pt idx="144">
                  <c:v>12.8</c:v>
                </c:pt>
                <c:pt idx="145">
                  <c:v>17.600000000000001</c:v>
                </c:pt>
                <c:pt idx="146" formatCode="0">
                  <c:v>20</c:v>
                </c:pt>
                <c:pt idx="147" formatCode="0">
                  <c:v>24.9</c:v>
                </c:pt>
                <c:pt idx="148">
                  <c:v>12.3</c:v>
                </c:pt>
                <c:pt idx="149" formatCode="0">
                  <c:v>24.3</c:v>
                </c:pt>
                <c:pt idx="150">
                  <c:v>12.1</c:v>
                </c:pt>
                <c:pt idx="151">
                  <c:v>19.3</c:v>
                </c:pt>
                <c:pt idx="152">
                  <c:v>24.1</c:v>
                </c:pt>
                <c:pt idx="153">
                  <c:v>26.5</c:v>
                </c:pt>
                <c:pt idx="154">
                  <c:v>16.3</c:v>
                </c:pt>
                <c:pt idx="155" formatCode="0">
                  <c:v>18.600000000000001</c:v>
                </c:pt>
                <c:pt idx="156" formatCode="0">
                  <c:v>18.600000000000001</c:v>
                </c:pt>
                <c:pt idx="157">
                  <c:v>23.1</c:v>
                </c:pt>
                <c:pt idx="158" formatCode="0">
                  <c:v>13.8</c:v>
                </c:pt>
                <c:pt idx="159">
                  <c:v>11.5</c:v>
                </c:pt>
                <c:pt idx="160">
                  <c:v>15.8</c:v>
                </c:pt>
                <c:pt idx="161">
                  <c:v>11.2</c:v>
                </c:pt>
                <c:pt idx="162">
                  <c:v>24.5</c:v>
                </c:pt>
                <c:pt idx="163">
                  <c:v>17.8</c:v>
                </c:pt>
                <c:pt idx="164" formatCode="0">
                  <c:v>35.6</c:v>
                </c:pt>
                <c:pt idx="165" formatCode="0">
                  <c:v>26</c:v>
                </c:pt>
                <c:pt idx="166">
                  <c:v>12.7</c:v>
                </c:pt>
                <c:pt idx="167" formatCode="0">
                  <c:v>10.5</c:v>
                </c:pt>
                <c:pt idx="168">
                  <c:v>14.2</c:v>
                </c:pt>
                <c:pt idx="169">
                  <c:v>16.2</c:v>
                </c:pt>
                <c:pt idx="170">
                  <c:v>10.1</c:v>
                </c:pt>
                <c:pt idx="171" formatCode="0">
                  <c:v>13.9</c:v>
                </c:pt>
                <c:pt idx="172">
                  <c:v>13.7</c:v>
                </c:pt>
                <c:pt idx="173">
                  <c:v>5.8</c:v>
                </c:pt>
                <c:pt idx="174">
                  <c:v>16.8</c:v>
                </c:pt>
                <c:pt idx="175">
                  <c:v>12.5</c:v>
                </c:pt>
                <c:pt idx="176" formatCode="0">
                  <c:v>17.5</c:v>
                </c:pt>
                <c:pt idx="177">
                  <c:v>19.2</c:v>
                </c:pt>
                <c:pt idx="178">
                  <c:v>15.3</c:v>
                </c:pt>
                <c:pt idx="179" formatCode="0">
                  <c:v>18.5</c:v>
                </c:pt>
                <c:pt idx="180">
                  <c:v>6.7</c:v>
                </c:pt>
                <c:pt idx="181">
                  <c:v>5</c:v>
                </c:pt>
                <c:pt idx="182">
                  <c:v>5</c:v>
                </c:pt>
                <c:pt idx="183" formatCode="0">
                  <c:v>10</c:v>
                </c:pt>
                <c:pt idx="184" formatCode="0">
                  <c:v>13.2</c:v>
                </c:pt>
                <c:pt idx="185">
                  <c:v>11.5</c:v>
                </c:pt>
                <c:pt idx="186">
                  <c:v>6.4</c:v>
                </c:pt>
                <c:pt idx="187">
                  <c:v>3.2</c:v>
                </c:pt>
                <c:pt idx="188">
                  <c:v>4.8</c:v>
                </c:pt>
                <c:pt idx="189">
                  <c:v>12.7</c:v>
                </c:pt>
                <c:pt idx="190" formatCode="0">
                  <c:v>4.5</c:v>
                </c:pt>
                <c:pt idx="191" formatCode="0">
                  <c:v>14.8</c:v>
                </c:pt>
                <c:pt idx="192">
                  <c:v>11.6</c:v>
                </c:pt>
                <c:pt idx="193">
                  <c:v>1.4</c:v>
                </c:pt>
                <c:pt idx="194">
                  <c:v>6.8</c:v>
                </c:pt>
                <c:pt idx="195">
                  <c:v>5.2</c:v>
                </c:pt>
                <c:pt idx="196" formatCode="0">
                  <c:v>1.3</c:v>
                </c:pt>
                <c:pt idx="197" formatCode="0">
                  <c:v>5.2</c:v>
                </c:pt>
                <c:pt idx="198" formatCode="0">
                  <c:v>2.6</c:v>
                </c:pt>
                <c:pt idx="199" formatCode="0">
                  <c:v>10.3</c:v>
                </c:pt>
                <c:pt idx="200">
                  <c:v>6.3</c:v>
                </c:pt>
                <c:pt idx="201">
                  <c:v>5</c:v>
                </c:pt>
                <c:pt idx="202">
                  <c:v>7.5</c:v>
                </c:pt>
                <c:pt idx="203">
                  <c:v>8.6999999999999993</c:v>
                </c:pt>
                <c:pt idx="204">
                  <c:v>7.4</c:v>
                </c:pt>
                <c:pt idx="205">
                  <c:v>3.7</c:v>
                </c:pt>
                <c:pt idx="206" formatCode="0">
                  <c:v>3.7</c:v>
                </c:pt>
                <c:pt idx="207">
                  <c:v>2.4</c:v>
                </c:pt>
                <c:pt idx="208">
                  <c:v>3.6</c:v>
                </c:pt>
                <c:pt idx="209">
                  <c:v>8.4</c:v>
                </c:pt>
                <c:pt idx="210">
                  <c:v>3.6</c:v>
                </c:pt>
                <c:pt idx="211" formatCode="0">
                  <c:v>2.4</c:v>
                </c:pt>
                <c:pt idx="212" formatCode="0">
                  <c:v>8.1999999999999993</c:v>
                </c:pt>
                <c:pt idx="213">
                  <c:v>3.5</c:v>
                </c:pt>
                <c:pt idx="214">
                  <c:v>7.9</c:v>
                </c:pt>
                <c:pt idx="215">
                  <c:v>6.6</c:v>
                </c:pt>
                <c:pt idx="216">
                  <c:v>6.5</c:v>
                </c:pt>
                <c:pt idx="217">
                  <c:v>3.2</c:v>
                </c:pt>
                <c:pt idx="218">
                  <c:v>5.3</c:v>
                </c:pt>
                <c:pt idx="219">
                  <c:v>5.3</c:v>
                </c:pt>
                <c:pt idx="220">
                  <c:v>4.2</c:v>
                </c:pt>
                <c:pt idx="221" formatCode="0">
                  <c:v>6.3</c:v>
                </c:pt>
                <c:pt idx="222">
                  <c:v>5.2</c:v>
                </c:pt>
                <c:pt idx="223">
                  <c:v>6.2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1</c:v>
                </c:pt>
                <c:pt idx="228" formatCode="0">
                  <c:v>5</c:v>
                </c:pt>
                <c:pt idx="229">
                  <c:v>4.9000000000000004</c:v>
                </c:pt>
                <c:pt idx="230">
                  <c:v>5.7</c:v>
                </c:pt>
                <c:pt idx="231">
                  <c:v>3.8</c:v>
                </c:pt>
                <c:pt idx="232">
                  <c:v>1.9</c:v>
                </c:pt>
                <c:pt idx="233">
                  <c:v>5.6</c:v>
                </c:pt>
                <c:pt idx="234">
                  <c:v>2.7</c:v>
                </c:pt>
                <c:pt idx="235" formatCode="0">
                  <c:v>5.4</c:v>
                </c:pt>
                <c:pt idx="236" formatCode="0">
                  <c:v>1.8</c:v>
                </c:pt>
                <c:pt idx="237" formatCode="0">
                  <c:v>6.2</c:v>
                </c:pt>
                <c:pt idx="238">
                  <c:v>4.4000000000000004</c:v>
                </c:pt>
                <c:pt idx="239">
                  <c:v>3.5</c:v>
                </c:pt>
                <c:pt idx="240">
                  <c:v>2.6</c:v>
                </c:pt>
                <c:pt idx="241" formatCode="0">
                  <c:v>1.7</c:v>
                </c:pt>
                <c:pt idx="242">
                  <c:v>4.2</c:v>
                </c:pt>
                <c:pt idx="243" formatCode="0">
                  <c:v>0.8</c:v>
                </c:pt>
                <c:pt idx="244">
                  <c:v>4.7</c:v>
                </c:pt>
                <c:pt idx="245" formatCode="0">
                  <c:v>4.7</c:v>
                </c:pt>
                <c:pt idx="246">
                  <c:v>2.2999999999999998</c:v>
                </c:pt>
                <c:pt idx="247">
                  <c:v>1.5</c:v>
                </c:pt>
                <c:pt idx="248">
                  <c:v>3</c:v>
                </c:pt>
                <c:pt idx="249">
                  <c:v>3</c:v>
                </c:pt>
                <c:pt idx="250">
                  <c:v>4.4000000000000004</c:v>
                </c:pt>
                <c:pt idx="251" formatCode="0">
                  <c:v>2.9</c:v>
                </c:pt>
                <c:pt idx="252">
                  <c:v>4.3</c:v>
                </c:pt>
                <c:pt idx="253">
                  <c:v>2.1</c:v>
                </c:pt>
                <c:pt idx="254" formatCode="0">
                  <c:v>2.1</c:v>
                </c:pt>
                <c:pt idx="255">
                  <c:v>1.4</c:v>
                </c:pt>
                <c:pt idx="256" formatCode="0">
                  <c:v>4.0999999999999996</c:v>
                </c:pt>
                <c:pt idx="257">
                  <c:v>2.7</c:v>
                </c:pt>
                <c:pt idx="258">
                  <c:v>3.2</c:v>
                </c:pt>
                <c:pt idx="259">
                  <c:v>3.8</c:v>
                </c:pt>
                <c:pt idx="260">
                  <c:v>3.8</c:v>
                </c:pt>
                <c:pt idx="261">
                  <c:v>1.9</c:v>
                </c:pt>
                <c:pt idx="262">
                  <c:v>4.3</c:v>
                </c:pt>
                <c:pt idx="263">
                  <c:v>2.4</c:v>
                </c:pt>
                <c:pt idx="264">
                  <c:v>3</c:v>
                </c:pt>
                <c:pt idx="265">
                  <c:v>0.6</c:v>
                </c:pt>
                <c:pt idx="266">
                  <c:v>2.4</c:v>
                </c:pt>
                <c:pt idx="267">
                  <c:v>2.8</c:v>
                </c:pt>
                <c:pt idx="268">
                  <c:v>1.6</c:v>
                </c:pt>
                <c:pt idx="269">
                  <c:v>2.1</c:v>
                </c:pt>
                <c:pt idx="270">
                  <c:v>2.5</c:v>
                </c:pt>
                <c:pt idx="271">
                  <c:v>2.5</c:v>
                </c:pt>
                <c:pt idx="272" formatCode="0">
                  <c:v>0.5</c:v>
                </c:pt>
                <c:pt idx="273" formatCode="0">
                  <c:v>1.5</c:v>
                </c:pt>
                <c:pt idx="274">
                  <c:v>1.9</c:v>
                </c:pt>
                <c:pt idx="275">
                  <c:v>1.4</c:v>
                </c:pt>
                <c:pt idx="276">
                  <c:v>0.9</c:v>
                </c:pt>
                <c:pt idx="277" formatCode="0">
                  <c:v>0.9</c:v>
                </c:pt>
                <c:pt idx="278">
                  <c:v>1.3</c:v>
                </c:pt>
                <c:pt idx="279">
                  <c:v>1.3</c:v>
                </c:pt>
                <c:pt idx="280" formatCode="0">
                  <c:v>1.3</c:v>
                </c:pt>
                <c:pt idx="281">
                  <c:v>1.7</c:v>
                </c:pt>
                <c:pt idx="282">
                  <c:v>1.7</c:v>
                </c:pt>
                <c:pt idx="283">
                  <c:v>1.7</c:v>
                </c:pt>
                <c:pt idx="284">
                  <c:v>1.7</c:v>
                </c:pt>
                <c:pt idx="285" formatCode="0">
                  <c:v>0.8</c:v>
                </c:pt>
                <c:pt idx="286">
                  <c:v>1.2</c:v>
                </c:pt>
                <c:pt idx="287">
                  <c:v>1.5</c:v>
                </c:pt>
                <c:pt idx="288">
                  <c:v>1.1000000000000001</c:v>
                </c:pt>
                <c:pt idx="289">
                  <c:v>1.1000000000000001</c:v>
                </c:pt>
                <c:pt idx="290" formatCode="0">
                  <c:v>0.7</c:v>
                </c:pt>
                <c:pt idx="291" formatCode="0">
                  <c:v>0.7</c:v>
                </c:pt>
                <c:pt idx="292">
                  <c:v>1</c:v>
                </c:pt>
                <c:pt idx="293">
                  <c:v>1</c:v>
                </c:pt>
                <c:pt idx="294" formatCode="0">
                  <c:v>1.6</c:v>
                </c:pt>
                <c:pt idx="295">
                  <c:v>1.9</c:v>
                </c:pt>
                <c:pt idx="296">
                  <c:v>0.9</c:v>
                </c:pt>
                <c:pt idx="297">
                  <c:v>0.3</c:v>
                </c:pt>
                <c:pt idx="298">
                  <c:v>1.2</c:v>
                </c:pt>
                <c:pt idx="299">
                  <c:v>0.3</c:v>
                </c:pt>
                <c:pt idx="300">
                  <c:v>1.2</c:v>
                </c:pt>
                <c:pt idx="301">
                  <c:v>1.2</c:v>
                </c:pt>
                <c:pt idx="302">
                  <c:v>0.3</c:v>
                </c:pt>
                <c:pt idx="303">
                  <c:v>0.3</c:v>
                </c:pt>
                <c:pt idx="304">
                  <c:v>0.9</c:v>
                </c:pt>
                <c:pt idx="305" formatCode="0">
                  <c:v>0.3</c:v>
                </c:pt>
                <c:pt idx="306" formatCode="0">
                  <c:v>0.3</c:v>
                </c:pt>
                <c:pt idx="307">
                  <c:v>1.1000000000000001</c:v>
                </c:pt>
                <c:pt idx="308">
                  <c:v>1.3</c:v>
                </c:pt>
                <c:pt idx="309">
                  <c:v>1</c:v>
                </c:pt>
                <c:pt idx="310">
                  <c:v>0.5</c:v>
                </c:pt>
                <c:pt idx="311">
                  <c:v>1</c:v>
                </c:pt>
                <c:pt idx="312">
                  <c:v>0.5</c:v>
                </c:pt>
                <c:pt idx="313">
                  <c:v>0.5</c:v>
                </c:pt>
                <c:pt idx="314" formatCode="0">
                  <c:v>0.5</c:v>
                </c:pt>
                <c:pt idx="315">
                  <c:v>0.7</c:v>
                </c:pt>
                <c:pt idx="316">
                  <c:v>0.2</c:v>
                </c:pt>
                <c:pt idx="317">
                  <c:v>0.2</c:v>
                </c:pt>
                <c:pt idx="318">
                  <c:v>0.4</c:v>
                </c:pt>
                <c:pt idx="319">
                  <c:v>0.8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 formatCode="0">
                  <c:v>0.2</c:v>
                </c:pt>
                <c:pt idx="324" formatCode="0">
                  <c:v>0.2</c:v>
                </c:pt>
                <c:pt idx="325" formatCode="0">
                  <c:v>0.4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 formatCode="0">
                  <c:v>0.9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 formatCode="0">
                  <c:v>0.5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0.4</c:v>
                </c:pt>
                <c:pt idx="341">
                  <c:v>0.4</c:v>
                </c:pt>
                <c:pt idx="342" formatCode="0">
                  <c:v>0.4</c:v>
                </c:pt>
                <c:pt idx="343" formatCode="0">
                  <c:v>0.5</c:v>
                </c:pt>
                <c:pt idx="344">
                  <c:v>0.1</c:v>
                </c:pt>
                <c:pt idx="345">
                  <c:v>0.2</c:v>
                </c:pt>
                <c:pt idx="346">
                  <c:v>0.1</c:v>
                </c:pt>
                <c:pt idx="347">
                  <c:v>0.1</c:v>
                </c:pt>
                <c:pt idx="348">
                  <c:v>0.2</c:v>
                </c:pt>
                <c:pt idx="349">
                  <c:v>0.1</c:v>
                </c:pt>
                <c:pt idx="350">
                  <c:v>0.2</c:v>
                </c:pt>
                <c:pt idx="351" formatCode="0">
                  <c:v>0.1</c:v>
                </c:pt>
                <c:pt idx="352" formatCode="0">
                  <c:v>0.1</c:v>
                </c:pt>
                <c:pt idx="353" formatCode="0">
                  <c:v>0.2</c:v>
                </c:pt>
                <c:pt idx="354" formatCode="0">
                  <c:v>0.2</c:v>
                </c:pt>
                <c:pt idx="355" formatCode="0">
                  <c:v>0.1</c:v>
                </c:pt>
                <c:pt idx="356">
                  <c:v>0.3</c:v>
                </c:pt>
                <c:pt idx="357">
                  <c:v>0.3</c:v>
                </c:pt>
                <c:pt idx="358" formatCode="0">
                  <c:v>0.3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0.2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 formatCode="0">
                  <c:v>0.2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 formatCode="0">
                  <c:v>0</c:v>
                </c:pt>
                <c:pt idx="406" formatCode="0">
                  <c:v>0</c:v>
                </c:pt>
                <c:pt idx="407" formatCode="0">
                  <c:v>0</c:v>
                </c:pt>
                <c:pt idx="408" formatCode="0">
                  <c:v>0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0</c:v>
                </c:pt>
                <c:pt idx="416" formatCode="0">
                  <c:v>0</c:v>
                </c:pt>
                <c:pt idx="417" formatCode="0">
                  <c:v>0</c:v>
                </c:pt>
                <c:pt idx="418" formatCode="0">
                  <c:v>-0.1</c:v>
                </c:pt>
                <c:pt idx="419">
                  <c:v>-0.1</c:v>
                </c:pt>
                <c:pt idx="420">
                  <c:v>-0.1</c:v>
                </c:pt>
                <c:pt idx="421">
                  <c:v>-0.1</c:v>
                </c:pt>
                <c:pt idx="422">
                  <c:v>-0.2</c:v>
                </c:pt>
                <c:pt idx="423">
                  <c:v>-0.2</c:v>
                </c:pt>
                <c:pt idx="424">
                  <c:v>-0.1</c:v>
                </c:pt>
                <c:pt idx="425">
                  <c:v>-0.1</c:v>
                </c:pt>
                <c:pt idx="426">
                  <c:v>-0.1</c:v>
                </c:pt>
                <c:pt idx="427">
                  <c:v>-0.1</c:v>
                </c:pt>
                <c:pt idx="428">
                  <c:v>-0.1</c:v>
                </c:pt>
                <c:pt idx="429" formatCode="0">
                  <c:v>-0.1</c:v>
                </c:pt>
                <c:pt idx="430" formatCode="0">
                  <c:v>-0.1</c:v>
                </c:pt>
                <c:pt idx="431" formatCode="0">
                  <c:v>-0.1</c:v>
                </c:pt>
                <c:pt idx="432">
                  <c:v>-0.2</c:v>
                </c:pt>
                <c:pt idx="433">
                  <c:v>-0.2</c:v>
                </c:pt>
                <c:pt idx="434" formatCode="0">
                  <c:v>-0.3</c:v>
                </c:pt>
                <c:pt idx="435" formatCode="0">
                  <c:v>-0.3</c:v>
                </c:pt>
                <c:pt idx="436">
                  <c:v>-0.1</c:v>
                </c:pt>
                <c:pt idx="437">
                  <c:v>-0.1</c:v>
                </c:pt>
                <c:pt idx="438">
                  <c:v>-0.1</c:v>
                </c:pt>
                <c:pt idx="439">
                  <c:v>-0.1</c:v>
                </c:pt>
                <c:pt idx="440">
                  <c:v>-0.2</c:v>
                </c:pt>
                <c:pt idx="441">
                  <c:v>-0.1</c:v>
                </c:pt>
                <c:pt idx="442">
                  <c:v>-0.1</c:v>
                </c:pt>
                <c:pt idx="443">
                  <c:v>-0.1</c:v>
                </c:pt>
                <c:pt idx="444">
                  <c:v>-0.1</c:v>
                </c:pt>
                <c:pt idx="445">
                  <c:v>-0.2</c:v>
                </c:pt>
                <c:pt idx="446">
                  <c:v>-0.2</c:v>
                </c:pt>
                <c:pt idx="447">
                  <c:v>-0.1</c:v>
                </c:pt>
                <c:pt idx="448">
                  <c:v>-0.1</c:v>
                </c:pt>
                <c:pt idx="449">
                  <c:v>-0.1</c:v>
                </c:pt>
                <c:pt idx="450">
                  <c:v>-0.2</c:v>
                </c:pt>
                <c:pt idx="451" formatCode="0">
                  <c:v>-0.1</c:v>
                </c:pt>
                <c:pt idx="452" formatCode="0">
                  <c:v>-0.1</c:v>
                </c:pt>
                <c:pt idx="453" formatCode="0">
                  <c:v>-0.1</c:v>
                </c:pt>
                <c:pt idx="454" formatCode="0">
                  <c:v>-0.1</c:v>
                </c:pt>
                <c:pt idx="455" formatCode="0">
                  <c:v>-0.1</c:v>
                </c:pt>
                <c:pt idx="456" formatCode="0">
                  <c:v>-0.2</c:v>
                </c:pt>
                <c:pt idx="457">
                  <c:v>-0.4</c:v>
                </c:pt>
                <c:pt idx="458">
                  <c:v>-0.3</c:v>
                </c:pt>
                <c:pt idx="459">
                  <c:v>-0.3</c:v>
                </c:pt>
                <c:pt idx="460">
                  <c:v>-0.3</c:v>
                </c:pt>
                <c:pt idx="461">
                  <c:v>-0.3</c:v>
                </c:pt>
                <c:pt idx="462">
                  <c:v>-0.2</c:v>
                </c:pt>
                <c:pt idx="463">
                  <c:v>-0.4</c:v>
                </c:pt>
                <c:pt idx="464">
                  <c:v>-0.2</c:v>
                </c:pt>
                <c:pt idx="465">
                  <c:v>-0.4</c:v>
                </c:pt>
                <c:pt idx="466">
                  <c:v>-0.4</c:v>
                </c:pt>
                <c:pt idx="467">
                  <c:v>-0.2</c:v>
                </c:pt>
                <c:pt idx="468" formatCode="0">
                  <c:v>-0.2</c:v>
                </c:pt>
                <c:pt idx="469" formatCode="0">
                  <c:v>-0.2</c:v>
                </c:pt>
                <c:pt idx="470" formatCode="0">
                  <c:v>-0.2</c:v>
                </c:pt>
                <c:pt idx="471">
                  <c:v>-0.6</c:v>
                </c:pt>
                <c:pt idx="472">
                  <c:v>-0.6</c:v>
                </c:pt>
                <c:pt idx="473">
                  <c:v>-0.3</c:v>
                </c:pt>
                <c:pt idx="474" formatCode="0">
                  <c:v>-0.7</c:v>
                </c:pt>
                <c:pt idx="475" formatCode="0">
                  <c:v>-0.4</c:v>
                </c:pt>
                <c:pt idx="476">
                  <c:v>-0.9</c:v>
                </c:pt>
                <c:pt idx="477">
                  <c:v>-0.9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8-E144-B760-E1A49BD5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566687"/>
        <c:axId val="295840000"/>
      </c:scatterChart>
      <c:valAx>
        <c:axId val="1830566687"/>
        <c:scaling>
          <c:orientation val="minMax"/>
          <c:max val="60"/>
          <c:min val="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40000"/>
        <c:crosses val="autoZero"/>
        <c:crossBetween val="midCat"/>
        <c:majorUnit val="1"/>
      </c:valAx>
      <c:valAx>
        <c:axId val="2958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6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MASTER!$S$104</c:f>
              <c:strCache>
                <c:ptCount val="1"/>
                <c:pt idx="0">
                  <c:v>Win Shares Per Year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MASTER!$A$105:$A$479</c:f>
              <c:numCache>
                <c:formatCode>General</c:formatCode>
                <c:ptCount val="375"/>
                <c:pt idx="0">
                  <c:v>48</c:v>
                </c:pt>
                <c:pt idx="1">
                  <c:v>33</c:v>
                </c:pt>
                <c:pt idx="2">
                  <c:v>35</c:v>
                </c:pt>
                <c:pt idx="3">
                  <c:v>36</c:v>
                </c:pt>
                <c:pt idx="4">
                  <c:v>32</c:v>
                </c:pt>
                <c:pt idx="5">
                  <c:v>33</c:v>
                </c:pt>
                <c:pt idx="6">
                  <c:v>32</c:v>
                </c:pt>
                <c:pt idx="7">
                  <c:v>38</c:v>
                </c:pt>
                <c:pt idx="8">
                  <c:v>35</c:v>
                </c:pt>
                <c:pt idx="9">
                  <c:v>39</c:v>
                </c:pt>
                <c:pt idx="10">
                  <c:v>45</c:v>
                </c:pt>
                <c:pt idx="11">
                  <c:v>31</c:v>
                </c:pt>
                <c:pt idx="12">
                  <c:v>31</c:v>
                </c:pt>
                <c:pt idx="13">
                  <c:v>35</c:v>
                </c:pt>
                <c:pt idx="14">
                  <c:v>45</c:v>
                </c:pt>
                <c:pt idx="15">
                  <c:v>60</c:v>
                </c:pt>
                <c:pt idx="16">
                  <c:v>31</c:v>
                </c:pt>
                <c:pt idx="17">
                  <c:v>36</c:v>
                </c:pt>
                <c:pt idx="18">
                  <c:v>43</c:v>
                </c:pt>
                <c:pt idx="19">
                  <c:v>34</c:v>
                </c:pt>
                <c:pt idx="20">
                  <c:v>42</c:v>
                </c:pt>
                <c:pt idx="21">
                  <c:v>48</c:v>
                </c:pt>
                <c:pt idx="22">
                  <c:v>39</c:v>
                </c:pt>
                <c:pt idx="23">
                  <c:v>34</c:v>
                </c:pt>
                <c:pt idx="24">
                  <c:v>46</c:v>
                </c:pt>
                <c:pt idx="25">
                  <c:v>38</c:v>
                </c:pt>
                <c:pt idx="26">
                  <c:v>38</c:v>
                </c:pt>
                <c:pt idx="27">
                  <c:v>46</c:v>
                </c:pt>
                <c:pt idx="28">
                  <c:v>31</c:v>
                </c:pt>
                <c:pt idx="29">
                  <c:v>38</c:v>
                </c:pt>
                <c:pt idx="30">
                  <c:v>51</c:v>
                </c:pt>
                <c:pt idx="31">
                  <c:v>32</c:v>
                </c:pt>
                <c:pt idx="32">
                  <c:v>37</c:v>
                </c:pt>
                <c:pt idx="33">
                  <c:v>39</c:v>
                </c:pt>
                <c:pt idx="34">
                  <c:v>35</c:v>
                </c:pt>
                <c:pt idx="35">
                  <c:v>42</c:v>
                </c:pt>
                <c:pt idx="36">
                  <c:v>55</c:v>
                </c:pt>
                <c:pt idx="37">
                  <c:v>40</c:v>
                </c:pt>
                <c:pt idx="38">
                  <c:v>37</c:v>
                </c:pt>
                <c:pt idx="39">
                  <c:v>56</c:v>
                </c:pt>
                <c:pt idx="40">
                  <c:v>36</c:v>
                </c:pt>
                <c:pt idx="41">
                  <c:v>41</c:v>
                </c:pt>
                <c:pt idx="42">
                  <c:v>37</c:v>
                </c:pt>
                <c:pt idx="43">
                  <c:v>43</c:v>
                </c:pt>
                <c:pt idx="44">
                  <c:v>33</c:v>
                </c:pt>
                <c:pt idx="45">
                  <c:v>52</c:v>
                </c:pt>
                <c:pt idx="46">
                  <c:v>41</c:v>
                </c:pt>
                <c:pt idx="47">
                  <c:v>42</c:v>
                </c:pt>
                <c:pt idx="48">
                  <c:v>42</c:v>
                </c:pt>
                <c:pt idx="49">
                  <c:v>41</c:v>
                </c:pt>
                <c:pt idx="50">
                  <c:v>40</c:v>
                </c:pt>
                <c:pt idx="51">
                  <c:v>35</c:v>
                </c:pt>
                <c:pt idx="52">
                  <c:v>42</c:v>
                </c:pt>
                <c:pt idx="53">
                  <c:v>35</c:v>
                </c:pt>
                <c:pt idx="54">
                  <c:v>33</c:v>
                </c:pt>
                <c:pt idx="55">
                  <c:v>50</c:v>
                </c:pt>
                <c:pt idx="56">
                  <c:v>49</c:v>
                </c:pt>
                <c:pt idx="57">
                  <c:v>41</c:v>
                </c:pt>
                <c:pt idx="58">
                  <c:v>58</c:v>
                </c:pt>
                <c:pt idx="59">
                  <c:v>46</c:v>
                </c:pt>
                <c:pt idx="60">
                  <c:v>49</c:v>
                </c:pt>
                <c:pt idx="61">
                  <c:v>55</c:v>
                </c:pt>
                <c:pt idx="62">
                  <c:v>37</c:v>
                </c:pt>
                <c:pt idx="63">
                  <c:v>34</c:v>
                </c:pt>
                <c:pt idx="64">
                  <c:v>39</c:v>
                </c:pt>
                <c:pt idx="65">
                  <c:v>46</c:v>
                </c:pt>
                <c:pt idx="66">
                  <c:v>50</c:v>
                </c:pt>
                <c:pt idx="67">
                  <c:v>35</c:v>
                </c:pt>
                <c:pt idx="68">
                  <c:v>44</c:v>
                </c:pt>
                <c:pt idx="69">
                  <c:v>31</c:v>
                </c:pt>
                <c:pt idx="70">
                  <c:v>34</c:v>
                </c:pt>
                <c:pt idx="71">
                  <c:v>43</c:v>
                </c:pt>
                <c:pt idx="72">
                  <c:v>31</c:v>
                </c:pt>
                <c:pt idx="73">
                  <c:v>40</c:v>
                </c:pt>
                <c:pt idx="74">
                  <c:v>44</c:v>
                </c:pt>
                <c:pt idx="75">
                  <c:v>50</c:v>
                </c:pt>
                <c:pt idx="76">
                  <c:v>37</c:v>
                </c:pt>
                <c:pt idx="77">
                  <c:v>36</c:v>
                </c:pt>
                <c:pt idx="78">
                  <c:v>41</c:v>
                </c:pt>
                <c:pt idx="79">
                  <c:v>32</c:v>
                </c:pt>
                <c:pt idx="80">
                  <c:v>33</c:v>
                </c:pt>
                <c:pt idx="81">
                  <c:v>40</c:v>
                </c:pt>
                <c:pt idx="82">
                  <c:v>54</c:v>
                </c:pt>
                <c:pt idx="83">
                  <c:v>58</c:v>
                </c:pt>
                <c:pt idx="84">
                  <c:v>35</c:v>
                </c:pt>
                <c:pt idx="85">
                  <c:v>31</c:v>
                </c:pt>
                <c:pt idx="86">
                  <c:v>45</c:v>
                </c:pt>
                <c:pt idx="87">
                  <c:v>40</c:v>
                </c:pt>
                <c:pt idx="88">
                  <c:v>55</c:v>
                </c:pt>
                <c:pt idx="89">
                  <c:v>47</c:v>
                </c:pt>
                <c:pt idx="90">
                  <c:v>53</c:v>
                </c:pt>
                <c:pt idx="91">
                  <c:v>39</c:v>
                </c:pt>
                <c:pt idx="92">
                  <c:v>55</c:v>
                </c:pt>
                <c:pt idx="93">
                  <c:v>36</c:v>
                </c:pt>
                <c:pt idx="94">
                  <c:v>36</c:v>
                </c:pt>
                <c:pt idx="95">
                  <c:v>45</c:v>
                </c:pt>
                <c:pt idx="96">
                  <c:v>34</c:v>
                </c:pt>
                <c:pt idx="97">
                  <c:v>33</c:v>
                </c:pt>
                <c:pt idx="98">
                  <c:v>32</c:v>
                </c:pt>
                <c:pt idx="99">
                  <c:v>36</c:v>
                </c:pt>
                <c:pt idx="100">
                  <c:v>37</c:v>
                </c:pt>
                <c:pt idx="101">
                  <c:v>48</c:v>
                </c:pt>
                <c:pt idx="102">
                  <c:v>45</c:v>
                </c:pt>
                <c:pt idx="103">
                  <c:v>38</c:v>
                </c:pt>
                <c:pt idx="104">
                  <c:v>33</c:v>
                </c:pt>
                <c:pt idx="105">
                  <c:v>35</c:v>
                </c:pt>
                <c:pt idx="106">
                  <c:v>32</c:v>
                </c:pt>
                <c:pt idx="107">
                  <c:v>31</c:v>
                </c:pt>
                <c:pt idx="108">
                  <c:v>53</c:v>
                </c:pt>
                <c:pt idx="109">
                  <c:v>55</c:v>
                </c:pt>
                <c:pt idx="110">
                  <c:v>57</c:v>
                </c:pt>
                <c:pt idx="111">
                  <c:v>40</c:v>
                </c:pt>
                <c:pt idx="112">
                  <c:v>46</c:v>
                </c:pt>
                <c:pt idx="113">
                  <c:v>46</c:v>
                </c:pt>
                <c:pt idx="114">
                  <c:v>44</c:v>
                </c:pt>
                <c:pt idx="115">
                  <c:v>60</c:v>
                </c:pt>
                <c:pt idx="116">
                  <c:v>52</c:v>
                </c:pt>
                <c:pt idx="117">
                  <c:v>39</c:v>
                </c:pt>
                <c:pt idx="118">
                  <c:v>31</c:v>
                </c:pt>
                <c:pt idx="119">
                  <c:v>37</c:v>
                </c:pt>
                <c:pt idx="120">
                  <c:v>45</c:v>
                </c:pt>
                <c:pt idx="121">
                  <c:v>43</c:v>
                </c:pt>
                <c:pt idx="122">
                  <c:v>54</c:v>
                </c:pt>
                <c:pt idx="123">
                  <c:v>45</c:v>
                </c:pt>
                <c:pt idx="124">
                  <c:v>57</c:v>
                </c:pt>
                <c:pt idx="125">
                  <c:v>47</c:v>
                </c:pt>
                <c:pt idx="126">
                  <c:v>38</c:v>
                </c:pt>
                <c:pt idx="127">
                  <c:v>49</c:v>
                </c:pt>
                <c:pt idx="128">
                  <c:v>53</c:v>
                </c:pt>
                <c:pt idx="129">
                  <c:v>58</c:v>
                </c:pt>
                <c:pt idx="130">
                  <c:v>46</c:v>
                </c:pt>
                <c:pt idx="131">
                  <c:v>47</c:v>
                </c:pt>
                <c:pt idx="132">
                  <c:v>40</c:v>
                </c:pt>
                <c:pt idx="133">
                  <c:v>60</c:v>
                </c:pt>
                <c:pt idx="134">
                  <c:v>49</c:v>
                </c:pt>
                <c:pt idx="135">
                  <c:v>38</c:v>
                </c:pt>
                <c:pt idx="136">
                  <c:v>38</c:v>
                </c:pt>
                <c:pt idx="137">
                  <c:v>32</c:v>
                </c:pt>
                <c:pt idx="138">
                  <c:v>44</c:v>
                </c:pt>
                <c:pt idx="139">
                  <c:v>33</c:v>
                </c:pt>
                <c:pt idx="140">
                  <c:v>34</c:v>
                </c:pt>
                <c:pt idx="141">
                  <c:v>43</c:v>
                </c:pt>
                <c:pt idx="142">
                  <c:v>52</c:v>
                </c:pt>
                <c:pt idx="143">
                  <c:v>40</c:v>
                </c:pt>
                <c:pt idx="144">
                  <c:v>55</c:v>
                </c:pt>
                <c:pt idx="145">
                  <c:v>45</c:v>
                </c:pt>
                <c:pt idx="146">
                  <c:v>48</c:v>
                </c:pt>
                <c:pt idx="147">
                  <c:v>44</c:v>
                </c:pt>
                <c:pt idx="148">
                  <c:v>33</c:v>
                </c:pt>
                <c:pt idx="149">
                  <c:v>34</c:v>
                </c:pt>
                <c:pt idx="150">
                  <c:v>36</c:v>
                </c:pt>
                <c:pt idx="151">
                  <c:v>45</c:v>
                </c:pt>
                <c:pt idx="152">
                  <c:v>36</c:v>
                </c:pt>
                <c:pt idx="153">
                  <c:v>47</c:v>
                </c:pt>
                <c:pt idx="154">
                  <c:v>37</c:v>
                </c:pt>
                <c:pt idx="155">
                  <c:v>52</c:v>
                </c:pt>
                <c:pt idx="156">
                  <c:v>34</c:v>
                </c:pt>
                <c:pt idx="157">
                  <c:v>47</c:v>
                </c:pt>
                <c:pt idx="158">
                  <c:v>33</c:v>
                </c:pt>
                <c:pt idx="159">
                  <c:v>47</c:v>
                </c:pt>
                <c:pt idx="160">
                  <c:v>52</c:v>
                </c:pt>
                <c:pt idx="161">
                  <c:v>44</c:v>
                </c:pt>
                <c:pt idx="162">
                  <c:v>48</c:v>
                </c:pt>
                <c:pt idx="163">
                  <c:v>60</c:v>
                </c:pt>
                <c:pt idx="164">
                  <c:v>58</c:v>
                </c:pt>
                <c:pt idx="165">
                  <c:v>42</c:v>
                </c:pt>
                <c:pt idx="166">
                  <c:v>50</c:v>
                </c:pt>
                <c:pt idx="167">
                  <c:v>31</c:v>
                </c:pt>
                <c:pt idx="168">
                  <c:v>49</c:v>
                </c:pt>
                <c:pt idx="169">
                  <c:v>52</c:v>
                </c:pt>
                <c:pt idx="170">
                  <c:v>38</c:v>
                </c:pt>
                <c:pt idx="171">
                  <c:v>46</c:v>
                </c:pt>
                <c:pt idx="172">
                  <c:v>36</c:v>
                </c:pt>
                <c:pt idx="173">
                  <c:v>60</c:v>
                </c:pt>
                <c:pt idx="174">
                  <c:v>52</c:v>
                </c:pt>
                <c:pt idx="175">
                  <c:v>32</c:v>
                </c:pt>
                <c:pt idx="176">
                  <c:v>31</c:v>
                </c:pt>
                <c:pt idx="177">
                  <c:v>52</c:v>
                </c:pt>
                <c:pt idx="178">
                  <c:v>40</c:v>
                </c:pt>
                <c:pt idx="179">
                  <c:v>44</c:v>
                </c:pt>
                <c:pt idx="180">
                  <c:v>39</c:v>
                </c:pt>
                <c:pt idx="181">
                  <c:v>58</c:v>
                </c:pt>
                <c:pt idx="182">
                  <c:v>48</c:v>
                </c:pt>
                <c:pt idx="183">
                  <c:v>45</c:v>
                </c:pt>
                <c:pt idx="184">
                  <c:v>32</c:v>
                </c:pt>
                <c:pt idx="185">
                  <c:v>41</c:v>
                </c:pt>
                <c:pt idx="186">
                  <c:v>44</c:v>
                </c:pt>
                <c:pt idx="187">
                  <c:v>41</c:v>
                </c:pt>
                <c:pt idx="188">
                  <c:v>41</c:v>
                </c:pt>
                <c:pt idx="189">
                  <c:v>58</c:v>
                </c:pt>
                <c:pt idx="190">
                  <c:v>53</c:v>
                </c:pt>
                <c:pt idx="191">
                  <c:v>53</c:v>
                </c:pt>
                <c:pt idx="192">
                  <c:v>51</c:v>
                </c:pt>
                <c:pt idx="193">
                  <c:v>37</c:v>
                </c:pt>
                <c:pt idx="194">
                  <c:v>38</c:v>
                </c:pt>
                <c:pt idx="195">
                  <c:v>37</c:v>
                </c:pt>
                <c:pt idx="196">
                  <c:v>59</c:v>
                </c:pt>
                <c:pt idx="197">
                  <c:v>42</c:v>
                </c:pt>
                <c:pt idx="198">
                  <c:v>34</c:v>
                </c:pt>
                <c:pt idx="199">
                  <c:v>54</c:v>
                </c:pt>
                <c:pt idx="200">
                  <c:v>59</c:v>
                </c:pt>
                <c:pt idx="201">
                  <c:v>38</c:v>
                </c:pt>
                <c:pt idx="202">
                  <c:v>58</c:v>
                </c:pt>
                <c:pt idx="203">
                  <c:v>46</c:v>
                </c:pt>
                <c:pt idx="204">
                  <c:v>48</c:v>
                </c:pt>
                <c:pt idx="205">
                  <c:v>50</c:v>
                </c:pt>
                <c:pt idx="206">
                  <c:v>51</c:v>
                </c:pt>
                <c:pt idx="207">
                  <c:v>46</c:v>
                </c:pt>
                <c:pt idx="208">
                  <c:v>32</c:v>
                </c:pt>
                <c:pt idx="209">
                  <c:v>31</c:v>
                </c:pt>
                <c:pt idx="210">
                  <c:v>36</c:v>
                </c:pt>
                <c:pt idx="211">
                  <c:v>44</c:v>
                </c:pt>
                <c:pt idx="212">
                  <c:v>40</c:v>
                </c:pt>
                <c:pt idx="213">
                  <c:v>52</c:v>
                </c:pt>
                <c:pt idx="214">
                  <c:v>48</c:v>
                </c:pt>
                <c:pt idx="215">
                  <c:v>57</c:v>
                </c:pt>
                <c:pt idx="216">
                  <c:v>40</c:v>
                </c:pt>
                <c:pt idx="217">
                  <c:v>56</c:v>
                </c:pt>
                <c:pt idx="218">
                  <c:v>37</c:v>
                </c:pt>
                <c:pt idx="219">
                  <c:v>44</c:v>
                </c:pt>
                <c:pt idx="220">
                  <c:v>54</c:v>
                </c:pt>
                <c:pt idx="221">
                  <c:v>56</c:v>
                </c:pt>
                <c:pt idx="222">
                  <c:v>32</c:v>
                </c:pt>
                <c:pt idx="223">
                  <c:v>44</c:v>
                </c:pt>
                <c:pt idx="224">
                  <c:v>50</c:v>
                </c:pt>
                <c:pt idx="225">
                  <c:v>35</c:v>
                </c:pt>
                <c:pt idx="226">
                  <c:v>38</c:v>
                </c:pt>
                <c:pt idx="227">
                  <c:v>38</c:v>
                </c:pt>
                <c:pt idx="228">
                  <c:v>34</c:v>
                </c:pt>
                <c:pt idx="229">
                  <c:v>33</c:v>
                </c:pt>
                <c:pt idx="230">
                  <c:v>43</c:v>
                </c:pt>
                <c:pt idx="231">
                  <c:v>49</c:v>
                </c:pt>
                <c:pt idx="232">
                  <c:v>33</c:v>
                </c:pt>
                <c:pt idx="233">
                  <c:v>39</c:v>
                </c:pt>
                <c:pt idx="234">
                  <c:v>40</c:v>
                </c:pt>
                <c:pt idx="235">
                  <c:v>52</c:v>
                </c:pt>
                <c:pt idx="236">
                  <c:v>48</c:v>
                </c:pt>
                <c:pt idx="237">
                  <c:v>47</c:v>
                </c:pt>
                <c:pt idx="238">
                  <c:v>43</c:v>
                </c:pt>
                <c:pt idx="239">
                  <c:v>43</c:v>
                </c:pt>
                <c:pt idx="240">
                  <c:v>32</c:v>
                </c:pt>
                <c:pt idx="241">
                  <c:v>56</c:v>
                </c:pt>
                <c:pt idx="242">
                  <c:v>59</c:v>
                </c:pt>
                <c:pt idx="243">
                  <c:v>56</c:v>
                </c:pt>
                <c:pt idx="244">
                  <c:v>58</c:v>
                </c:pt>
                <c:pt idx="245">
                  <c:v>43</c:v>
                </c:pt>
                <c:pt idx="246">
                  <c:v>55</c:v>
                </c:pt>
                <c:pt idx="247">
                  <c:v>52</c:v>
                </c:pt>
                <c:pt idx="248">
                  <c:v>47</c:v>
                </c:pt>
                <c:pt idx="249">
                  <c:v>57</c:v>
                </c:pt>
                <c:pt idx="250">
                  <c:v>32</c:v>
                </c:pt>
                <c:pt idx="251">
                  <c:v>41</c:v>
                </c:pt>
                <c:pt idx="252">
                  <c:v>42</c:v>
                </c:pt>
                <c:pt idx="253">
                  <c:v>33</c:v>
                </c:pt>
                <c:pt idx="254">
                  <c:v>38</c:v>
                </c:pt>
                <c:pt idx="255">
                  <c:v>39</c:v>
                </c:pt>
                <c:pt idx="256">
                  <c:v>43</c:v>
                </c:pt>
                <c:pt idx="257">
                  <c:v>32</c:v>
                </c:pt>
                <c:pt idx="258">
                  <c:v>49</c:v>
                </c:pt>
                <c:pt idx="259">
                  <c:v>45</c:v>
                </c:pt>
                <c:pt idx="260">
                  <c:v>41</c:v>
                </c:pt>
                <c:pt idx="261">
                  <c:v>48</c:v>
                </c:pt>
                <c:pt idx="262">
                  <c:v>51</c:v>
                </c:pt>
                <c:pt idx="263">
                  <c:v>33</c:v>
                </c:pt>
                <c:pt idx="264">
                  <c:v>41</c:v>
                </c:pt>
                <c:pt idx="265">
                  <c:v>53</c:v>
                </c:pt>
                <c:pt idx="266">
                  <c:v>57</c:v>
                </c:pt>
                <c:pt idx="267">
                  <c:v>56</c:v>
                </c:pt>
                <c:pt idx="268">
                  <c:v>37</c:v>
                </c:pt>
                <c:pt idx="269">
                  <c:v>36</c:v>
                </c:pt>
                <c:pt idx="270">
                  <c:v>48</c:v>
                </c:pt>
                <c:pt idx="271">
                  <c:v>46</c:v>
                </c:pt>
                <c:pt idx="272">
                  <c:v>42</c:v>
                </c:pt>
                <c:pt idx="273">
                  <c:v>58</c:v>
                </c:pt>
                <c:pt idx="274">
                  <c:v>53</c:v>
                </c:pt>
                <c:pt idx="275">
                  <c:v>51</c:v>
                </c:pt>
                <c:pt idx="276">
                  <c:v>55</c:v>
                </c:pt>
                <c:pt idx="277">
                  <c:v>60</c:v>
                </c:pt>
                <c:pt idx="278">
                  <c:v>42</c:v>
                </c:pt>
                <c:pt idx="279">
                  <c:v>47</c:v>
                </c:pt>
                <c:pt idx="280">
                  <c:v>50</c:v>
                </c:pt>
                <c:pt idx="281">
                  <c:v>56</c:v>
                </c:pt>
                <c:pt idx="282">
                  <c:v>31</c:v>
                </c:pt>
                <c:pt idx="283">
                  <c:v>36</c:v>
                </c:pt>
                <c:pt idx="284">
                  <c:v>44</c:v>
                </c:pt>
                <c:pt idx="285">
                  <c:v>54</c:v>
                </c:pt>
                <c:pt idx="286">
                  <c:v>53</c:v>
                </c:pt>
                <c:pt idx="287">
                  <c:v>59</c:v>
                </c:pt>
                <c:pt idx="288">
                  <c:v>52</c:v>
                </c:pt>
                <c:pt idx="289">
                  <c:v>55</c:v>
                </c:pt>
                <c:pt idx="290">
                  <c:v>47</c:v>
                </c:pt>
                <c:pt idx="291">
                  <c:v>55</c:v>
                </c:pt>
                <c:pt idx="292">
                  <c:v>41</c:v>
                </c:pt>
                <c:pt idx="293">
                  <c:v>46</c:v>
                </c:pt>
                <c:pt idx="294">
                  <c:v>48</c:v>
                </c:pt>
                <c:pt idx="295">
                  <c:v>53</c:v>
                </c:pt>
                <c:pt idx="296">
                  <c:v>55</c:v>
                </c:pt>
                <c:pt idx="297">
                  <c:v>56</c:v>
                </c:pt>
                <c:pt idx="298">
                  <c:v>56</c:v>
                </c:pt>
                <c:pt idx="299">
                  <c:v>33</c:v>
                </c:pt>
                <c:pt idx="300">
                  <c:v>41</c:v>
                </c:pt>
                <c:pt idx="301">
                  <c:v>42</c:v>
                </c:pt>
                <c:pt idx="302">
                  <c:v>37</c:v>
                </c:pt>
                <c:pt idx="303">
                  <c:v>46</c:v>
                </c:pt>
                <c:pt idx="304">
                  <c:v>48</c:v>
                </c:pt>
                <c:pt idx="305">
                  <c:v>46</c:v>
                </c:pt>
                <c:pt idx="306">
                  <c:v>50</c:v>
                </c:pt>
                <c:pt idx="307">
                  <c:v>53</c:v>
                </c:pt>
                <c:pt idx="308">
                  <c:v>56</c:v>
                </c:pt>
                <c:pt idx="309">
                  <c:v>48</c:v>
                </c:pt>
                <c:pt idx="310">
                  <c:v>39</c:v>
                </c:pt>
                <c:pt idx="311">
                  <c:v>42</c:v>
                </c:pt>
                <c:pt idx="312">
                  <c:v>58</c:v>
                </c:pt>
                <c:pt idx="313">
                  <c:v>36</c:v>
                </c:pt>
                <c:pt idx="314">
                  <c:v>51</c:v>
                </c:pt>
                <c:pt idx="315">
                  <c:v>35</c:v>
                </c:pt>
                <c:pt idx="316">
                  <c:v>43</c:v>
                </c:pt>
                <c:pt idx="317">
                  <c:v>55</c:v>
                </c:pt>
                <c:pt idx="318">
                  <c:v>38</c:v>
                </c:pt>
                <c:pt idx="319">
                  <c:v>52</c:v>
                </c:pt>
                <c:pt idx="320">
                  <c:v>34</c:v>
                </c:pt>
                <c:pt idx="321">
                  <c:v>40</c:v>
                </c:pt>
                <c:pt idx="322">
                  <c:v>35</c:v>
                </c:pt>
                <c:pt idx="323">
                  <c:v>37</c:v>
                </c:pt>
                <c:pt idx="324">
                  <c:v>59</c:v>
                </c:pt>
                <c:pt idx="325">
                  <c:v>49</c:v>
                </c:pt>
                <c:pt idx="326">
                  <c:v>35</c:v>
                </c:pt>
                <c:pt idx="327">
                  <c:v>34</c:v>
                </c:pt>
                <c:pt idx="328">
                  <c:v>33</c:v>
                </c:pt>
                <c:pt idx="329">
                  <c:v>60</c:v>
                </c:pt>
                <c:pt idx="330">
                  <c:v>34</c:v>
                </c:pt>
                <c:pt idx="331">
                  <c:v>41</c:v>
                </c:pt>
                <c:pt idx="332">
                  <c:v>32</c:v>
                </c:pt>
                <c:pt idx="333">
                  <c:v>60</c:v>
                </c:pt>
                <c:pt idx="334">
                  <c:v>54</c:v>
                </c:pt>
                <c:pt idx="335">
                  <c:v>57</c:v>
                </c:pt>
                <c:pt idx="336">
                  <c:v>40</c:v>
                </c:pt>
                <c:pt idx="337">
                  <c:v>43</c:v>
                </c:pt>
                <c:pt idx="338">
                  <c:v>49</c:v>
                </c:pt>
                <c:pt idx="339">
                  <c:v>51</c:v>
                </c:pt>
                <c:pt idx="340">
                  <c:v>31</c:v>
                </c:pt>
                <c:pt idx="341">
                  <c:v>42</c:v>
                </c:pt>
                <c:pt idx="342">
                  <c:v>47</c:v>
                </c:pt>
                <c:pt idx="343">
                  <c:v>35</c:v>
                </c:pt>
                <c:pt idx="344">
                  <c:v>40</c:v>
                </c:pt>
                <c:pt idx="345">
                  <c:v>49</c:v>
                </c:pt>
                <c:pt idx="346">
                  <c:v>51</c:v>
                </c:pt>
                <c:pt idx="347">
                  <c:v>54</c:v>
                </c:pt>
                <c:pt idx="348">
                  <c:v>31</c:v>
                </c:pt>
                <c:pt idx="349">
                  <c:v>32</c:v>
                </c:pt>
                <c:pt idx="350">
                  <c:v>43</c:v>
                </c:pt>
                <c:pt idx="351">
                  <c:v>40</c:v>
                </c:pt>
                <c:pt idx="352">
                  <c:v>52</c:v>
                </c:pt>
                <c:pt idx="353">
                  <c:v>53</c:v>
                </c:pt>
                <c:pt idx="354">
                  <c:v>35</c:v>
                </c:pt>
                <c:pt idx="355">
                  <c:v>31</c:v>
                </c:pt>
                <c:pt idx="356">
                  <c:v>52</c:v>
                </c:pt>
                <c:pt idx="357">
                  <c:v>56</c:v>
                </c:pt>
                <c:pt idx="358">
                  <c:v>55</c:v>
                </c:pt>
                <c:pt idx="359">
                  <c:v>48</c:v>
                </c:pt>
                <c:pt idx="360">
                  <c:v>39</c:v>
                </c:pt>
                <c:pt idx="361">
                  <c:v>53</c:v>
                </c:pt>
                <c:pt idx="362">
                  <c:v>39</c:v>
                </c:pt>
                <c:pt idx="363">
                  <c:v>54</c:v>
                </c:pt>
                <c:pt idx="364">
                  <c:v>56</c:v>
                </c:pt>
                <c:pt idx="365">
                  <c:v>37</c:v>
                </c:pt>
                <c:pt idx="366">
                  <c:v>38</c:v>
                </c:pt>
                <c:pt idx="367">
                  <c:v>59</c:v>
                </c:pt>
                <c:pt idx="368">
                  <c:v>34</c:v>
                </c:pt>
                <c:pt idx="369">
                  <c:v>43</c:v>
                </c:pt>
                <c:pt idx="370">
                  <c:v>47</c:v>
                </c:pt>
                <c:pt idx="371">
                  <c:v>49</c:v>
                </c:pt>
                <c:pt idx="372">
                  <c:v>55</c:v>
                </c:pt>
                <c:pt idx="373">
                  <c:v>42</c:v>
                </c:pt>
                <c:pt idx="374">
                  <c:v>41</c:v>
                </c:pt>
              </c:numCache>
            </c:numRef>
          </c:xVal>
          <c:yVal>
            <c:numRef>
              <c:f>MASTER!$S$105:$S$479</c:f>
              <c:numCache>
                <c:formatCode>General</c:formatCode>
                <c:ptCount val="375"/>
                <c:pt idx="0">
                  <c:v>6.5615384615384613</c:v>
                </c:pt>
                <c:pt idx="1">
                  <c:v>6.3428571428571425</c:v>
                </c:pt>
                <c:pt idx="2">
                  <c:v>5.776470588235294</c:v>
                </c:pt>
                <c:pt idx="3">
                  <c:v>5.6499999999999995</c:v>
                </c:pt>
                <c:pt idx="4">
                  <c:v>5.3624999999999998</c:v>
                </c:pt>
                <c:pt idx="5">
                  <c:v>5.2</c:v>
                </c:pt>
                <c:pt idx="6">
                  <c:v>5.1333333333333337</c:v>
                </c:pt>
                <c:pt idx="7">
                  <c:v>5.1166666666666663</c:v>
                </c:pt>
                <c:pt idx="8">
                  <c:v>4.8230769230769237</c:v>
                </c:pt>
                <c:pt idx="9">
                  <c:v>4.430769230769231</c:v>
                </c:pt>
                <c:pt idx="10">
                  <c:v>4.290909090909091</c:v>
                </c:pt>
                <c:pt idx="11">
                  <c:v>4.05</c:v>
                </c:pt>
                <c:pt idx="12">
                  <c:v>3.9888888888888889</c:v>
                </c:pt>
                <c:pt idx="13">
                  <c:v>3.9249999999999998</c:v>
                </c:pt>
                <c:pt idx="14">
                  <c:v>3.7800000000000002</c:v>
                </c:pt>
                <c:pt idx="15">
                  <c:v>3.7749999999999999</c:v>
                </c:pt>
                <c:pt idx="16">
                  <c:v>3.7600000000000002</c:v>
                </c:pt>
                <c:pt idx="17">
                  <c:v>3.6888888888888891</c:v>
                </c:pt>
                <c:pt idx="18">
                  <c:v>3.6</c:v>
                </c:pt>
                <c:pt idx="19">
                  <c:v>3.5888888888888886</c:v>
                </c:pt>
                <c:pt idx="20">
                  <c:v>3.35</c:v>
                </c:pt>
                <c:pt idx="21">
                  <c:v>3.3166666666666664</c:v>
                </c:pt>
                <c:pt idx="22">
                  <c:v>3.3090909090909091</c:v>
                </c:pt>
                <c:pt idx="23">
                  <c:v>3.3076923076923075</c:v>
                </c:pt>
                <c:pt idx="24">
                  <c:v>3.2866666666666666</c:v>
                </c:pt>
                <c:pt idx="25">
                  <c:v>3.2111111111111108</c:v>
                </c:pt>
                <c:pt idx="26">
                  <c:v>3.1909090909090909</c:v>
                </c:pt>
                <c:pt idx="27">
                  <c:v>3.17</c:v>
                </c:pt>
                <c:pt idx="28">
                  <c:v>3.1333333333333333</c:v>
                </c:pt>
                <c:pt idx="29">
                  <c:v>3.1</c:v>
                </c:pt>
                <c:pt idx="30">
                  <c:v>3.0625</c:v>
                </c:pt>
                <c:pt idx="31">
                  <c:v>2.9833333333333329</c:v>
                </c:pt>
                <c:pt idx="32">
                  <c:v>2.94</c:v>
                </c:pt>
                <c:pt idx="33">
                  <c:v>2.8666666666666667</c:v>
                </c:pt>
                <c:pt idx="34">
                  <c:v>2.8571428571428572</c:v>
                </c:pt>
                <c:pt idx="35">
                  <c:v>2.8000000000000003</c:v>
                </c:pt>
                <c:pt idx="36">
                  <c:v>2.8</c:v>
                </c:pt>
                <c:pt idx="37">
                  <c:v>2.77</c:v>
                </c:pt>
                <c:pt idx="38">
                  <c:v>2.7142857142857144</c:v>
                </c:pt>
                <c:pt idx="39">
                  <c:v>2.6181818181818182</c:v>
                </c:pt>
                <c:pt idx="40">
                  <c:v>2.6124999999999998</c:v>
                </c:pt>
                <c:pt idx="41">
                  <c:v>2.56</c:v>
                </c:pt>
                <c:pt idx="42">
                  <c:v>2.5142857142857147</c:v>
                </c:pt>
                <c:pt idx="43">
                  <c:v>2.5</c:v>
                </c:pt>
                <c:pt idx="44">
                  <c:v>2.4899999999999998</c:v>
                </c:pt>
                <c:pt idx="45">
                  <c:v>2.46</c:v>
                </c:pt>
                <c:pt idx="46">
                  <c:v>2.4300000000000002</c:v>
                </c:pt>
                <c:pt idx="47">
                  <c:v>2.42</c:v>
                </c:pt>
                <c:pt idx="48">
                  <c:v>2.4125000000000001</c:v>
                </c:pt>
                <c:pt idx="49">
                  <c:v>2.41</c:v>
                </c:pt>
                <c:pt idx="50">
                  <c:v>2.4090909090909092</c:v>
                </c:pt>
                <c:pt idx="51">
                  <c:v>2.3285714285714287</c:v>
                </c:pt>
                <c:pt idx="52">
                  <c:v>2.3250000000000002</c:v>
                </c:pt>
                <c:pt idx="53">
                  <c:v>2.3250000000000002</c:v>
                </c:pt>
                <c:pt idx="54">
                  <c:v>2.31</c:v>
                </c:pt>
                <c:pt idx="55">
                  <c:v>2.3000000000000003</c:v>
                </c:pt>
                <c:pt idx="56">
                  <c:v>2.2999999999999998</c:v>
                </c:pt>
                <c:pt idx="57">
                  <c:v>2.2571428571428571</c:v>
                </c:pt>
                <c:pt idx="58">
                  <c:v>2.2399999999999998</c:v>
                </c:pt>
                <c:pt idx="59">
                  <c:v>2.2272727272727271</c:v>
                </c:pt>
                <c:pt idx="60">
                  <c:v>2.2250000000000001</c:v>
                </c:pt>
                <c:pt idx="61">
                  <c:v>2.2250000000000001</c:v>
                </c:pt>
                <c:pt idx="62">
                  <c:v>2.1666666666666665</c:v>
                </c:pt>
                <c:pt idx="63">
                  <c:v>2.1166666666666667</c:v>
                </c:pt>
                <c:pt idx="64">
                  <c:v>2.1</c:v>
                </c:pt>
                <c:pt idx="65">
                  <c:v>2.0285714285714285</c:v>
                </c:pt>
                <c:pt idx="66">
                  <c:v>2.0249999999999999</c:v>
                </c:pt>
                <c:pt idx="67">
                  <c:v>2.02</c:v>
                </c:pt>
                <c:pt idx="68">
                  <c:v>1.9857142857142858</c:v>
                </c:pt>
                <c:pt idx="69">
                  <c:v>1.9571428571428571</c:v>
                </c:pt>
                <c:pt idx="70">
                  <c:v>1.9333333333333333</c:v>
                </c:pt>
                <c:pt idx="71">
                  <c:v>1.8666666666666667</c:v>
                </c:pt>
                <c:pt idx="72">
                  <c:v>1.7857142857142858</c:v>
                </c:pt>
                <c:pt idx="73">
                  <c:v>1.75</c:v>
                </c:pt>
                <c:pt idx="74">
                  <c:v>1.7454545454545454</c:v>
                </c:pt>
                <c:pt idx="75">
                  <c:v>1.7000000000000002</c:v>
                </c:pt>
                <c:pt idx="76">
                  <c:v>1.6818181818181819</c:v>
                </c:pt>
                <c:pt idx="77">
                  <c:v>1.675</c:v>
                </c:pt>
                <c:pt idx="78">
                  <c:v>1.6666666666666667</c:v>
                </c:pt>
                <c:pt idx="79">
                  <c:v>1.6666666666666667</c:v>
                </c:pt>
                <c:pt idx="80">
                  <c:v>1.6666666666666667</c:v>
                </c:pt>
                <c:pt idx="81">
                  <c:v>1.65</c:v>
                </c:pt>
                <c:pt idx="82">
                  <c:v>1.6428571428571428</c:v>
                </c:pt>
                <c:pt idx="83">
                  <c:v>1.6</c:v>
                </c:pt>
                <c:pt idx="84">
                  <c:v>1.6</c:v>
                </c:pt>
                <c:pt idx="85">
                  <c:v>1.5999999999999999</c:v>
                </c:pt>
                <c:pt idx="86">
                  <c:v>1.5874999999999999</c:v>
                </c:pt>
                <c:pt idx="87">
                  <c:v>1.5</c:v>
                </c:pt>
                <c:pt idx="88">
                  <c:v>1.48</c:v>
                </c:pt>
                <c:pt idx="89">
                  <c:v>1.45</c:v>
                </c:pt>
                <c:pt idx="90">
                  <c:v>1.4</c:v>
                </c:pt>
                <c:pt idx="91">
                  <c:v>1.3599999999999999</c:v>
                </c:pt>
                <c:pt idx="92">
                  <c:v>1.3</c:v>
                </c:pt>
                <c:pt idx="93">
                  <c:v>1.3</c:v>
                </c:pt>
                <c:pt idx="94">
                  <c:v>1.3</c:v>
                </c:pt>
                <c:pt idx="95">
                  <c:v>1.3</c:v>
                </c:pt>
                <c:pt idx="96">
                  <c:v>1.2875000000000001</c:v>
                </c:pt>
                <c:pt idx="97">
                  <c:v>1.26</c:v>
                </c:pt>
                <c:pt idx="98">
                  <c:v>1.25</c:v>
                </c:pt>
                <c:pt idx="99">
                  <c:v>1.25</c:v>
                </c:pt>
                <c:pt idx="100">
                  <c:v>1.2428571428571427</c:v>
                </c:pt>
                <c:pt idx="101">
                  <c:v>1.2333333333333334</c:v>
                </c:pt>
                <c:pt idx="102">
                  <c:v>1.2333333333333334</c:v>
                </c:pt>
                <c:pt idx="103">
                  <c:v>1.2333333333333334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1.1714285714285713</c:v>
                </c:pt>
                <c:pt idx="110">
                  <c:v>1.1666666666666667</c:v>
                </c:pt>
                <c:pt idx="111">
                  <c:v>1.1285714285714286</c:v>
                </c:pt>
                <c:pt idx="112">
                  <c:v>1.0999999999999999</c:v>
                </c:pt>
                <c:pt idx="113">
                  <c:v>1.0833333333333333</c:v>
                </c:pt>
                <c:pt idx="114">
                  <c:v>1.0666666666666667</c:v>
                </c:pt>
                <c:pt idx="115">
                  <c:v>1.06</c:v>
                </c:pt>
                <c:pt idx="116">
                  <c:v>1.06</c:v>
                </c:pt>
                <c:pt idx="117">
                  <c:v>1.05</c:v>
                </c:pt>
                <c:pt idx="118">
                  <c:v>1.05</c:v>
                </c:pt>
                <c:pt idx="119">
                  <c:v>1.04</c:v>
                </c:pt>
                <c:pt idx="120">
                  <c:v>1.0333333333333334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0.98000000000000009</c:v>
                </c:pt>
                <c:pt idx="127">
                  <c:v>0.95000000000000007</c:v>
                </c:pt>
                <c:pt idx="128">
                  <c:v>0.95</c:v>
                </c:pt>
                <c:pt idx="129">
                  <c:v>0.95</c:v>
                </c:pt>
                <c:pt idx="130">
                  <c:v>0.93333333333333324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0.88571428571428579</c:v>
                </c:pt>
                <c:pt idx="135">
                  <c:v>0.88000000000000012</c:v>
                </c:pt>
                <c:pt idx="136">
                  <c:v>0.875</c:v>
                </c:pt>
                <c:pt idx="137">
                  <c:v>0.8666666666666667</c:v>
                </c:pt>
                <c:pt idx="138">
                  <c:v>0.85</c:v>
                </c:pt>
                <c:pt idx="139">
                  <c:v>0.84000000000000008</c:v>
                </c:pt>
                <c:pt idx="140">
                  <c:v>0.8</c:v>
                </c:pt>
                <c:pt idx="141">
                  <c:v>0.78333333333333333</c:v>
                </c:pt>
                <c:pt idx="142">
                  <c:v>0.78333333333333333</c:v>
                </c:pt>
                <c:pt idx="143">
                  <c:v>0.76666666666666661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0.73333333333333339</c:v>
                </c:pt>
                <c:pt idx="148">
                  <c:v>0.72499999999999998</c:v>
                </c:pt>
                <c:pt idx="149">
                  <c:v>0.71666666666666667</c:v>
                </c:pt>
                <c:pt idx="150">
                  <c:v>0.70000000000000007</c:v>
                </c:pt>
                <c:pt idx="151">
                  <c:v>0.70000000000000007</c:v>
                </c:pt>
                <c:pt idx="152">
                  <c:v>0.7</c:v>
                </c:pt>
                <c:pt idx="153">
                  <c:v>0.68333333333333324</c:v>
                </c:pt>
                <c:pt idx="154">
                  <c:v>0.67500000000000004</c:v>
                </c:pt>
                <c:pt idx="155">
                  <c:v>0.64</c:v>
                </c:pt>
                <c:pt idx="156">
                  <c:v>0.6333333333333333</c:v>
                </c:pt>
                <c:pt idx="157">
                  <c:v>0.6333333333333333</c:v>
                </c:pt>
                <c:pt idx="158">
                  <c:v>0.6333333333333333</c:v>
                </c:pt>
                <c:pt idx="159">
                  <c:v>0.61428571428571421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0.55999999999999994</c:v>
                </c:pt>
                <c:pt idx="165">
                  <c:v>0.53333333333333333</c:v>
                </c:pt>
                <c:pt idx="166">
                  <c:v>0.52500000000000002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0.47499999999999998</c:v>
                </c:pt>
                <c:pt idx="172">
                  <c:v>0.46666666666666662</c:v>
                </c:pt>
                <c:pt idx="173">
                  <c:v>0.45</c:v>
                </c:pt>
                <c:pt idx="174">
                  <c:v>0.45</c:v>
                </c:pt>
                <c:pt idx="175">
                  <c:v>0.43333333333333335</c:v>
                </c:pt>
                <c:pt idx="176">
                  <c:v>0.43333333333333335</c:v>
                </c:pt>
                <c:pt idx="177">
                  <c:v>0.43333333333333335</c:v>
                </c:pt>
                <c:pt idx="178">
                  <c:v>0.42499999999999999</c:v>
                </c:pt>
                <c:pt idx="179">
                  <c:v>0.42499999999999999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</c:v>
                </c:pt>
                <c:pt idx="183">
                  <c:v>0.39999999999999997</c:v>
                </c:pt>
                <c:pt idx="184">
                  <c:v>0.375</c:v>
                </c:pt>
                <c:pt idx="185">
                  <c:v>0.3666666666666667</c:v>
                </c:pt>
                <c:pt idx="186">
                  <c:v>0.3666666666666667</c:v>
                </c:pt>
                <c:pt idx="187">
                  <c:v>0.35</c:v>
                </c:pt>
                <c:pt idx="188">
                  <c:v>0.35</c:v>
                </c:pt>
                <c:pt idx="189">
                  <c:v>0.33333333333333331</c:v>
                </c:pt>
                <c:pt idx="190">
                  <c:v>0.33333333333333331</c:v>
                </c:pt>
                <c:pt idx="191">
                  <c:v>0.32</c:v>
                </c:pt>
                <c:pt idx="192">
                  <c:v>0.31666666666666665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0.27500000000000002</c:v>
                </c:pt>
                <c:pt idx="205">
                  <c:v>0.26</c:v>
                </c:pt>
                <c:pt idx="206">
                  <c:v>0.25</c:v>
                </c:pt>
                <c:pt idx="207">
                  <c:v>0.25</c:v>
                </c:pt>
                <c:pt idx="208">
                  <c:v>0.25</c:v>
                </c:pt>
                <c:pt idx="209">
                  <c:v>0.25</c:v>
                </c:pt>
                <c:pt idx="210">
                  <c:v>0.25</c:v>
                </c:pt>
                <c:pt idx="211">
                  <c:v>0.25</c:v>
                </c:pt>
                <c:pt idx="212">
                  <c:v>0.23333333333333331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0.2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0.19999999999999998</c:v>
                </c:pt>
                <c:pt idx="224">
                  <c:v>0.19999999999999998</c:v>
                </c:pt>
                <c:pt idx="225">
                  <c:v>0.19999999999999998</c:v>
                </c:pt>
                <c:pt idx="226">
                  <c:v>0.18</c:v>
                </c:pt>
                <c:pt idx="227">
                  <c:v>0.16666666666666666</c:v>
                </c:pt>
                <c:pt idx="228">
                  <c:v>0.16666666666666666</c:v>
                </c:pt>
                <c:pt idx="229">
                  <c:v>0.16666666666666666</c:v>
                </c:pt>
                <c:pt idx="230">
                  <c:v>0.16666666666666666</c:v>
                </c:pt>
                <c:pt idx="231">
                  <c:v>0.15</c:v>
                </c:pt>
                <c:pt idx="232">
                  <c:v>0.15</c:v>
                </c:pt>
                <c:pt idx="233">
                  <c:v>0.15</c:v>
                </c:pt>
                <c:pt idx="234">
                  <c:v>0.15</c:v>
                </c:pt>
                <c:pt idx="235">
                  <c:v>0.15</c:v>
                </c:pt>
                <c:pt idx="236">
                  <c:v>0.15</c:v>
                </c:pt>
                <c:pt idx="237">
                  <c:v>0.13333333333333333</c:v>
                </c:pt>
                <c:pt idx="238">
                  <c:v>0.13333333333333333</c:v>
                </c:pt>
                <c:pt idx="239">
                  <c:v>0.13333333333333333</c:v>
                </c:pt>
                <c:pt idx="240">
                  <c:v>0.125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9.9999999999999992E-2</c:v>
                </c:pt>
                <c:pt idx="254">
                  <c:v>9.9999999999999992E-2</c:v>
                </c:pt>
                <c:pt idx="255">
                  <c:v>9.9999999999999992E-2</c:v>
                </c:pt>
                <c:pt idx="256">
                  <c:v>6.6666666666666666E-2</c:v>
                </c:pt>
                <c:pt idx="257">
                  <c:v>6.6666666666666666E-2</c:v>
                </c:pt>
                <c:pt idx="258">
                  <c:v>6.6666666666666666E-2</c:v>
                </c:pt>
                <c:pt idx="259">
                  <c:v>6.6666666666666666E-2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3.3333333333333333E-2</c:v>
                </c:pt>
                <c:pt idx="275">
                  <c:v>3.3333333333333333E-2</c:v>
                </c:pt>
                <c:pt idx="276">
                  <c:v>3.3333333333333333E-2</c:v>
                </c:pt>
                <c:pt idx="277">
                  <c:v>2.5000000000000001E-2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-2.5000000000000001E-2</c:v>
                </c:pt>
                <c:pt idx="316">
                  <c:v>-3.3333333333333333E-2</c:v>
                </c:pt>
                <c:pt idx="317">
                  <c:v>-3.3333333333333333E-2</c:v>
                </c:pt>
                <c:pt idx="318">
                  <c:v>-3.3333333333333333E-2</c:v>
                </c:pt>
                <c:pt idx="319">
                  <c:v>-0.04</c:v>
                </c:pt>
                <c:pt idx="320">
                  <c:v>-0.05</c:v>
                </c:pt>
                <c:pt idx="321">
                  <c:v>-0.05</c:v>
                </c:pt>
                <c:pt idx="322">
                  <c:v>-0.05</c:v>
                </c:pt>
                <c:pt idx="323">
                  <c:v>-0.05</c:v>
                </c:pt>
                <c:pt idx="324">
                  <c:v>-0.05</c:v>
                </c:pt>
                <c:pt idx="325">
                  <c:v>-0.05</c:v>
                </c:pt>
                <c:pt idx="326">
                  <c:v>-0.05</c:v>
                </c:pt>
                <c:pt idx="327">
                  <c:v>-0.05</c:v>
                </c:pt>
                <c:pt idx="328">
                  <c:v>-0.05</c:v>
                </c:pt>
                <c:pt idx="329">
                  <c:v>-6.6666666666666666E-2</c:v>
                </c:pt>
                <c:pt idx="330">
                  <c:v>-6.6666666666666666E-2</c:v>
                </c:pt>
                <c:pt idx="331">
                  <c:v>-7.4999999999999997E-2</c:v>
                </c:pt>
                <c:pt idx="332">
                  <c:v>-9.9999999999999992E-2</c:v>
                </c:pt>
                <c:pt idx="333">
                  <c:v>-0.1</c:v>
                </c:pt>
                <c:pt idx="334">
                  <c:v>-0.1</c:v>
                </c:pt>
                <c:pt idx="335">
                  <c:v>-0.1</c:v>
                </c:pt>
                <c:pt idx="336">
                  <c:v>-0.1</c:v>
                </c:pt>
                <c:pt idx="337">
                  <c:v>-0.1</c:v>
                </c:pt>
                <c:pt idx="338">
                  <c:v>-0.1</c:v>
                </c:pt>
                <c:pt idx="339">
                  <c:v>-0.1</c:v>
                </c:pt>
                <c:pt idx="340">
                  <c:v>-0.1</c:v>
                </c:pt>
                <c:pt idx="341">
                  <c:v>-0.1</c:v>
                </c:pt>
                <c:pt idx="342">
                  <c:v>-0.1</c:v>
                </c:pt>
                <c:pt idx="343">
                  <c:v>-0.1</c:v>
                </c:pt>
                <c:pt idx="344">
                  <c:v>-0.1</c:v>
                </c:pt>
                <c:pt idx="345">
                  <c:v>-0.1</c:v>
                </c:pt>
                <c:pt idx="346">
                  <c:v>-0.1</c:v>
                </c:pt>
                <c:pt idx="347">
                  <c:v>-0.1</c:v>
                </c:pt>
                <c:pt idx="348">
                  <c:v>-0.1</c:v>
                </c:pt>
                <c:pt idx="349">
                  <c:v>-0.1</c:v>
                </c:pt>
                <c:pt idx="350">
                  <c:v>-0.1</c:v>
                </c:pt>
                <c:pt idx="351">
                  <c:v>-0.1</c:v>
                </c:pt>
                <c:pt idx="352">
                  <c:v>-0.1</c:v>
                </c:pt>
                <c:pt idx="353">
                  <c:v>-0.1</c:v>
                </c:pt>
                <c:pt idx="354">
                  <c:v>-0.13333333333333333</c:v>
                </c:pt>
                <c:pt idx="355">
                  <c:v>-0.15</c:v>
                </c:pt>
                <c:pt idx="356">
                  <c:v>-0.15</c:v>
                </c:pt>
                <c:pt idx="357">
                  <c:v>-0.15</c:v>
                </c:pt>
                <c:pt idx="358">
                  <c:v>-0.15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-0.3</c:v>
                </c:pt>
                <c:pt idx="369">
                  <c:v>-0.3</c:v>
                </c:pt>
                <c:pt idx="370">
                  <c:v>-0.3</c:v>
                </c:pt>
                <c:pt idx="371">
                  <c:v>-0.35</c:v>
                </c:pt>
                <c:pt idx="372">
                  <c:v>-0.4</c:v>
                </c:pt>
                <c:pt idx="373">
                  <c:v>-0.45</c:v>
                </c:pt>
                <c:pt idx="374">
                  <c:v>-0.45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C-1C4E-8B33-198D260FB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57407"/>
        <c:axId val="234542320"/>
      </c:scatterChart>
      <c:valAx>
        <c:axId val="1601857407"/>
        <c:scaling>
          <c:orientation val="minMax"/>
          <c:max val="60"/>
          <c:min val="3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42320"/>
        <c:crosses val="autoZero"/>
        <c:crossBetween val="midCat"/>
        <c:majorUnit val="1"/>
        <c:minorUnit val="0.2"/>
      </c:valAx>
      <c:valAx>
        <c:axId val="2345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5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91394</xdr:colOff>
      <xdr:row>42</xdr:row>
      <xdr:rowOff>296648</xdr:rowOff>
    </xdr:from>
    <xdr:to>
      <xdr:col>30</xdr:col>
      <xdr:colOff>507843</xdr:colOff>
      <xdr:row>51</xdr:row>
      <xdr:rowOff>377518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93DE5-E224-FA07-9AD0-DA85EEFF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180647</xdr:colOff>
      <xdr:row>42</xdr:row>
      <xdr:rowOff>276157</xdr:rowOff>
    </xdr:from>
    <xdr:to>
      <xdr:col>36</xdr:col>
      <xdr:colOff>637847</xdr:colOff>
      <xdr:row>51</xdr:row>
      <xdr:rowOff>293090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020D02-757D-F5B7-62FB-E987A8596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96520</xdr:colOff>
      <xdr:row>42</xdr:row>
      <xdr:rowOff>325120</xdr:rowOff>
    </xdr:from>
    <xdr:to>
      <xdr:col>42</xdr:col>
      <xdr:colOff>553720</xdr:colOff>
      <xdr:row>51</xdr:row>
      <xdr:rowOff>365760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EA4E65-43A3-E086-D111-7E82467B5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35560</xdr:colOff>
      <xdr:row>42</xdr:row>
      <xdr:rowOff>314960</xdr:rowOff>
    </xdr:from>
    <xdr:to>
      <xdr:col>48</xdr:col>
      <xdr:colOff>492760</xdr:colOff>
      <xdr:row>51</xdr:row>
      <xdr:rowOff>355600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F8A144-C1A6-AC5C-52AB-FE112493B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767080</xdr:colOff>
      <xdr:row>42</xdr:row>
      <xdr:rowOff>314960</xdr:rowOff>
    </xdr:from>
    <xdr:to>
      <xdr:col>54</xdr:col>
      <xdr:colOff>401320</xdr:colOff>
      <xdr:row>51</xdr:row>
      <xdr:rowOff>355600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FCB8F2-E40F-BD05-FE3F-FD2362047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756920</xdr:colOff>
      <xdr:row>42</xdr:row>
      <xdr:rowOff>314960</xdr:rowOff>
    </xdr:from>
    <xdr:to>
      <xdr:col>60</xdr:col>
      <xdr:colOff>391160</xdr:colOff>
      <xdr:row>51</xdr:row>
      <xdr:rowOff>355600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5D23BD-DE08-AA14-5B7B-78322F445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716280</xdr:colOff>
      <xdr:row>42</xdr:row>
      <xdr:rowOff>304800</xdr:rowOff>
    </xdr:from>
    <xdr:to>
      <xdr:col>66</xdr:col>
      <xdr:colOff>350520</xdr:colOff>
      <xdr:row>51</xdr:row>
      <xdr:rowOff>345440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5338EC-F37D-0F3C-05BE-75DCE47F8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68191</xdr:colOff>
      <xdr:row>42</xdr:row>
      <xdr:rowOff>280773</xdr:rowOff>
    </xdr:from>
    <xdr:to>
      <xdr:col>72</xdr:col>
      <xdr:colOff>485575</xdr:colOff>
      <xdr:row>51</xdr:row>
      <xdr:rowOff>345989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F2043C-668B-8491-6EEA-6EB7C7834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73</xdr:col>
      <xdr:colOff>110983</xdr:colOff>
      <xdr:row>42</xdr:row>
      <xdr:rowOff>304571</xdr:rowOff>
    </xdr:from>
    <xdr:to>
      <xdr:col>78</xdr:col>
      <xdr:colOff>564064</xdr:colOff>
      <xdr:row>52</xdr:row>
      <xdr:rowOff>4348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BBBC4C5-B8FE-7B95-AFE4-C71082865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160127</xdr:colOff>
      <xdr:row>458</xdr:row>
      <xdr:rowOff>93105</xdr:rowOff>
    </xdr:from>
    <xdr:to>
      <xdr:col>25</xdr:col>
      <xdr:colOff>583460</xdr:colOff>
      <xdr:row>468</xdr:row>
      <xdr:rowOff>257376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1091B-EC8C-28C5-D8E2-45D18D791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105884</xdr:colOff>
      <xdr:row>469</xdr:row>
      <xdr:rowOff>37086</xdr:rowOff>
    </xdr:from>
    <xdr:to>
      <xdr:col>26</xdr:col>
      <xdr:colOff>640080</xdr:colOff>
      <xdr:row>480</xdr:row>
      <xdr:rowOff>132080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B725CC-40C3-80C0-4B24-34A415647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3F57-BC88-4041-BC80-D498FD252DA1}">
  <dimension ref="A1:AT113"/>
  <sheetViews>
    <sheetView zoomScale="111" workbookViewId="0">
      <pane ySplit="1" topLeftCell="A2" activePane="bottomLeft" state="frozen"/>
      <selection pane="bottomLeft" activeCell="A24" sqref="A24"/>
    </sheetView>
  </sheetViews>
  <sheetFormatPr defaultColWidth="10.875" defaultRowHeight="14.1"/>
  <cols>
    <col min="1" max="1" width="22.5" style="52" customWidth="1"/>
    <col min="2" max="3" width="10.875" style="52"/>
    <col min="4" max="4" width="11.125" style="52" customWidth="1"/>
    <col min="5" max="23" width="10.875" style="52"/>
    <col min="24" max="24" width="13.125" style="52" customWidth="1"/>
    <col min="25" max="16384" width="10.875" style="52"/>
  </cols>
  <sheetData>
    <row r="1" spans="1:22" ht="1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7</v>
      </c>
      <c r="P1" s="50" t="s">
        <v>8</v>
      </c>
      <c r="Q1" s="50" t="s">
        <v>9</v>
      </c>
      <c r="R1" s="50" t="s">
        <v>10</v>
      </c>
      <c r="S1" s="50" t="s">
        <v>14</v>
      </c>
      <c r="T1" s="50" t="s">
        <v>15</v>
      </c>
      <c r="U1" s="50" t="s">
        <v>16</v>
      </c>
      <c r="V1" s="50" t="s">
        <v>17</v>
      </c>
    </row>
    <row r="2" spans="1:22">
      <c r="A2" s="147" t="s">
        <v>18</v>
      </c>
      <c r="B2" s="151">
        <f>COUNT(A3:A7)/16</f>
        <v>0.3125</v>
      </c>
      <c r="C2" s="52" t="s">
        <v>19</v>
      </c>
      <c r="D2" s="150"/>
    </row>
    <row r="3" spans="1:22" ht="15">
      <c r="A3" s="142">
        <v>2018</v>
      </c>
      <c r="B3" s="142">
        <v>33</v>
      </c>
      <c r="C3" s="142" t="s">
        <v>20</v>
      </c>
      <c r="D3" s="142" t="s">
        <v>21</v>
      </c>
      <c r="E3" s="142" t="s">
        <v>22</v>
      </c>
      <c r="F3" s="142">
        <v>7</v>
      </c>
      <c r="G3" s="142">
        <v>473</v>
      </c>
      <c r="H3" s="142">
        <v>13739</v>
      </c>
      <c r="I3" s="142">
        <v>8471</v>
      </c>
      <c r="J3" s="142">
        <v>1507</v>
      </c>
      <c r="K3" s="142">
        <v>2355</v>
      </c>
      <c r="L3" s="142">
        <v>0.48899999999999999</v>
      </c>
      <c r="M3" s="142">
        <v>0.39200000000000002</v>
      </c>
      <c r="N3" s="142">
        <v>0.82299999999999995</v>
      </c>
      <c r="O3" s="142">
        <v>29</v>
      </c>
      <c r="P3" s="142">
        <v>17.899999999999999</v>
      </c>
      <c r="Q3" s="142">
        <v>3.2</v>
      </c>
      <c r="R3" s="142">
        <v>5</v>
      </c>
      <c r="S3" s="142">
        <v>44.4</v>
      </c>
      <c r="T3" s="142">
        <v>0.155</v>
      </c>
      <c r="U3" s="142">
        <v>2.2999999999999998</v>
      </c>
      <c r="V3" s="142">
        <v>14.8</v>
      </c>
    </row>
    <row r="4" spans="1:22" ht="15">
      <c r="A4" s="148">
        <v>2014</v>
      </c>
      <c r="B4" s="142">
        <v>41</v>
      </c>
      <c r="C4" s="142" t="s">
        <v>23</v>
      </c>
      <c r="D4" s="142" t="s">
        <v>24</v>
      </c>
      <c r="E4" s="142"/>
      <c r="F4" s="142">
        <v>10</v>
      </c>
      <c r="G4" s="142">
        <v>722</v>
      </c>
      <c r="H4" s="142">
        <v>22773</v>
      </c>
      <c r="I4" s="142">
        <v>15531</v>
      </c>
      <c r="J4" s="142">
        <v>7844</v>
      </c>
      <c r="K4" s="142">
        <v>5151</v>
      </c>
      <c r="L4" s="142">
        <v>0.55900000000000005</v>
      </c>
      <c r="M4" s="142">
        <v>0.36099999999999999</v>
      </c>
      <c r="N4" s="142">
        <v>0.82599999999999996</v>
      </c>
      <c r="O4" s="142">
        <v>31.5</v>
      </c>
      <c r="P4" s="142">
        <v>21.5</v>
      </c>
      <c r="Q4" s="142">
        <v>10.9</v>
      </c>
      <c r="R4" s="142">
        <v>7.1</v>
      </c>
      <c r="S4" s="142">
        <v>123.4</v>
      </c>
      <c r="T4" s="142">
        <v>0.26</v>
      </c>
      <c r="U4" s="142">
        <v>10.3</v>
      </c>
      <c r="V4" s="142">
        <v>70.400000000000006</v>
      </c>
    </row>
    <row r="5" spans="1:22" ht="30">
      <c r="A5" s="148">
        <v>2012</v>
      </c>
      <c r="B5" s="142">
        <v>35</v>
      </c>
      <c r="C5" s="142" t="s">
        <v>25</v>
      </c>
      <c r="D5" s="142" t="s">
        <v>26</v>
      </c>
      <c r="E5" s="142" t="s">
        <v>27</v>
      </c>
      <c r="F5" s="142">
        <v>13</v>
      </c>
      <c r="G5" s="142">
        <v>852</v>
      </c>
      <c r="H5" s="142">
        <v>24405</v>
      </c>
      <c r="I5" s="142">
        <v>7374</v>
      </c>
      <c r="J5" s="142">
        <v>5901</v>
      </c>
      <c r="K5" s="142">
        <v>4781</v>
      </c>
      <c r="L5" s="142">
        <v>0.45</v>
      </c>
      <c r="M5" s="142">
        <v>0.32100000000000001</v>
      </c>
      <c r="N5" s="142">
        <v>0.70799999999999996</v>
      </c>
      <c r="O5" s="142">
        <v>28.6</v>
      </c>
      <c r="P5" s="142">
        <v>8.6999999999999993</v>
      </c>
      <c r="Q5" s="142">
        <v>6.9</v>
      </c>
      <c r="R5" s="142">
        <v>5.6</v>
      </c>
      <c r="S5" s="142">
        <v>62.7</v>
      </c>
      <c r="T5" s="142">
        <v>0.123</v>
      </c>
      <c r="U5" s="142">
        <v>2.4</v>
      </c>
      <c r="V5" s="142">
        <v>27</v>
      </c>
    </row>
    <row r="6" spans="1:22" ht="30">
      <c r="A6" s="148">
        <v>2008</v>
      </c>
      <c r="B6" s="142">
        <v>35</v>
      </c>
      <c r="C6" s="142" t="s">
        <v>28</v>
      </c>
      <c r="D6" s="142" t="s">
        <v>29</v>
      </c>
      <c r="E6" s="142" t="s">
        <v>30</v>
      </c>
      <c r="F6" s="142">
        <v>17</v>
      </c>
      <c r="G6" s="142">
        <v>1094</v>
      </c>
      <c r="H6" s="142">
        <v>27638</v>
      </c>
      <c r="I6" s="142">
        <v>9415</v>
      </c>
      <c r="J6" s="142">
        <v>10682</v>
      </c>
      <c r="K6" s="142">
        <v>1025</v>
      </c>
      <c r="L6" s="142">
        <v>0.67400000000000004</v>
      </c>
      <c r="M6" s="142">
        <v>0.154</v>
      </c>
      <c r="N6" s="142">
        <v>0.47499999999999998</v>
      </c>
      <c r="O6" s="145">
        <v>25.3</v>
      </c>
      <c r="P6" s="142">
        <v>8.6</v>
      </c>
      <c r="Q6" s="142">
        <v>9.8000000000000007</v>
      </c>
      <c r="R6" s="142">
        <v>0.9</v>
      </c>
      <c r="S6" s="143">
        <v>98.2</v>
      </c>
      <c r="T6" s="142">
        <v>0.17100000000000001</v>
      </c>
      <c r="U6" s="142">
        <v>1.2</v>
      </c>
      <c r="V6" s="142">
        <v>22.1</v>
      </c>
    </row>
    <row r="7" spans="1:22" ht="15">
      <c r="A7" s="148">
        <v>2007</v>
      </c>
      <c r="B7" s="142">
        <v>48</v>
      </c>
      <c r="C7" s="142" t="s">
        <v>31</v>
      </c>
      <c r="D7" s="142" t="s">
        <v>32</v>
      </c>
      <c r="E7" s="142"/>
      <c r="F7" s="142">
        <v>13</v>
      </c>
      <c r="G7" s="142">
        <v>891</v>
      </c>
      <c r="H7" s="142">
        <v>28719</v>
      </c>
      <c r="I7" s="142">
        <v>12514</v>
      </c>
      <c r="J7" s="142">
        <v>6604</v>
      </c>
      <c r="K7" s="142">
        <v>2996</v>
      </c>
      <c r="L7" s="142">
        <v>0.48099999999999998</v>
      </c>
      <c r="M7" s="142">
        <v>0.36</v>
      </c>
      <c r="N7" s="142">
        <v>0.77600000000000002</v>
      </c>
      <c r="O7" s="142">
        <v>32.200000000000003</v>
      </c>
      <c r="P7" s="142">
        <v>14</v>
      </c>
      <c r="Q7" s="142">
        <v>7.4</v>
      </c>
      <c r="R7" s="142">
        <v>3.4</v>
      </c>
      <c r="S7" s="143">
        <v>85.3</v>
      </c>
      <c r="T7" s="146">
        <v>0.14299999999999999</v>
      </c>
      <c r="U7" s="148"/>
      <c r="V7" s="148"/>
    </row>
    <row r="8" spans="1:22" s="77" customFormat="1" ht="15" customHeight="1"/>
    <row r="9" spans="1:22">
      <c r="A9" s="147" t="s">
        <v>33</v>
      </c>
      <c r="B9" s="151">
        <f>COUNT(A10:A11)/16</f>
        <v>0.125</v>
      </c>
      <c r="C9" s="52" t="s">
        <v>19</v>
      </c>
      <c r="D9" s="150"/>
    </row>
    <row r="10" spans="1:22" ht="15">
      <c r="A10" s="52">
        <v>2012</v>
      </c>
      <c r="B10" s="51">
        <v>39</v>
      </c>
      <c r="C10" s="51" t="s">
        <v>34</v>
      </c>
      <c r="D10" s="142" t="s">
        <v>35</v>
      </c>
      <c r="E10" s="51" t="s">
        <v>30</v>
      </c>
      <c r="F10" s="51">
        <v>13</v>
      </c>
      <c r="G10" s="51">
        <v>762</v>
      </c>
      <c r="H10" s="51">
        <v>23514</v>
      </c>
      <c r="I10" s="51">
        <v>12751</v>
      </c>
      <c r="J10" s="51">
        <v>3648</v>
      </c>
      <c r="K10" s="51">
        <v>3018</v>
      </c>
      <c r="L10" s="51">
        <v>0.46100000000000002</v>
      </c>
      <c r="M10" s="51">
        <v>0.38800000000000001</v>
      </c>
      <c r="N10" s="51">
        <v>0.879</v>
      </c>
      <c r="O10" s="51">
        <v>30.9</v>
      </c>
      <c r="P10" s="51">
        <v>16.7</v>
      </c>
      <c r="Q10" s="51">
        <v>4.8</v>
      </c>
      <c r="R10" s="51">
        <v>4</v>
      </c>
      <c r="S10" s="51">
        <v>57.6</v>
      </c>
      <c r="T10" s="51">
        <v>0.11700000000000001</v>
      </c>
      <c r="U10" s="51">
        <v>0.8</v>
      </c>
      <c r="V10" s="51">
        <v>16.5</v>
      </c>
    </row>
    <row r="11" spans="1:22" ht="15">
      <c r="A11" s="52">
        <v>2011</v>
      </c>
      <c r="B11" s="51">
        <v>60</v>
      </c>
      <c r="C11" s="51" t="s">
        <v>36</v>
      </c>
      <c r="D11" s="148" t="s">
        <v>37</v>
      </c>
      <c r="E11" s="51" t="s">
        <v>38</v>
      </c>
      <c r="F11" s="51">
        <v>12</v>
      </c>
      <c r="G11" s="51">
        <v>556</v>
      </c>
      <c r="H11" s="51">
        <v>15582</v>
      </c>
      <c r="I11" s="51">
        <v>9723</v>
      </c>
      <c r="J11" s="51">
        <v>1321</v>
      </c>
      <c r="K11" s="51">
        <v>2641</v>
      </c>
      <c r="L11" s="51">
        <v>0.434</v>
      </c>
      <c r="M11" s="51">
        <v>0.36299999999999999</v>
      </c>
      <c r="N11" s="51">
        <v>0.872</v>
      </c>
      <c r="O11" s="51">
        <v>28</v>
      </c>
      <c r="P11" s="51">
        <v>17.5</v>
      </c>
      <c r="Q11" s="51">
        <v>2.4</v>
      </c>
      <c r="R11" s="51">
        <v>4.8</v>
      </c>
      <c r="S11" s="92">
        <v>45.3</v>
      </c>
      <c r="T11" s="51">
        <v>0.14000000000000001</v>
      </c>
      <c r="U11" s="51">
        <v>2.1</v>
      </c>
      <c r="V11" s="51">
        <v>16.100000000000001</v>
      </c>
    </row>
    <row r="12" spans="1:22" s="77" customFormat="1" ht="15.95" customHeight="1"/>
    <row r="13" spans="1:22">
      <c r="A13" s="147" t="s">
        <v>39</v>
      </c>
      <c r="B13" s="151">
        <f>COUNT(A14:A30)/16</f>
        <v>1.0625</v>
      </c>
      <c r="C13" s="52" t="s">
        <v>19</v>
      </c>
      <c r="E13" s="52" t="s">
        <v>40</v>
      </c>
    </row>
    <row r="14" spans="1:22" ht="30">
      <c r="A14" s="148">
        <v>2022</v>
      </c>
      <c r="B14" s="142">
        <v>31</v>
      </c>
      <c r="C14" s="142" t="s">
        <v>41</v>
      </c>
      <c r="D14" s="142" t="s">
        <v>42</v>
      </c>
      <c r="E14" s="142" t="s">
        <v>43</v>
      </c>
      <c r="F14" s="142">
        <v>3</v>
      </c>
      <c r="G14" s="142">
        <v>178</v>
      </c>
      <c r="H14" s="142">
        <v>4761</v>
      </c>
      <c r="I14" s="142">
        <v>1706</v>
      </c>
      <c r="J14" s="142">
        <v>457</v>
      </c>
      <c r="K14" s="142">
        <v>797</v>
      </c>
      <c r="L14" s="142">
        <v>0.46800000000000003</v>
      </c>
      <c r="M14" s="142">
        <v>0.34799999999999998</v>
      </c>
      <c r="N14" s="142">
        <v>0.78400000000000003</v>
      </c>
      <c r="O14" s="142">
        <v>26.7</v>
      </c>
      <c r="P14" s="142">
        <v>9.6</v>
      </c>
      <c r="Q14" s="142">
        <v>2.6</v>
      </c>
      <c r="R14" s="142">
        <v>4.5</v>
      </c>
      <c r="S14" s="142">
        <v>4.8</v>
      </c>
      <c r="T14" s="142">
        <v>4.9000000000000002E-2</v>
      </c>
      <c r="U14" s="142">
        <v>-2.6</v>
      </c>
      <c r="V14" s="142">
        <v>-0.7</v>
      </c>
    </row>
    <row r="15" spans="1:22" ht="15">
      <c r="A15" s="148">
        <v>2021</v>
      </c>
      <c r="B15" s="142">
        <v>35</v>
      </c>
      <c r="C15" s="142" t="s">
        <v>44</v>
      </c>
      <c r="D15" s="142" t="s">
        <v>45</v>
      </c>
      <c r="E15" s="142" t="s">
        <v>46</v>
      </c>
      <c r="F15" s="142">
        <v>4</v>
      </c>
      <c r="G15" s="142">
        <v>240</v>
      </c>
      <c r="H15" s="142">
        <v>7255</v>
      </c>
      <c r="I15" s="142">
        <v>2433</v>
      </c>
      <c r="J15" s="142">
        <v>915</v>
      </c>
      <c r="K15" s="142">
        <v>593</v>
      </c>
      <c r="L15" s="142">
        <v>0.47699999999999998</v>
      </c>
      <c r="M15" s="142">
        <v>0.36599999999999999</v>
      </c>
      <c r="N15" s="142">
        <v>0.82399999999999995</v>
      </c>
      <c r="O15" s="142">
        <v>30.2</v>
      </c>
      <c r="P15" s="142">
        <v>10.1</v>
      </c>
      <c r="Q15" s="142">
        <v>3.8</v>
      </c>
      <c r="R15" s="142">
        <v>2.5</v>
      </c>
      <c r="S15" s="142">
        <v>15.7</v>
      </c>
      <c r="T15" s="142">
        <v>0.104</v>
      </c>
      <c r="U15" s="142">
        <v>-0.4</v>
      </c>
      <c r="V15" s="142">
        <v>3</v>
      </c>
    </row>
    <row r="16" spans="1:22" ht="15">
      <c r="A16" s="148">
        <v>2019</v>
      </c>
      <c r="B16" s="142">
        <v>31</v>
      </c>
      <c r="C16" s="142" t="s">
        <v>47</v>
      </c>
      <c r="D16" s="142" t="s">
        <v>48</v>
      </c>
      <c r="E16" s="142" t="s">
        <v>49</v>
      </c>
      <c r="F16" s="142">
        <v>6</v>
      </c>
      <c r="G16" s="142">
        <v>286</v>
      </c>
      <c r="H16" s="142">
        <v>7335</v>
      </c>
      <c r="I16" s="142">
        <v>2936</v>
      </c>
      <c r="J16" s="142">
        <v>2219</v>
      </c>
      <c r="K16" s="142">
        <v>466</v>
      </c>
      <c r="L16" s="142">
        <v>0.64100000000000001</v>
      </c>
      <c r="M16" s="142">
        <v>0.121</v>
      </c>
      <c r="N16" s="142">
        <v>0.54100000000000004</v>
      </c>
      <c r="O16" s="142">
        <v>25.6</v>
      </c>
      <c r="P16" s="142">
        <v>10.3</v>
      </c>
      <c r="Q16" s="142">
        <v>7.8</v>
      </c>
      <c r="R16" s="142">
        <v>1.6</v>
      </c>
      <c r="S16" s="142">
        <v>24.3</v>
      </c>
      <c r="T16" s="142">
        <v>0.159</v>
      </c>
      <c r="U16" s="142">
        <v>1.4</v>
      </c>
      <c r="V16" s="142">
        <v>6.2</v>
      </c>
    </row>
    <row r="17" spans="1:22" ht="30">
      <c r="A17" s="148">
        <v>2018</v>
      </c>
      <c r="B17" s="142">
        <v>36</v>
      </c>
      <c r="C17" s="142" t="s">
        <v>50</v>
      </c>
      <c r="D17" s="142" t="s">
        <v>51</v>
      </c>
      <c r="E17" s="142"/>
      <c r="F17" s="142">
        <v>6</v>
      </c>
      <c r="G17" s="142">
        <v>320</v>
      </c>
      <c r="H17" s="142">
        <v>7832</v>
      </c>
      <c r="I17" s="142">
        <v>2549</v>
      </c>
      <c r="J17" s="142">
        <v>2538</v>
      </c>
      <c r="K17" s="142">
        <v>199</v>
      </c>
      <c r="L17" s="142">
        <v>0.70099999999999996</v>
      </c>
      <c r="M17" s="142">
        <v>0</v>
      </c>
      <c r="N17" s="142">
        <v>0.51800000000000002</v>
      </c>
      <c r="O17" s="142">
        <v>24.5</v>
      </c>
      <c r="P17" s="142">
        <v>8</v>
      </c>
      <c r="Q17" s="142">
        <v>7.9</v>
      </c>
      <c r="R17" s="142">
        <v>0.6</v>
      </c>
      <c r="S17" s="142">
        <v>33.9</v>
      </c>
      <c r="T17" s="142">
        <v>0.20699999999999999</v>
      </c>
      <c r="U17" s="142">
        <v>2.1</v>
      </c>
      <c r="V17" s="142">
        <v>8.1</v>
      </c>
    </row>
    <row r="18" spans="1:22" ht="30">
      <c r="A18" s="148">
        <v>2017</v>
      </c>
      <c r="B18" s="142">
        <v>43</v>
      </c>
      <c r="C18" s="142" t="s">
        <v>52</v>
      </c>
      <c r="D18" s="142" t="s">
        <v>53</v>
      </c>
      <c r="E18" s="142"/>
      <c r="F18" s="142">
        <v>7</v>
      </c>
      <c r="G18" s="142">
        <v>353</v>
      </c>
      <c r="H18" s="142">
        <v>6691</v>
      </c>
      <c r="I18" s="142">
        <v>2302</v>
      </c>
      <c r="J18" s="142">
        <v>2185</v>
      </c>
      <c r="K18" s="142">
        <v>668</v>
      </c>
      <c r="L18" s="142">
        <v>0.59</v>
      </c>
      <c r="M18" s="142">
        <v>0.27</v>
      </c>
      <c r="N18" s="142">
        <v>0.68300000000000005</v>
      </c>
      <c r="O18" s="142">
        <v>19</v>
      </c>
      <c r="P18" s="142">
        <v>6.5</v>
      </c>
      <c r="Q18" s="142">
        <v>6.2</v>
      </c>
      <c r="R18" s="142">
        <v>1.9</v>
      </c>
      <c r="S18" s="142">
        <v>25.2</v>
      </c>
      <c r="T18" s="142">
        <v>0.18099999999999999</v>
      </c>
      <c r="U18" s="142">
        <v>2</v>
      </c>
      <c r="V18" s="142">
        <v>6.8</v>
      </c>
    </row>
    <row r="19" spans="1:22" ht="15">
      <c r="A19" s="148">
        <v>2017</v>
      </c>
      <c r="B19" s="142">
        <v>45</v>
      </c>
      <c r="C19" s="142" t="s">
        <v>52</v>
      </c>
      <c r="D19" s="142" t="s">
        <v>54</v>
      </c>
      <c r="E19" s="142" t="s">
        <v>55</v>
      </c>
      <c r="F19" s="142">
        <v>8</v>
      </c>
      <c r="G19" s="142">
        <v>467</v>
      </c>
      <c r="H19" s="142">
        <v>13740</v>
      </c>
      <c r="I19" s="142">
        <v>6597</v>
      </c>
      <c r="J19" s="142">
        <v>1512</v>
      </c>
      <c r="K19" s="142">
        <v>930</v>
      </c>
      <c r="L19" s="142">
        <v>0.41699999999999998</v>
      </c>
      <c r="M19" s="142">
        <v>0.35</v>
      </c>
      <c r="N19" s="142">
        <v>0.80500000000000005</v>
      </c>
      <c r="O19" s="142">
        <v>29.4</v>
      </c>
      <c r="P19" s="142">
        <v>14.1</v>
      </c>
      <c r="Q19" s="142">
        <v>3.2</v>
      </c>
      <c r="R19" s="142">
        <v>2</v>
      </c>
      <c r="S19" s="142">
        <v>12.7</v>
      </c>
      <c r="T19" s="142">
        <v>4.4999999999999998E-2</v>
      </c>
      <c r="U19" s="142">
        <v>-3.6</v>
      </c>
      <c r="V19" s="142">
        <v>-5.5</v>
      </c>
    </row>
    <row r="20" spans="1:22" ht="15">
      <c r="A20" s="148">
        <v>2016</v>
      </c>
      <c r="B20" s="142">
        <v>32</v>
      </c>
      <c r="C20" s="142" t="s">
        <v>31</v>
      </c>
      <c r="D20" s="142" t="s">
        <v>56</v>
      </c>
      <c r="E20" s="142"/>
      <c r="F20" s="142">
        <v>9</v>
      </c>
      <c r="G20" s="142">
        <v>554</v>
      </c>
      <c r="H20" s="142">
        <v>12410</v>
      </c>
      <c r="I20" s="142">
        <v>5382</v>
      </c>
      <c r="J20" s="142">
        <v>4367</v>
      </c>
      <c r="K20" s="142">
        <v>707</v>
      </c>
      <c r="L20" s="142">
        <v>0.61299999999999999</v>
      </c>
      <c r="M20" s="142">
        <v>8.3000000000000004E-2</v>
      </c>
      <c r="N20" s="142">
        <v>0.72599999999999998</v>
      </c>
      <c r="O20" s="142">
        <v>22.4</v>
      </c>
      <c r="P20" s="142">
        <v>9.6999999999999993</v>
      </c>
      <c r="Q20" s="142">
        <v>7.9</v>
      </c>
      <c r="R20" s="142">
        <v>1.3</v>
      </c>
      <c r="S20" s="142">
        <v>46.2</v>
      </c>
      <c r="T20" s="142">
        <v>0.17899999999999999</v>
      </c>
      <c r="U20" s="142">
        <v>0.6</v>
      </c>
      <c r="V20" s="142">
        <v>8.1999999999999993</v>
      </c>
    </row>
    <row r="21" spans="1:22" ht="30">
      <c r="A21" s="148">
        <v>2016</v>
      </c>
      <c r="B21" s="142">
        <v>36</v>
      </c>
      <c r="C21" s="142" t="s">
        <v>57</v>
      </c>
      <c r="D21" s="142" t="s">
        <v>58</v>
      </c>
      <c r="E21" s="142" t="s">
        <v>59</v>
      </c>
      <c r="F21" s="142">
        <v>9</v>
      </c>
      <c r="G21" s="142">
        <v>461</v>
      </c>
      <c r="H21" s="142">
        <v>13446</v>
      </c>
      <c r="I21" s="142">
        <v>7054</v>
      </c>
      <c r="J21" s="142">
        <v>1912</v>
      </c>
      <c r="K21" s="142">
        <v>2145</v>
      </c>
      <c r="L21" s="142">
        <v>0.46300000000000002</v>
      </c>
      <c r="M21" s="142">
        <v>0.38800000000000001</v>
      </c>
      <c r="N21" s="142">
        <v>0.874</v>
      </c>
      <c r="O21" s="142">
        <v>29.2</v>
      </c>
      <c r="P21" s="142">
        <v>15.3</v>
      </c>
      <c r="Q21" s="142">
        <v>4.0999999999999996</v>
      </c>
      <c r="R21" s="142">
        <v>4.7</v>
      </c>
      <c r="S21" s="142">
        <v>33.200000000000003</v>
      </c>
      <c r="T21" s="142">
        <v>0.11899999999999999</v>
      </c>
      <c r="U21" s="142">
        <v>1.3</v>
      </c>
      <c r="V21" s="142">
        <v>11.2</v>
      </c>
    </row>
    <row r="22" spans="1:22" ht="30">
      <c r="A22" s="148">
        <v>2015</v>
      </c>
      <c r="B22" s="142">
        <v>32</v>
      </c>
      <c r="C22" s="142" t="s">
        <v>52</v>
      </c>
      <c r="D22" s="142" t="s">
        <v>60</v>
      </c>
      <c r="E22" s="142" t="s">
        <v>61</v>
      </c>
      <c r="F22" s="142">
        <v>8</v>
      </c>
      <c r="G22" s="142">
        <v>515</v>
      </c>
      <c r="H22" s="142">
        <v>10544</v>
      </c>
      <c r="I22" s="142">
        <v>6220</v>
      </c>
      <c r="J22" s="142">
        <v>2588</v>
      </c>
      <c r="K22" s="142">
        <v>675</v>
      </c>
      <c r="L22" s="142">
        <v>0.61899999999999999</v>
      </c>
      <c r="M22" s="142">
        <v>0.108</v>
      </c>
      <c r="N22" s="142">
        <v>0.66400000000000003</v>
      </c>
      <c r="O22" s="142">
        <v>20.5</v>
      </c>
      <c r="P22" s="142">
        <v>12.1</v>
      </c>
      <c r="Q22" s="142">
        <v>5</v>
      </c>
      <c r="R22" s="142">
        <v>1.3</v>
      </c>
      <c r="S22" s="142">
        <v>42.9</v>
      </c>
      <c r="T22" s="142">
        <v>0.19500000000000001</v>
      </c>
      <c r="U22" s="142">
        <v>2.6</v>
      </c>
      <c r="V22" s="142">
        <v>12.2</v>
      </c>
    </row>
    <row r="23" spans="1:22" ht="15">
      <c r="A23" s="148">
        <v>2015</v>
      </c>
      <c r="B23" s="142">
        <v>46</v>
      </c>
      <c r="C23" s="142" t="s">
        <v>57</v>
      </c>
      <c r="D23" s="142" t="s">
        <v>62</v>
      </c>
      <c r="E23" s="142" t="s">
        <v>63</v>
      </c>
      <c r="F23" s="142">
        <v>10</v>
      </c>
      <c r="G23" s="142">
        <v>600</v>
      </c>
      <c r="H23" s="142">
        <v>14412</v>
      </c>
      <c r="I23" s="142">
        <v>7882</v>
      </c>
      <c r="J23" s="142">
        <v>1610</v>
      </c>
      <c r="K23" s="142">
        <v>913</v>
      </c>
      <c r="L23" s="142">
        <v>0.47199999999999998</v>
      </c>
      <c r="M23" s="142">
        <v>0.39900000000000002</v>
      </c>
      <c r="N23" s="142">
        <v>0.82699999999999996</v>
      </c>
      <c r="O23" s="142">
        <v>24</v>
      </c>
      <c r="P23" s="142">
        <v>13.1</v>
      </c>
      <c r="Q23" s="142">
        <v>2.7</v>
      </c>
      <c r="R23" s="142">
        <v>1.5</v>
      </c>
      <c r="S23" s="142">
        <v>31.7</v>
      </c>
      <c r="T23" s="142">
        <v>0.106</v>
      </c>
      <c r="U23" s="142">
        <v>0.1</v>
      </c>
      <c r="V23" s="142">
        <v>7.8</v>
      </c>
    </row>
    <row r="24" spans="1:22" ht="30">
      <c r="A24" s="148">
        <v>2014</v>
      </c>
      <c r="B24" s="142">
        <v>38</v>
      </c>
      <c r="C24" s="142" t="s">
        <v>34</v>
      </c>
      <c r="D24" s="142" t="s">
        <v>64</v>
      </c>
      <c r="E24" s="142" t="s">
        <v>65</v>
      </c>
      <c r="F24" s="142">
        <v>11</v>
      </c>
      <c r="G24" s="142">
        <v>593</v>
      </c>
      <c r="H24" s="142">
        <v>16360</v>
      </c>
      <c r="I24" s="142">
        <v>7731</v>
      </c>
      <c r="J24" s="142">
        <v>1763</v>
      </c>
      <c r="K24" s="142">
        <v>2992</v>
      </c>
      <c r="L24" s="142">
        <v>0.41399999999999998</v>
      </c>
      <c r="M24" s="142">
        <v>0.33500000000000002</v>
      </c>
      <c r="N24" s="142">
        <v>0.79900000000000004</v>
      </c>
      <c r="O24" s="142">
        <v>27.6</v>
      </c>
      <c r="P24" s="142">
        <v>13</v>
      </c>
      <c r="Q24" s="142">
        <v>3</v>
      </c>
      <c r="R24" s="142">
        <v>5</v>
      </c>
      <c r="S24" s="142">
        <v>35.1</v>
      </c>
      <c r="T24" s="142">
        <v>0.10299999999999999</v>
      </c>
      <c r="U24" s="142">
        <v>0</v>
      </c>
      <c r="V24" s="142">
        <v>8.3000000000000007</v>
      </c>
    </row>
    <row r="25" spans="1:22" ht="15">
      <c r="A25" s="148">
        <v>2014</v>
      </c>
      <c r="B25" s="142">
        <v>39</v>
      </c>
      <c r="C25" s="142" t="s">
        <v>66</v>
      </c>
      <c r="D25" s="142" t="s">
        <v>67</v>
      </c>
      <c r="E25" s="142" t="s">
        <v>68</v>
      </c>
      <c r="F25" s="142">
        <v>11</v>
      </c>
      <c r="G25" s="142">
        <v>713</v>
      </c>
      <c r="H25" s="142">
        <v>19860</v>
      </c>
      <c r="I25" s="142">
        <v>9353</v>
      </c>
      <c r="J25" s="142">
        <v>2798</v>
      </c>
      <c r="K25" s="142">
        <v>1139</v>
      </c>
      <c r="L25" s="142">
        <v>0.45</v>
      </c>
      <c r="M25" s="142">
        <v>0.36399999999999999</v>
      </c>
      <c r="N25" s="142">
        <v>0.752</v>
      </c>
      <c r="O25" s="142">
        <v>27.9</v>
      </c>
      <c r="P25" s="142">
        <v>13.1</v>
      </c>
      <c r="Q25" s="142">
        <v>3.9</v>
      </c>
      <c r="R25" s="142">
        <v>1.6</v>
      </c>
      <c r="S25" s="142">
        <v>36.4</v>
      </c>
      <c r="T25" s="142">
        <v>8.7999999999999995E-2</v>
      </c>
      <c r="U25" s="142">
        <v>-0.4</v>
      </c>
      <c r="V25" s="142">
        <v>7.8</v>
      </c>
    </row>
    <row r="26" spans="1:22" ht="30">
      <c r="A26" s="148">
        <v>2014</v>
      </c>
      <c r="B26" s="142">
        <v>46</v>
      </c>
      <c r="C26" s="142" t="s">
        <v>69</v>
      </c>
      <c r="D26" s="142" t="s">
        <v>70</v>
      </c>
      <c r="E26" s="142" t="s">
        <v>71</v>
      </c>
      <c r="F26" s="142">
        <v>11</v>
      </c>
      <c r="G26" s="142">
        <v>744</v>
      </c>
      <c r="H26" s="142">
        <v>20594</v>
      </c>
      <c r="I26" s="142">
        <v>11902</v>
      </c>
      <c r="J26" s="142">
        <v>2494</v>
      </c>
      <c r="K26" s="142">
        <v>2178</v>
      </c>
      <c r="L26" s="142">
        <v>0.437</v>
      </c>
      <c r="M26" s="142">
        <v>0.33700000000000002</v>
      </c>
      <c r="N26" s="142">
        <v>0.83199999999999996</v>
      </c>
      <c r="O26" s="142">
        <v>27.7</v>
      </c>
      <c r="P26" s="142">
        <v>16</v>
      </c>
      <c r="Q26" s="142">
        <v>3.4</v>
      </c>
      <c r="R26" s="142">
        <v>2.9</v>
      </c>
      <c r="S26" s="142">
        <v>24.5</v>
      </c>
      <c r="T26" s="142">
        <v>5.7000000000000002E-2</v>
      </c>
      <c r="U26" s="142">
        <v>-0.9</v>
      </c>
      <c r="V26" s="142">
        <v>5.8</v>
      </c>
    </row>
    <row r="27" spans="1:22" ht="30">
      <c r="A27" s="148">
        <v>2011</v>
      </c>
      <c r="B27" s="142">
        <v>31</v>
      </c>
      <c r="C27" s="142" t="s">
        <v>72</v>
      </c>
      <c r="D27" s="142" t="s">
        <v>73</v>
      </c>
      <c r="E27" s="142"/>
      <c r="F27" s="142">
        <v>10</v>
      </c>
      <c r="G27" s="142">
        <v>719</v>
      </c>
      <c r="H27" s="142">
        <v>20890</v>
      </c>
      <c r="I27" s="142">
        <v>11184</v>
      </c>
      <c r="J27" s="142">
        <v>2559</v>
      </c>
      <c r="K27" s="142">
        <v>1194</v>
      </c>
      <c r="L27" s="142">
        <v>0.46</v>
      </c>
      <c r="M27" s="142">
        <v>0.39400000000000002</v>
      </c>
      <c r="N27" s="142">
        <v>0.85899999999999999</v>
      </c>
      <c r="O27" s="142">
        <v>29.1</v>
      </c>
      <c r="P27" s="142">
        <v>15.6</v>
      </c>
      <c r="Q27" s="142">
        <v>3.6</v>
      </c>
      <c r="R27" s="142">
        <v>1.7</v>
      </c>
      <c r="S27" s="143">
        <v>37.6</v>
      </c>
      <c r="T27" s="142">
        <v>8.5999999999999993E-2</v>
      </c>
      <c r="U27" s="142">
        <v>-0.9</v>
      </c>
      <c r="V27" s="142">
        <v>5.8</v>
      </c>
    </row>
    <row r="28" spans="1:22" ht="30">
      <c r="A28" s="148">
        <v>2010</v>
      </c>
      <c r="B28" s="142">
        <v>33</v>
      </c>
      <c r="C28" s="142" t="s">
        <v>36</v>
      </c>
      <c r="D28" s="142" t="s">
        <v>74</v>
      </c>
      <c r="E28" s="142" t="s">
        <v>75</v>
      </c>
      <c r="F28" s="142">
        <v>10</v>
      </c>
      <c r="G28" s="142">
        <v>511</v>
      </c>
      <c r="H28" s="142">
        <v>12645</v>
      </c>
      <c r="I28" s="142">
        <v>6450</v>
      </c>
      <c r="J28" s="142">
        <v>5523</v>
      </c>
      <c r="K28" s="142">
        <v>327</v>
      </c>
      <c r="L28" s="142">
        <v>0.58599999999999997</v>
      </c>
      <c r="M28" s="142">
        <v>0.308</v>
      </c>
      <c r="N28" s="142">
        <v>0.60499999999999998</v>
      </c>
      <c r="O28" s="142">
        <v>24.7</v>
      </c>
      <c r="P28" s="142">
        <v>12.6</v>
      </c>
      <c r="Q28" s="142">
        <v>10.8</v>
      </c>
      <c r="R28" s="142">
        <v>0.6</v>
      </c>
      <c r="S28" s="143">
        <v>52</v>
      </c>
      <c r="T28" s="142">
        <v>0.19700000000000001</v>
      </c>
      <c r="U28" s="142">
        <v>2.5</v>
      </c>
      <c r="V28" s="142">
        <v>14.5</v>
      </c>
    </row>
    <row r="29" spans="1:22" ht="15">
      <c r="A29" s="148">
        <v>2009</v>
      </c>
      <c r="B29" s="142">
        <v>46</v>
      </c>
      <c r="C29" s="142" t="s">
        <v>76</v>
      </c>
      <c r="D29" s="142" t="s">
        <v>77</v>
      </c>
      <c r="E29" s="142" t="s">
        <v>78</v>
      </c>
      <c r="F29" s="142">
        <v>15</v>
      </c>
      <c r="G29" s="142">
        <v>832</v>
      </c>
      <c r="H29" s="142">
        <v>20899</v>
      </c>
      <c r="I29" s="142">
        <v>7204</v>
      </c>
      <c r="J29" s="142">
        <v>2827</v>
      </c>
      <c r="K29" s="142">
        <v>1277</v>
      </c>
      <c r="L29" s="142">
        <v>0.42099999999999999</v>
      </c>
      <c r="M29" s="142">
        <v>0.4</v>
      </c>
      <c r="N29" s="142">
        <v>0.80500000000000005</v>
      </c>
      <c r="O29" s="142">
        <v>25.1</v>
      </c>
      <c r="P29" s="142">
        <v>8.6999999999999993</v>
      </c>
      <c r="Q29" s="142">
        <v>3.4</v>
      </c>
      <c r="R29" s="142">
        <v>1.5</v>
      </c>
      <c r="S29" s="144">
        <v>49.3</v>
      </c>
      <c r="T29" s="142">
        <v>0.113</v>
      </c>
      <c r="U29" s="142">
        <v>1.8</v>
      </c>
      <c r="V29" s="142">
        <v>20.2</v>
      </c>
    </row>
    <row r="30" spans="1:22" ht="15">
      <c r="A30" s="148">
        <v>2008</v>
      </c>
      <c r="B30" s="142">
        <v>45</v>
      </c>
      <c r="C30" s="142" t="s">
        <v>79</v>
      </c>
      <c r="D30" s="142" t="s">
        <v>80</v>
      </c>
      <c r="E30" s="142"/>
      <c r="F30" s="142">
        <v>15</v>
      </c>
      <c r="G30" s="142">
        <v>946</v>
      </c>
      <c r="H30" s="142">
        <v>25603</v>
      </c>
      <c r="I30" s="142">
        <v>12568</v>
      </c>
      <c r="J30" s="142">
        <v>2816</v>
      </c>
      <c r="K30" s="142">
        <v>4405</v>
      </c>
      <c r="L30" s="142">
        <v>0.45900000000000002</v>
      </c>
      <c r="M30" s="142">
        <v>0.36199999999999999</v>
      </c>
      <c r="N30" s="142">
        <v>0.76600000000000001</v>
      </c>
      <c r="O30" s="145">
        <v>27.1</v>
      </c>
      <c r="P30" s="142">
        <v>13.3</v>
      </c>
      <c r="Q30" s="142">
        <v>3</v>
      </c>
      <c r="R30" s="142">
        <v>4.7</v>
      </c>
      <c r="S30" s="143">
        <v>56.7</v>
      </c>
      <c r="T30" s="142">
        <v>0.106</v>
      </c>
      <c r="U30" s="142">
        <v>0.5</v>
      </c>
      <c r="V30" s="142">
        <v>15.9</v>
      </c>
    </row>
    <row r="31" spans="1:22" s="149" customFormat="1" ht="15.95" customHeight="1"/>
    <row r="32" spans="1:22">
      <c r="A32" s="147" t="s">
        <v>81</v>
      </c>
      <c r="B32" s="52">
        <f>COUNT(A33:A60)/16</f>
        <v>1.75</v>
      </c>
      <c r="C32" s="52" t="s">
        <v>19</v>
      </c>
    </row>
    <row r="33" spans="1:45" ht="15">
      <c r="A33" s="148">
        <v>2022</v>
      </c>
      <c r="B33" s="142">
        <v>34</v>
      </c>
      <c r="C33" s="142" t="s">
        <v>82</v>
      </c>
      <c r="D33" s="142" t="s">
        <v>83</v>
      </c>
      <c r="E33" s="142" t="s">
        <v>84</v>
      </c>
      <c r="F33" s="142">
        <v>3</v>
      </c>
      <c r="G33" s="142">
        <v>142</v>
      </c>
      <c r="H33" s="142">
        <v>2218</v>
      </c>
      <c r="I33" s="142">
        <v>704</v>
      </c>
      <c r="J33" s="142">
        <v>613</v>
      </c>
      <c r="K33" s="142">
        <v>245</v>
      </c>
      <c r="L33" s="142">
        <v>0.41899999999999998</v>
      </c>
      <c r="M33" s="142">
        <v>0.36699999999999999</v>
      </c>
      <c r="N33" s="142">
        <v>0.77100000000000002</v>
      </c>
      <c r="O33" s="142">
        <v>15.6</v>
      </c>
      <c r="P33" s="142">
        <v>5</v>
      </c>
      <c r="Q33" s="142">
        <v>4.3</v>
      </c>
      <c r="R33" s="142">
        <v>1.7</v>
      </c>
      <c r="S33" s="142">
        <v>5.8</v>
      </c>
      <c r="T33" s="142">
        <v>0.126</v>
      </c>
      <c r="U33" s="142">
        <v>0.3</v>
      </c>
      <c r="V33" s="142">
        <v>1.3</v>
      </c>
    </row>
    <row r="34" spans="1:45" ht="15">
      <c r="A34" s="148">
        <v>2022</v>
      </c>
      <c r="B34" s="142">
        <v>35</v>
      </c>
      <c r="C34" s="142" t="s">
        <v>31</v>
      </c>
      <c r="D34" s="142" t="s">
        <v>85</v>
      </c>
      <c r="E34" s="142" t="s">
        <v>27</v>
      </c>
      <c r="F34" s="142">
        <v>3</v>
      </c>
      <c r="G34" s="142">
        <v>157</v>
      </c>
      <c r="H34" s="142">
        <v>2704</v>
      </c>
      <c r="I34" s="142">
        <v>855</v>
      </c>
      <c r="J34" s="142">
        <v>357</v>
      </c>
      <c r="K34" s="142">
        <v>156</v>
      </c>
      <c r="L34" s="142">
        <v>0.437</v>
      </c>
      <c r="M34" s="142">
        <v>0.38300000000000001</v>
      </c>
      <c r="N34" s="142">
        <v>0.82499999999999996</v>
      </c>
      <c r="O34" s="142">
        <v>17.2</v>
      </c>
      <c r="P34" s="142">
        <v>5.4</v>
      </c>
      <c r="Q34" s="142">
        <v>2.2999999999999998</v>
      </c>
      <c r="R34" s="142">
        <v>1</v>
      </c>
      <c r="S34" s="142">
        <v>3.6</v>
      </c>
      <c r="T34" s="142">
        <v>6.4000000000000001E-2</v>
      </c>
      <c r="U34" s="142">
        <v>-2.6</v>
      </c>
      <c r="V34" s="142">
        <v>-0.4</v>
      </c>
    </row>
    <row r="35" spans="1:45" ht="15">
      <c r="A35" s="148">
        <v>2021</v>
      </c>
      <c r="B35" s="142">
        <v>36</v>
      </c>
      <c r="C35" s="142" t="s">
        <v>82</v>
      </c>
      <c r="D35" s="142" t="s">
        <v>86</v>
      </c>
      <c r="E35" s="142" t="s">
        <v>87</v>
      </c>
      <c r="F35" s="142">
        <v>4</v>
      </c>
      <c r="G35" s="142">
        <v>214</v>
      </c>
      <c r="H35" s="142">
        <v>3449</v>
      </c>
      <c r="I35" s="142">
        <v>1256</v>
      </c>
      <c r="J35" s="142">
        <v>291</v>
      </c>
      <c r="K35" s="142">
        <v>340</v>
      </c>
      <c r="L35" s="142">
        <v>0.40699999999999997</v>
      </c>
      <c r="M35" s="142">
        <v>0.35699999999999998</v>
      </c>
      <c r="N35" s="142">
        <v>0.78700000000000003</v>
      </c>
      <c r="O35" s="142">
        <v>16.100000000000001</v>
      </c>
      <c r="P35" s="142">
        <v>5.9</v>
      </c>
      <c r="Q35" s="142">
        <v>1.4</v>
      </c>
      <c r="R35" s="142">
        <v>1.6</v>
      </c>
      <c r="S35" s="142">
        <v>6.7</v>
      </c>
      <c r="T35" s="142">
        <v>9.2999999999999999E-2</v>
      </c>
      <c r="U35" s="142">
        <v>-1.1000000000000001</v>
      </c>
      <c r="V35" s="142">
        <v>0.8</v>
      </c>
    </row>
    <row r="36" spans="1:45" ht="15">
      <c r="A36" s="148">
        <v>2021</v>
      </c>
      <c r="B36" s="142">
        <v>55</v>
      </c>
      <c r="C36" s="142" t="s">
        <v>82</v>
      </c>
      <c r="D36" s="142" t="s">
        <v>88</v>
      </c>
      <c r="E36" s="142" t="s">
        <v>89</v>
      </c>
      <c r="F36" s="142">
        <v>4</v>
      </c>
      <c r="G36" s="142">
        <v>249</v>
      </c>
      <c r="H36" s="142">
        <v>4853</v>
      </c>
      <c r="I36" s="142">
        <v>1980</v>
      </c>
      <c r="J36" s="142">
        <v>764</v>
      </c>
      <c r="K36" s="142">
        <v>316</v>
      </c>
      <c r="L36" s="142">
        <v>0.50900000000000001</v>
      </c>
      <c r="M36" s="142">
        <v>0.38800000000000001</v>
      </c>
      <c r="N36" s="142">
        <v>0.79100000000000004</v>
      </c>
      <c r="O36" s="142">
        <v>19.5</v>
      </c>
      <c r="P36" s="142">
        <v>8</v>
      </c>
      <c r="Q36" s="142">
        <v>3.1</v>
      </c>
      <c r="R36" s="142">
        <v>1.3</v>
      </c>
      <c r="S36" s="142">
        <v>11.2</v>
      </c>
      <c r="T36" s="142">
        <v>0.111</v>
      </c>
      <c r="U36" s="142">
        <v>-1.1000000000000001</v>
      </c>
      <c r="V36" s="142">
        <v>1.1000000000000001</v>
      </c>
    </row>
    <row r="37" spans="1:45" ht="15">
      <c r="A37" s="148">
        <v>2020</v>
      </c>
      <c r="B37" s="142">
        <v>49</v>
      </c>
      <c r="C37" s="142" t="s">
        <v>66</v>
      </c>
      <c r="D37" s="142" t="s">
        <v>90</v>
      </c>
      <c r="E37" s="142" t="s">
        <v>84</v>
      </c>
      <c r="F37" s="142">
        <v>5</v>
      </c>
      <c r="G37" s="142">
        <v>294</v>
      </c>
      <c r="H37" s="142">
        <v>4827</v>
      </c>
      <c r="I37" s="142">
        <v>2134</v>
      </c>
      <c r="J37" s="142">
        <v>567</v>
      </c>
      <c r="K37" s="142">
        <v>306</v>
      </c>
      <c r="L37" s="142">
        <v>0.42899999999999999</v>
      </c>
      <c r="M37" s="142">
        <v>0.39800000000000002</v>
      </c>
      <c r="N37" s="142">
        <v>0.82799999999999996</v>
      </c>
      <c r="O37" s="142">
        <v>16.399999999999999</v>
      </c>
      <c r="P37" s="142">
        <v>7.3</v>
      </c>
      <c r="Q37" s="142">
        <v>1.9</v>
      </c>
      <c r="R37" s="142">
        <v>1</v>
      </c>
      <c r="S37" s="142">
        <v>11.5</v>
      </c>
      <c r="T37" s="142">
        <v>0.114</v>
      </c>
      <c r="U37" s="142">
        <v>-0.1</v>
      </c>
      <c r="V37" s="142">
        <v>2.2999999999999998</v>
      </c>
      <c r="Y37" s="52" t="s">
        <v>91</v>
      </c>
      <c r="Z37" s="52" t="s">
        <v>92</v>
      </c>
      <c r="AA37" s="52" t="s">
        <v>93</v>
      </c>
      <c r="AB37" s="52" t="s">
        <v>94</v>
      </c>
      <c r="AC37" s="52" t="s">
        <v>95</v>
      </c>
      <c r="AD37" s="52" t="s">
        <v>96</v>
      </c>
      <c r="AH37" s="52" t="s">
        <v>91</v>
      </c>
      <c r="AI37" s="52" t="s">
        <v>92</v>
      </c>
      <c r="AJ37" s="52" t="s">
        <v>93</v>
      </c>
      <c r="AK37" s="52" t="s">
        <v>94</v>
      </c>
      <c r="AL37" s="52" t="s">
        <v>95</v>
      </c>
      <c r="AM37" s="52" t="s">
        <v>96</v>
      </c>
      <c r="AO37" s="52" t="s">
        <v>97</v>
      </c>
      <c r="AP37" s="52" t="s">
        <v>98</v>
      </c>
      <c r="AR37" s="52" t="s">
        <v>97</v>
      </c>
      <c r="AS37" s="52" t="s">
        <v>98</v>
      </c>
    </row>
    <row r="38" spans="1:45" ht="15">
      <c r="A38" s="148">
        <v>2019</v>
      </c>
      <c r="B38" s="142">
        <v>38</v>
      </c>
      <c r="C38" s="142" t="s">
        <v>99</v>
      </c>
      <c r="D38" s="142" t="s">
        <v>100</v>
      </c>
      <c r="E38" s="142" t="s">
        <v>84</v>
      </c>
      <c r="F38" s="142">
        <v>6</v>
      </c>
      <c r="G38" s="142">
        <v>371</v>
      </c>
      <c r="H38" s="142">
        <v>7368</v>
      </c>
      <c r="I38" s="142">
        <v>3419</v>
      </c>
      <c r="J38" s="142">
        <v>2086</v>
      </c>
      <c r="K38" s="142">
        <v>388</v>
      </c>
      <c r="L38" s="142">
        <v>0.70899999999999996</v>
      </c>
      <c r="M38" s="142">
        <v>0</v>
      </c>
      <c r="N38" s="142">
        <v>0.67400000000000004</v>
      </c>
      <c r="O38" s="142">
        <v>19.899999999999999</v>
      </c>
      <c r="P38" s="142">
        <v>9.1999999999999993</v>
      </c>
      <c r="Q38" s="142">
        <v>5.6</v>
      </c>
      <c r="R38" s="142">
        <v>1</v>
      </c>
      <c r="S38" s="142">
        <v>30.7</v>
      </c>
      <c r="T38" s="142">
        <v>0.2</v>
      </c>
      <c r="U38" s="142">
        <v>1.9</v>
      </c>
      <c r="V38" s="142">
        <v>7.3</v>
      </c>
      <c r="X38" s="52" t="s">
        <v>101</v>
      </c>
      <c r="Y38" s="52">
        <v>3</v>
      </c>
      <c r="Z38" s="52">
        <v>1</v>
      </c>
      <c r="AA38" s="52">
        <v>1</v>
      </c>
      <c r="AB38" s="52">
        <v>1</v>
      </c>
      <c r="AC38" s="52">
        <v>0</v>
      </c>
      <c r="AD38" s="52">
        <v>1</v>
      </c>
      <c r="AG38" s="52" t="s">
        <v>101</v>
      </c>
      <c r="AH38" s="52">
        <f>Y38/80</f>
        <v>3.7499999999999999E-2</v>
      </c>
      <c r="AI38" s="52">
        <f t="shared" ref="AI38:AM38" si="0">Z38/80</f>
        <v>1.2500000000000001E-2</v>
      </c>
      <c r="AJ38" s="52">
        <f t="shared" si="0"/>
        <v>1.2500000000000001E-2</v>
      </c>
      <c r="AK38" s="52">
        <f t="shared" si="0"/>
        <v>1.2500000000000001E-2</v>
      </c>
      <c r="AL38" s="52">
        <f t="shared" si="0"/>
        <v>0</v>
      </c>
      <c r="AM38" s="52">
        <f t="shared" si="0"/>
        <v>1.2500000000000001E-2</v>
      </c>
      <c r="AO38" s="52">
        <f>SUM(Y38:AA38)</f>
        <v>5</v>
      </c>
      <c r="AP38" s="52">
        <f t="shared" ref="AP38:AP40" si="1">SUM(AB38:AD38)</f>
        <v>2</v>
      </c>
      <c r="AR38" s="52">
        <f>AO38/240</f>
        <v>2.0833333333333332E-2</v>
      </c>
      <c r="AS38" s="52">
        <f>AP38/240</f>
        <v>8.3333333333333332E-3</v>
      </c>
    </row>
    <row r="39" spans="1:45" ht="15">
      <c r="A39" s="148">
        <v>2018</v>
      </c>
      <c r="B39" s="142">
        <v>42</v>
      </c>
      <c r="C39" s="142" t="s">
        <v>34</v>
      </c>
      <c r="D39" s="142" t="s">
        <v>102</v>
      </c>
      <c r="E39" s="142" t="s">
        <v>103</v>
      </c>
      <c r="F39" s="142">
        <v>7</v>
      </c>
      <c r="G39" s="142">
        <v>434</v>
      </c>
      <c r="H39" s="142">
        <v>10807</v>
      </c>
      <c r="I39" s="142">
        <v>3856</v>
      </c>
      <c r="J39" s="142">
        <v>1833</v>
      </c>
      <c r="K39" s="142">
        <v>1061</v>
      </c>
      <c r="L39" s="142">
        <v>0.47899999999999998</v>
      </c>
      <c r="M39" s="142">
        <v>0.33500000000000002</v>
      </c>
      <c r="N39" s="142">
        <v>0.76900000000000002</v>
      </c>
      <c r="O39" s="142">
        <v>24.9</v>
      </c>
      <c r="P39" s="142">
        <v>8.9</v>
      </c>
      <c r="Q39" s="142">
        <v>4.2</v>
      </c>
      <c r="R39" s="142">
        <v>2.4</v>
      </c>
      <c r="S39" s="142">
        <v>19.600000000000001</v>
      </c>
      <c r="T39" s="142">
        <v>8.6999999999999994E-2</v>
      </c>
      <c r="U39" s="142">
        <v>-1.3</v>
      </c>
      <c r="V39" s="142">
        <v>1.9</v>
      </c>
      <c r="X39" s="52" t="s">
        <v>39</v>
      </c>
      <c r="Y39" s="52">
        <v>7</v>
      </c>
      <c r="Z39" s="52">
        <v>4</v>
      </c>
      <c r="AA39" s="52">
        <v>3</v>
      </c>
      <c r="AB39" s="52">
        <v>3</v>
      </c>
      <c r="AC39" s="52">
        <v>0</v>
      </c>
      <c r="AD39" s="52">
        <v>0</v>
      </c>
      <c r="AG39" s="52" t="s">
        <v>39</v>
      </c>
      <c r="AH39" s="52">
        <f t="shared" ref="AH39:AH41" si="2">Y39/80</f>
        <v>8.7499999999999994E-2</v>
      </c>
      <c r="AI39" s="52">
        <f t="shared" ref="AI39:AI41" si="3">Z39/80</f>
        <v>0.05</v>
      </c>
      <c r="AJ39" s="52">
        <f t="shared" ref="AJ39:AJ41" si="4">AA39/80</f>
        <v>3.7499999999999999E-2</v>
      </c>
      <c r="AK39" s="52">
        <f t="shared" ref="AK39:AK41" si="5">AB39/80</f>
        <v>3.7499999999999999E-2</v>
      </c>
      <c r="AL39" s="52">
        <f t="shared" ref="AL39:AL41" si="6">AC39/80</f>
        <v>0</v>
      </c>
      <c r="AM39" s="52">
        <f t="shared" ref="AM39:AM41" si="7">AD39/80</f>
        <v>0</v>
      </c>
      <c r="AO39" s="52">
        <f t="shared" ref="AO39:AO41" si="8">SUM(Y39:AA39)</f>
        <v>14</v>
      </c>
      <c r="AP39" s="52">
        <f t="shared" si="1"/>
        <v>3</v>
      </c>
      <c r="AR39" s="52">
        <f t="shared" ref="AR39:AR41" si="9">AO39/240</f>
        <v>5.8333333333333334E-2</v>
      </c>
      <c r="AS39" s="52">
        <f t="shared" ref="AS39:AS41" si="10">AP39/240</f>
        <v>1.2500000000000001E-2</v>
      </c>
    </row>
    <row r="40" spans="1:45" ht="30">
      <c r="A40" s="148">
        <v>2018</v>
      </c>
      <c r="B40" s="142">
        <v>46</v>
      </c>
      <c r="C40" s="142" t="s">
        <v>52</v>
      </c>
      <c r="D40" s="142" t="s">
        <v>104</v>
      </c>
      <c r="E40" s="142" t="s">
        <v>105</v>
      </c>
      <c r="F40" s="142">
        <v>7</v>
      </c>
      <c r="G40" s="142">
        <v>356</v>
      </c>
      <c r="H40" s="142">
        <v>8147</v>
      </c>
      <c r="I40" s="142">
        <v>3231</v>
      </c>
      <c r="J40" s="142">
        <v>1316</v>
      </c>
      <c r="K40" s="142">
        <v>988</v>
      </c>
      <c r="L40" s="142">
        <v>0.41</v>
      </c>
      <c r="M40" s="142">
        <v>0.36899999999999999</v>
      </c>
      <c r="N40" s="142">
        <v>0.77900000000000003</v>
      </c>
      <c r="O40" s="142">
        <v>22.9</v>
      </c>
      <c r="P40" s="142">
        <v>9.1</v>
      </c>
      <c r="Q40" s="142">
        <v>3.7</v>
      </c>
      <c r="R40" s="142">
        <v>2.8</v>
      </c>
      <c r="S40" s="142">
        <v>14.2</v>
      </c>
      <c r="T40" s="142">
        <v>8.4000000000000005E-2</v>
      </c>
      <c r="U40" s="142">
        <v>0.6</v>
      </c>
      <c r="V40" s="142">
        <v>5.3</v>
      </c>
      <c r="X40" s="52" t="s">
        <v>106</v>
      </c>
      <c r="Y40" s="52">
        <v>9</v>
      </c>
      <c r="Z40" s="52">
        <v>8</v>
      </c>
      <c r="AA40" s="52">
        <v>4</v>
      </c>
      <c r="AB40" s="52">
        <v>3</v>
      </c>
      <c r="AC40" s="52">
        <v>3</v>
      </c>
      <c r="AD40" s="52">
        <v>1</v>
      </c>
      <c r="AG40" s="52" t="s">
        <v>106</v>
      </c>
      <c r="AH40" s="52">
        <f t="shared" si="2"/>
        <v>0.1125</v>
      </c>
      <c r="AI40" s="52">
        <f t="shared" si="3"/>
        <v>0.1</v>
      </c>
      <c r="AJ40" s="52">
        <f t="shared" si="4"/>
        <v>0.05</v>
      </c>
      <c r="AK40" s="52">
        <f t="shared" si="5"/>
        <v>3.7499999999999999E-2</v>
      </c>
      <c r="AL40" s="52">
        <f t="shared" si="6"/>
        <v>3.7499999999999999E-2</v>
      </c>
      <c r="AM40" s="52">
        <f t="shared" si="7"/>
        <v>1.2500000000000001E-2</v>
      </c>
      <c r="AO40" s="52">
        <f t="shared" si="8"/>
        <v>21</v>
      </c>
      <c r="AP40" s="52">
        <f t="shared" si="1"/>
        <v>7</v>
      </c>
      <c r="AR40" s="52">
        <f t="shared" si="9"/>
        <v>8.7499999999999994E-2</v>
      </c>
      <c r="AS40" s="52">
        <f t="shared" si="10"/>
        <v>2.9166666666666667E-2</v>
      </c>
    </row>
    <row r="41" spans="1:45" ht="15">
      <c r="A41" s="148">
        <v>2017</v>
      </c>
      <c r="B41" s="142">
        <v>51</v>
      </c>
      <c r="C41" s="142" t="s">
        <v>23</v>
      </c>
      <c r="D41" s="142" t="s">
        <v>107</v>
      </c>
      <c r="E41" s="142" t="s">
        <v>108</v>
      </c>
      <c r="F41" s="142">
        <v>8</v>
      </c>
      <c r="G41" s="142">
        <v>415</v>
      </c>
      <c r="H41" s="142">
        <v>9759</v>
      </c>
      <c r="I41" s="142">
        <v>3941</v>
      </c>
      <c r="J41" s="142">
        <v>979</v>
      </c>
      <c r="K41" s="142">
        <v>1503</v>
      </c>
      <c r="L41" s="142">
        <v>0.47299999999999998</v>
      </c>
      <c r="M41" s="142">
        <v>0.38600000000000001</v>
      </c>
      <c r="N41" s="142">
        <v>0.82599999999999996</v>
      </c>
      <c r="O41" s="142">
        <v>23.5</v>
      </c>
      <c r="P41" s="142">
        <v>9.5</v>
      </c>
      <c r="Q41" s="142">
        <v>2.4</v>
      </c>
      <c r="R41" s="142">
        <v>3.6</v>
      </c>
      <c r="S41" s="142">
        <v>24.5</v>
      </c>
      <c r="T41" s="142">
        <v>0.12</v>
      </c>
      <c r="U41" s="142">
        <v>0.2</v>
      </c>
      <c r="V41" s="142">
        <v>5.5</v>
      </c>
      <c r="X41" s="52" t="s">
        <v>109</v>
      </c>
      <c r="Y41" s="52">
        <v>10</v>
      </c>
      <c r="Z41" s="52">
        <v>15</v>
      </c>
      <c r="AA41" s="52">
        <v>12</v>
      </c>
      <c r="AB41" s="52">
        <v>7</v>
      </c>
      <c r="AC41" s="52">
        <v>5</v>
      </c>
      <c r="AD41" s="52">
        <v>2</v>
      </c>
      <c r="AG41" s="52" t="s">
        <v>109</v>
      </c>
      <c r="AH41" s="52">
        <f t="shared" si="2"/>
        <v>0.125</v>
      </c>
      <c r="AI41" s="52">
        <f t="shared" si="3"/>
        <v>0.1875</v>
      </c>
      <c r="AJ41" s="52">
        <f t="shared" si="4"/>
        <v>0.15</v>
      </c>
      <c r="AK41" s="52">
        <f t="shared" si="5"/>
        <v>8.7499999999999994E-2</v>
      </c>
      <c r="AL41" s="52">
        <f t="shared" si="6"/>
        <v>6.25E-2</v>
      </c>
      <c r="AM41" s="52">
        <f t="shared" si="7"/>
        <v>2.5000000000000001E-2</v>
      </c>
      <c r="AO41" s="52">
        <f t="shared" si="8"/>
        <v>37</v>
      </c>
      <c r="AP41" s="52">
        <f>SUM(AB41:AD41)</f>
        <v>14</v>
      </c>
      <c r="AR41" s="52">
        <f t="shared" si="9"/>
        <v>0.15416666666666667</v>
      </c>
      <c r="AS41" s="52">
        <f t="shared" si="10"/>
        <v>5.8333333333333334E-2</v>
      </c>
    </row>
    <row r="42" spans="1:45" ht="15">
      <c r="A42" s="148">
        <v>2016</v>
      </c>
      <c r="B42" s="142">
        <v>50</v>
      </c>
      <c r="C42" s="142" t="s">
        <v>41</v>
      </c>
      <c r="D42" s="142" t="s">
        <v>110</v>
      </c>
      <c r="E42" s="142" t="s">
        <v>108</v>
      </c>
      <c r="F42" s="142">
        <v>9</v>
      </c>
      <c r="G42" s="142">
        <v>517</v>
      </c>
      <c r="H42" s="142">
        <v>8876</v>
      </c>
      <c r="I42" s="142">
        <v>3723</v>
      </c>
      <c r="J42" s="142">
        <v>1277</v>
      </c>
      <c r="K42" s="142">
        <v>493</v>
      </c>
      <c r="L42" s="142">
        <v>0.44600000000000001</v>
      </c>
      <c r="M42" s="142">
        <v>0.39800000000000002</v>
      </c>
      <c r="N42" s="142">
        <v>0.85799999999999998</v>
      </c>
      <c r="O42" s="142">
        <v>17.2</v>
      </c>
      <c r="P42" s="142">
        <v>7.2</v>
      </c>
      <c r="Q42" s="142">
        <v>2.5</v>
      </c>
      <c r="R42" s="142">
        <v>1</v>
      </c>
      <c r="S42" s="142">
        <v>15.3</v>
      </c>
      <c r="T42" s="142">
        <v>8.3000000000000004E-2</v>
      </c>
      <c r="U42" s="142">
        <v>-1.6</v>
      </c>
      <c r="V42" s="142">
        <v>1</v>
      </c>
      <c r="AG42" s="52" t="s">
        <v>111</v>
      </c>
      <c r="AH42" s="52">
        <f>1-(SUM(AH38:AH41))</f>
        <v>0.63749999999999996</v>
      </c>
      <c r="AI42" s="52">
        <f t="shared" ref="AI42:AM42" si="11">1-(SUM(AI38:AI41))</f>
        <v>0.65</v>
      </c>
      <c r="AJ42" s="52">
        <f t="shared" si="11"/>
        <v>0.75</v>
      </c>
      <c r="AK42" s="52">
        <f t="shared" si="11"/>
        <v>0.82499999999999996</v>
      </c>
      <c r="AL42" s="52">
        <f t="shared" si="11"/>
        <v>0.9</v>
      </c>
      <c r="AM42" s="52">
        <f t="shared" si="11"/>
        <v>0.95</v>
      </c>
      <c r="AR42" s="52">
        <f>1-SUM(AR38:AR41)</f>
        <v>0.6791666666666667</v>
      </c>
      <c r="AS42" s="52">
        <f>1-SUM(AS38:AS41)</f>
        <v>0.89166666666666661</v>
      </c>
    </row>
    <row r="43" spans="1:45" ht="30">
      <c r="A43" s="148">
        <v>2015</v>
      </c>
      <c r="B43" s="142">
        <v>37</v>
      </c>
      <c r="C43" s="142" t="s">
        <v>66</v>
      </c>
      <c r="D43" s="142" t="s">
        <v>112</v>
      </c>
      <c r="E43" s="142" t="s">
        <v>113</v>
      </c>
      <c r="F43" s="142">
        <v>10</v>
      </c>
      <c r="G43" s="142">
        <v>473</v>
      </c>
      <c r="H43" s="142">
        <v>9051</v>
      </c>
      <c r="I43" s="142">
        <v>4012</v>
      </c>
      <c r="J43" s="142">
        <v>2502</v>
      </c>
      <c r="K43" s="142">
        <v>454</v>
      </c>
      <c r="L43" s="142">
        <v>0.60299999999999998</v>
      </c>
      <c r="M43" s="142">
        <v>0.27100000000000002</v>
      </c>
      <c r="N43" s="142">
        <v>0.747</v>
      </c>
      <c r="O43" s="142">
        <v>19.100000000000001</v>
      </c>
      <c r="P43" s="142">
        <v>8.5</v>
      </c>
      <c r="Q43" s="142">
        <v>5.3</v>
      </c>
      <c r="R43" s="142">
        <v>1</v>
      </c>
      <c r="S43" s="142">
        <v>29.4</v>
      </c>
      <c r="T43" s="142">
        <v>0.156</v>
      </c>
      <c r="U43" s="142">
        <v>0.1</v>
      </c>
      <c r="V43" s="142">
        <v>4.7</v>
      </c>
    </row>
    <row r="44" spans="1:45" ht="30">
      <c r="A44" s="148">
        <v>2015</v>
      </c>
      <c r="B44" s="142">
        <v>40</v>
      </c>
      <c r="C44" s="142" t="s">
        <v>72</v>
      </c>
      <c r="D44" s="142" t="s">
        <v>114</v>
      </c>
      <c r="E44" s="142" t="s">
        <v>115</v>
      </c>
      <c r="F44" s="142">
        <v>10</v>
      </c>
      <c r="G44" s="142">
        <v>554</v>
      </c>
      <c r="H44" s="142">
        <v>15815</v>
      </c>
      <c r="I44" s="142">
        <v>6381</v>
      </c>
      <c r="J44" s="142">
        <v>1685</v>
      </c>
      <c r="K44" s="142">
        <v>1463</v>
      </c>
      <c r="L44" s="142">
        <v>0.42799999999999999</v>
      </c>
      <c r="M44" s="142">
        <v>0.36299999999999999</v>
      </c>
      <c r="N44" s="142">
        <v>0.84599999999999997</v>
      </c>
      <c r="O44" s="142">
        <v>28.5</v>
      </c>
      <c r="P44" s="142">
        <v>11.5</v>
      </c>
      <c r="Q44" s="142">
        <v>3</v>
      </c>
      <c r="R44" s="142">
        <v>2.6</v>
      </c>
      <c r="S44" s="142">
        <v>27.7</v>
      </c>
      <c r="T44" s="142">
        <v>8.4000000000000005E-2</v>
      </c>
      <c r="U44" s="142">
        <v>-0.6</v>
      </c>
      <c r="V44" s="142">
        <v>5.5</v>
      </c>
    </row>
    <row r="45" spans="1:45" ht="30">
      <c r="A45" s="148">
        <v>2015</v>
      </c>
      <c r="B45" s="142">
        <v>41</v>
      </c>
      <c r="C45" s="142" t="s">
        <v>47</v>
      </c>
      <c r="D45" s="142" t="s">
        <v>116</v>
      </c>
      <c r="E45" s="142" t="s">
        <v>117</v>
      </c>
      <c r="F45" s="142">
        <v>10</v>
      </c>
      <c r="G45" s="142">
        <v>583</v>
      </c>
      <c r="H45" s="142">
        <v>11281</v>
      </c>
      <c r="I45" s="142">
        <v>3492</v>
      </c>
      <c r="J45" s="142">
        <v>1996</v>
      </c>
      <c r="K45" s="142">
        <v>808</v>
      </c>
      <c r="L45" s="142">
        <v>0.435</v>
      </c>
      <c r="M45" s="142">
        <v>0.35599999999999998</v>
      </c>
      <c r="N45" s="142">
        <v>0.77300000000000002</v>
      </c>
      <c r="O45" s="142">
        <v>19.3</v>
      </c>
      <c r="P45" s="142">
        <v>6</v>
      </c>
      <c r="Q45" s="142">
        <v>3.4</v>
      </c>
      <c r="R45" s="142">
        <v>1.4</v>
      </c>
      <c r="S45" s="142">
        <v>24.1</v>
      </c>
      <c r="T45" s="142">
        <v>0.10199999999999999</v>
      </c>
      <c r="U45" s="142">
        <v>-0.5</v>
      </c>
      <c r="V45" s="142">
        <v>4.4000000000000004</v>
      </c>
    </row>
    <row r="46" spans="1:45" ht="15">
      <c r="A46" s="148">
        <v>2014</v>
      </c>
      <c r="B46" s="142">
        <v>33</v>
      </c>
      <c r="C46" s="142" t="s">
        <v>76</v>
      </c>
      <c r="D46" s="142" t="s">
        <v>118</v>
      </c>
      <c r="E46" s="142" t="s">
        <v>59</v>
      </c>
      <c r="F46" s="142">
        <v>10</v>
      </c>
      <c r="G46" s="142">
        <v>504</v>
      </c>
      <c r="H46" s="142">
        <v>12298</v>
      </c>
      <c r="I46" s="142">
        <v>5185</v>
      </c>
      <c r="J46" s="142">
        <v>1521</v>
      </c>
      <c r="K46" s="142">
        <v>790</v>
      </c>
      <c r="L46" s="142">
        <v>0.47899999999999998</v>
      </c>
      <c r="M46" s="142">
        <v>0.436</v>
      </c>
      <c r="N46" s="142">
        <v>0.77100000000000002</v>
      </c>
      <c r="O46" s="142">
        <v>24.4</v>
      </c>
      <c r="P46" s="142">
        <v>10.3</v>
      </c>
      <c r="Q46" s="142">
        <v>3</v>
      </c>
      <c r="R46" s="142">
        <v>1.6</v>
      </c>
      <c r="S46" s="142">
        <v>23.1</v>
      </c>
      <c r="T46" s="142">
        <v>0.09</v>
      </c>
      <c r="U46" s="142">
        <v>-0.7</v>
      </c>
      <c r="V46" s="142">
        <v>4.0999999999999996</v>
      </c>
    </row>
    <row r="47" spans="1:45" ht="15">
      <c r="A47" s="148">
        <v>2014</v>
      </c>
      <c r="B47" s="142">
        <v>45</v>
      </c>
      <c r="C47" s="142" t="s">
        <v>119</v>
      </c>
      <c r="D47" s="142" t="s">
        <v>120</v>
      </c>
      <c r="E47" s="142" t="s">
        <v>121</v>
      </c>
      <c r="F47" s="142">
        <v>11</v>
      </c>
      <c r="G47" s="142">
        <v>683</v>
      </c>
      <c r="H47" s="142">
        <v>12265</v>
      </c>
      <c r="I47" s="142">
        <v>4689</v>
      </c>
      <c r="J47" s="142">
        <v>2936</v>
      </c>
      <c r="K47" s="142">
        <v>700</v>
      </c>
      <c r="L47" s="142">
        <v>0.60399999999999998</v>
      </c>
      <c r="M47" s="142">
        <v>0.29399999999999998</v>
      </c>
      <c r="N47" s="142">
        <v>0.73699999999999999</v>
      </c>
      <c r="O47" s="142">
        <v>18</v>
      </c>
      <c r="P47" s="142">
        <v>6.9</v>
      </c>
      <c r="Q47" s="142">
        <v>4.3</v>
      </c>
      <c r="R47" s="142">
        <v>1</v>
      </c>
      <c r="S47" s="142">
        <v>47.2</v>
      </c>
      <c r="T47" s="142">
        <v>0.185</v>
      </c>
      <c r="U47" s="142">
        <v>0.9</v>
      </c>
      <c r="V47" s="142">
        <v>9</v>
      </c>
    </row>
    <row r="48" spans="1:45" ht="15">
      <c r="A48" s="148">
        <v>2012</v>
      </c>
      <c r="B48" s="142">
        <v>34</v>
      </c>
      <c r="C48" s="142" t="s">
        <v>76</v>
      </c>
      <c r="D48" s="142" t="s">
        <v>122</v>
      </c>
      <c r="E48" s="142" t="s">
        <v>123</v>
      </c>
      <c r="F48" s="142">
        <v>13</v>
      </c>
      <c r="G48" s="142">
        <v>810</v>
      </c>
      <c r="H48" s="142">
        <v>20150</v>
      </c>
      <c r="I48" s="142">
        <v>7512</v>
      </c>
      <c r="J48" s="142">
        <v>3388</v>
      </c>
      <c r="K48" s="142">
        <v>1279</v>
      </c>
      <c r="L48" s="142">
        <v>0.41799999999999998</v>
      </c>
      <c r="M48" s="142">
        <v>0.34699999999999998</v>
      </c>
      <c r="N48" s="142">
        <v>0.77700000000000002</v>
      </c>
      <c r="O48" s="142">
        <v>24.9</v>
      </c>
      <c r="P48" s="142">
        <v>9.3000000000000007</v>
      </c>
      <c r="Q48" s="142">
        <v>4.2</v>
      </c>
      <c r="R48" s="142">
        <v>1.6</v>
      </c>
      <c r="S48" s="142">
        <v>43</v>
      </c>
      <c r="T48" s="142">
        <v>0.10199999999999999</v>
      </c>
      <c r="U48" s="142">
        <v>0.1</v>
      </c>
      <c r="V48" s="142">
        <v>10.9</v>
      </c>
    </row>
    <row r="49" spans="1:46" ht="15">
      <c r="A49" s="148">
        <v>2012</v>
      </c>
      <c r="B49" s="142">
        <v>40</v>
      </c>
      <c r="C49" s="142" t="s">
        <v>124</v>
      </c>
      <c r="D49" s="142" t="s">
        <v>125</v>
      </c>
      <c r="E49" s="142" t="s">
        <v>126</v>
      </c>
      <c r="F49" s="142">
        <v>11</v>
      </c>
      <c r="G49" s="142">
        <v>679</v>
      </c>
      <c r="H49" s="142">
        <v>17116</v>
      </c>
      <c r="I49" s="142">
        <v>7625</v>
      </c>
      <c r="J49" s="142">
        <v>2792</v>
      </c>
      <c r="K49" s="142">
        <v>1817</v>
      </c>
      <c r="L49" s="142">
        <v>0.43</v>
      </c>
      <c r="M49" s="142">
        <v>0.35499999999999998</v>
      </c>
      <c r="N49" s="142">
        <v>0.78700000000000003</v>
      </c>
      <c r="O49" s="142">
        <v>25.2</v>
      </c>
      <c r="P49" s="142">
        <v>11.2</v>
      </c>
      <c r="Q49" s="142">
        <v>4.0999999999999996</v>
      </c>
      <c r="R49" s="142">
        <v>2.7</v>
      </c>
      <c r="S49" s="142">
        <v>26.5</v>
      </c>
      <c r="T49" s="142">
        <v>7.3999999999999996E-2</v>
      </c>
      <c r="U49" s="142">
        <v>-0.4</v>
      </c>
      <c r="V49" s="142">
        <v>6.9</v>
      </c>
    </row>
    <row r="50" spans="1:46" ht="30">
      <c r="A50" s="148">
        <v>2011</v>
      </c>
      <c r="B50" s="142">
        <v>38</v>
      </c>
      <c r="C50" s="142" t="s">
        <v>52</v>
      </c>
      <c r="D50" s="142" t="s">
        <v>127</v>
      </c>
      <c r="E50" s="142" t="s">
        <v>128</v>
      </c>
      <c r="F50" s="142">
        <v>9</v>
      </c>
      <c r="G50" s="142">
        <v>440</v>
      </c>
      <c r="H50" s="142">
        <v>13246</v>
      </c>
      <c r="I50" s="142">
        <v>5571</v>
      </c>
      <c r="J50" s="142">
        <v>1972</v>
      </c>
      <c r="K50" s="142">
        <v>1201</v>
      </c>
      <c r="L50" s="142">
        <v>0.46200000000000002</v>
      </c>
      <c r="M50" s="142">
        <v>0.373</v>
      </c>
      <c r="N50" s="142">
        <v>0.71299999999999997</v>
      </c>
      <c r="O50" s="142">
        <v>30.1</v>
      </c>
      <c r="P50" s="142">
        <v>12.7</v>
      </c>
      <c r="Q50" s="142">
        <v>4.5</v>
      </c>
      <c r="R50" s="142">
        <v>2.7</v>
      </c>
      <c r="S50" s="143">
        <v>28.9</v>
      </c>
      <c r="T50" s="142">
        <v>0.105</v>
      </c>
      <c r="U50" s="142">
        <v>1.1000000000000001</v>
      </c>
      <c r="V50" s="142">
        <v>10.199999999999999</v>
      </c>
    </row>
    <row r="51" spans="1:46" ht="30">
      <c r="A51" s="148">
        <v>2010</v>
      </c>
      <c r="B51" s="142">
        <v>35</v>
      </c>
      <c r="C51" s="142" t="s">
        <v>69</v>
      </c>
      <c r="D51" s="142" t="s">
        <v>129</v>
      </c>
      <c r="E51" s="142"/>
      <c r="F51" s="142">
        <v>7</v>
      </c>
      <c r="G51" s="142">
        <v>449</v>
      </c>
      <c r="H51" s="142">
        <v>9173</v>
      </c>
      <c r="I51" s="142">
        <v>3412</v>
      </c>
      <c r="J51" s="142">
        <v>2051</v>
      </c>
      <c r="K51" s="142">
        <v>826</v>
      </c>
      <c r="L51" s="142">
        <v>0.46600000000000003</v>
      </c>
      <c r="M51" s="142">
        <v>0.38400000000000001</v>
      </c>
      <c r="N51" s="142">
        <v>0.75900000000000001</v>
      </c>
      <c r="O51" s="142">
        <v>20.399999999999999</v>
      </c>
      <c r="P51" s="142">
        <v>7.6</v>
      </c>
      <c r="Q51" s="142">
        <v>4.5999999999999996</v>
      </c>
      <c r="R51" s="142">
        <v>1.8</v>
      </c>
      <c r="S51" s="143">
        <v>20</v>
      </c>
      <c r="T51" s="142">
        <v>0.104</v>
      </c>
      <c r="U51" s="142">
        <v>0.3</v>
      </c>
      <c r="V51" s="142">
        <v>5.4</v>
      </c>
    </row>
    <row r="52" spans="1:46" ht="30">
      <c r="A52" s="148">
        <v>2010</v>
      </c>
      <c r="B52" s="142">
        <v>40</v>
      </c>
      <c r="C52" s="142" t="s">
        <v>41</v>
      </c>
      <c r="D52" s="142" t="s">
        <v>130</v>
      </c>
      <c r="E52" s="142" t="s">
        <v>131</v>
      </c>
      <c r="F52" s="142">
        <v>10</v>
      </c>
      <c r="G52" s="142">
        <v>554</v>
      </c>
      <c r="H52" s="142">
        <v>12680</v>
      </c>
      <c r="I52" s="142">
        <v>4738</v>
      </c>
      <c r="J52" s="142">
        <v>2251</v>
      </c>
      <c r="K52" s="142">
        <v>1621</v>
      </c>
      <c r="L52" s="142">
        <v>0.44500000000000001</v>
      </c>
      <c r="M52" s="142">
        <v>0.314</v>
      </c>
      <c r="N52" s="142">
        <v>0.69399999999999995</v>
      </c>
      <c r="O52" s="142">
        <v>22.9</v>
      </c>
      <c r="P52" s="142">
        <v>8.6</v>
      </c>
      <c r="Q52" s="142">
        <v>4.0999999999999996</v>
      </c>
      <c r="R52" s="142">
        <v>2.9</v>
      </c>
      <c r="S52" s="143">
        <v>17.5</v>
      </c>
      <c r="T52" s="142">
        <v>6.6000000000000003E-2</v>
      </c>
      <c r="U52" s="142">
        <v>-1.3</v>
      </c>
      <c r="V52" s="142">
        <v>2.2999999999999998</v>
      </c>
    </row>
    <row r="53" spans="1:46" ht="30">
      <c r="A53" s="148">
        <v>2009</v>
      </c>
      <c r="B53" s="142">
        <v>42</v>
      </c>
      <c r="C53" s="142" t="s">
        <v>31</v>
      </c>
      <c r="D53" s="142" t="s">
        <v>132</v>
      </c>
      <c r="E53" s="142" t="s">
        <v>84</v>
      </c>
      <c r="F53" s="142">
        <v>12</v>
      </c>
      <c r="G53" s="142">
        <v>666</v>
      </c>
      <c r="H53" s="142">
        <v>17689</v>
      </c>
      <c r="I53" s="142">
        <v>5520</v>
      </c>
      <c r="J53" s="142">
        <v>2729</v>
      </c>
      <c r="K53" s="142">
        <v>2245</v>
      </c>
      <c r="L53" s="142">
        <v>0.41299999999999998</v>
      </c>
      <c r="M53" s="142">
        <v>0.371</v>
      </c>
      <c r="N53" s="142">
        <v>0.76</v>
      </c>
      <c r="O53" s="142">
        <v>26.6</v>
      </c>
      <c r="P53" s="142">
        <v>8.3000000000000007</v>
      </c>
      <c r="Q53" s="142">
        <v>4.0999999999999996</v>
      </c>
      <c r="R53" s="142">
        <v>3.4</v>
      </c>
      <c r="S53" s="144">
        <v>40.200000000000003</v>
      </c>
      <c r="T53" s="142">
        <v>0.109</v>
      </c>
      <c r="U53" s="142">
        <v>0.7</v>
      </c>
      <c r="V53" s="142">
        <v>12.1</v>
      </c>
    </row>
    <row r="54" spans="1:46" ht="15">
      <c r="A54" s="148">
        <v>2009</v>
      </c>
      <c r="B54" s="142">
        <v>55</v>
      </c>
      <c r="C54" s="142" t="s">
        <v>124</v>
      </c>
      <c r="D54" s="142" t="s">
        <v>133</v>
      </c>
      <c r="E54" s="142" t="s">
        <v>134</v>
      </c>
      <c r="F54" s="142">
        <v>16</v>
      </c>
      <c r="G54" s="142">
        <v>911</v>
      </c>
      <c r="H54" s="142">
        <v>18264</v>
      </c>
      <c r="I54" s="142">
        <v>7967</v>
      </c>
      <c r="J54" s="142">
        <v>1490</v>
      </c>
      <c r="K54" s="142">
        <v>2007</v>
      </c>
      <c r="L54" s="142">
        <v>0.42299999999999999</v>
      </c>
      <c r="M54" s="142">
        <v>0.38500000000000001</v>
      </c>
      <c r="N54" s="142">
        <v>0.85599999999999998</v>
      </c>
      <c r="O54" s="142">
        <v>20</v>
      </c>
      <c r="P54" s="142">
        <v>8.6999999999999993</v>
      </c>
      <c r="Q54" s="142">
        <v>1.6</v>
      </c>
      <c r="R54" s="142">
        <v>2.2000000000000002</v>
      </c>
      <c r="S54" s="144">
        <v>35.6</v>
      </c>
      <c r="T54" s="142">
        <v>9.4E-2</v>
      </c>
      <c r="U54" s="142">
        <v>-0.2</v>
      </c>
      <c r="V54" s="142">
        <v>8.4</v>
      </c>
    </row>
    <row r="55" spans="1:46" ht="15">
      <c r="A55" s="148">
        <v>2008</v>
      </c>
      <c r="B55" s="142">
        <v>31</v>
      </c>
      <c r="C55" s="142" t="s">
        <v>135</v>
      </c>
      <c r="D55" s="142" t="s">
        <v>136</v>
      </c>
      <c r="E55" s="142"/>
      <c r="F55" s="142">
        <v>6</v>
      </c>
      <c r="G55" s="142">
        <v>271</v>
      </c>
      <c r="H55" s="142">
        <v>6744</v>
      </c>
      <c r="I55" s="142">
        <v>3405</v>
      </c>
      <c r="J55" s="142">
        <v>1807</v>
      </c>
      <c r="K55" s="142">
        <v>199</v>
      </c>
      <c r="L55" s="142">
        <v>0.51800000000000002</v>
      </c>
      <c r="M55" s="142"/>
      <c r="N55" s="142">
        <v>0.76</v>
      </c>
      <c r="O55" s="145">
        <v>24.9</v>
      </c>
      <c r="P55" s="142">
        <v>12.6</v>
      </c>
      <c r="Q55" s="142">
        <v>6.7</v>
      </c>
      <c r="R55" s="142">
        <v>0.7</v>
      </c>
      <c r="S55" s="143">
        <v>18.8</v>
      </c>
      <c r="T55" s="142">
        <v>0.13400000000000001</v>
      </c>
      <c r="U55" s="142">
        <v>-0.7</v>
      </c>
      <c r="V55" s="142">
        <v>2.2000000000000002</v>
      </c>
      <c r="AH55" s="52" t="s">
        <v>92</v>
      </c>
      <c r="AI55" s="52" t="s">
        <v>93</v>
      </c>
      <c r="AJ55" s="52" t="s">
        <v>94</v>
      </c>
      <c r="AK55" s="52" t="s">
        <v>95</v>
      </c>
      <c r="AL55" s="52" t="s">
        <v>96</v>
      </c>
    </row>
    <row r="56" spans="1:46" ht="30">
      <c r="A56" s="148">
        <v>2008</v>
      </c>
      <c r="B56" s="142">
        <v>34</v>
      </c>
      <c r="C56" s="142" t="s">
        <v>135</v>
      </c>
      <c r="D56" s="142" t="s">
        <v>137</v>
      </c>
      <c r="E56" s="142" t="s">
        <v>138</v>
      </c>
      <c r="F56" s="142">
        <v>9</v>
      </c>
      <c r="G56" s="142">
        <v>646</v>
      </c>
      <c r="H56" s="142">
        <v>17245</v>
      </c>
      <c r="I56" s="142">
        <v>5743</v>
      </c>
      <c r="J56" s="142">
        <v>1585</v>
      </c>
      <c r="K56" s="142">
        <v>2412</v>
      </c>
      <c r="L56" s="142">
        <v>0.41699999999999998</v>
      </c>
      <c r="M56" s="142">
        <v>0.35099999999999998</v>
      </c>
      <c r="N56" s="142">
        <v>0.79300000000000004</v>
      </c>
      <c r="O56" s="145">
        <v>26.7</v>
      </c>
      <c r="P56" s="142">
        <v>8.9</v>
      </c>
      <c r="Q56" s="142">
        <v>2.5</v>
      </c>
      <c r="R56" s="142">
        <v>3.7</v>
      </c>
      <c r="S56" s="143">
        <v>32.299999999999997</v>
      </c>
      <c r="T56" s="142">
        <v>0.09</v>
      </c>
      <c r="U56" s="142">
        <v>-0.6</v>
      </c>
      <c r="V56" s="142">
        <v>5.9</v>
      </c>
      <c r="AG56" s="52" t="s">
        <v>101</v>
      </c>
      <c r="AH56" s="52">
        <v>1.2500000000000001E-2</v>
      </c>
      <c r="AI56" s="52">
        <v>1.2500000000000001E-2</v>
      </c>
      <c r="AJ56" s="52">
        <v>1.2500000000000001E-2</v>
      </c>
      <c r="AK56" s="52">
        <v>0</v>
      </c>
      <c r="AL56" s="52">
        <v>1.2500000000000001E-2</v>
      </c>
      <c r="AT56" s="52" t="s">
        <v>139</v>
      </c>
    </row>
    <row r="57" spans="1:46" ht="30">
      <c r="A57" s="148">
        <v>2008</v>
      </c>
      <c r="B57" s="142">
        <v>37</v>
      </c>
      <c r="C57" s="142" t="s">
        <v>57</v>
      </c>
      <c r="D57" s="142" t="s">
        <v>140</v>
      </c>
      <c r="E57" s="142" t="s">
        <v>63</v>
      </c>
      <c r="F57" s="142">
        <v>12</v>
      </c>
      <c r="G57" s="142">
        <v>689</v>
      </c>
      <c r="H57" s="142">
        <v>16038</v>
      </c>
      <c r="I57" s="142">
        <v>4380</v>
      </c>
      <c r="J57" s="142">
        <v>2800</v>
      </c>
      <c r="K57" s="142">
        <v>588</v>
      </c>
      <c r="L57" s="142">
        <v>0.45400000000000001</v>
      </c>
      <c r="M57" s="142">
        <v>0.33400000000000002</v>
      </c>
      <c r="N57" s="142">
        <v>0.65900000000000003</v>
      </c>
      <c r="O57" s="145">
        <v>23.3</v>
      </c>
      <c r="P57" s="142">
        <v>6.4</v>
      </c>
      <c r="Q57" s="142">
        <v>4.0999999999999996</v>
      </c>
      <c r="R57" s="142">
        <v>0.9</v>
      </c>
      <c r="S57" s="143">
        <v>26</v>
      </c>
      <c r="T57" s="142">
        <v>7.8E-2</v>
      </c>
      <c r="U57" s="142">
        <v>-1.5</v>
      </c>
      <c r="V57" s="142">
        <v>2</v>
      </c>
      <c r="AG57" s="52" t="s">
        <v>39</v>
      </c>
      <c r="AH57" s="52">
        <v>0.05</v>
      </c>
      <c r="AI57" s="52">
        <v>3.7499999999999999E-2</v>
      </c>
      <c r="AJ57" s="52">
        <v>3.7499999999999999E-2</v>
      </c>
      <c r="AK57" s="52">
        <v>0</v>
      </c>
      <c r="AL57" s="52">
        <v>0</v>
      </c>
    </row>
    <row r="58" spans="1:46" ht="15">
      <c r="A58" s="148">
        <v>2007</v>
      </c>
      <c r="B58" s="142">
        <v>31</v>
      </c>
      <c r="C58" s="142" t="s">
        <v>141</v>
      </c>
      <c r="D58" s="142" t="s">
        <v>142</v>
      </c>
      <c r="E58" s="142" t="s">
        <v>143</v>
      </c>
      <c r="F58" s="142">
        <v>9</v>
      </c>
      <c r="G58" s="142">
        <v>513</v>
      </c>
      <c r="H58" s="142">
        <v>11524</v>
      </c>
      <c r="I58" s="142">
        <v>5541</v>
      </c>
      <c r="J58" s="142">
        <v>2533</v>
      </c>
      <c r="K58" s="142">
        <v>355</v>
      </c>
      <c r="L58" s="142">
        <v>0.53500000000000003</v>
      </c>
      <c r="M58" s="142">
        <v>0.3</v>
      </c>
      <c r="N58" s="142">
        <v>0.78500000000000003</v>
      </c>
      <c r="O58" s="142">
        <v>22.5</v>
      </c>
      <c r="P58" s="142">
        <v>10.8</v>
      </c>
      <c r="Q58" s="142">
        <v>4.9000000000000004</v>
      </c>
      <c r="R58" s="142">
        <v>0.7</v>
      </c>
      <c r="S58" s="143">
        <v>35.9</v>
      </c>
      <c r="T58" s="146">
        <v>0.14899999999999999</v>
      </c>
      <c r="U58" s="148"/>
      <c r="V58" s="148"/>
      <c r="AG58" s="52" t="s">
        <v>106</v>
      </c>
      <c r="AH58" s="52">
        <v>0.1</v>
      </c>
      <c r="AI58" s="52">
        <v>0.05</v>
      </c>
      <c r="AJ58" s="52">
        <v>3.7499999999999999E-2</v>
      </c>
      <c r="AK58" s="52">
        <v>3.7499999999999999E-2</v>
      </c>
      <c r="AL58" s="52">
        <v>1.2500000000000001E-2</v>
      </c>
    </row>
    <row r="59" spans="1:46" ht="15">
      <c r="A59" s="148">
        <v>2007</v>
      </c>
      <c r="B59" s="142">
        <v>35</v>
      </c>
      <c r="C59" s="142" t="s">
        <v>141</v>
      </c>
      <c r="D59" s="142" t="s">
        <v>144</v>
      </c>
      <c r="E59" s="142" t="s">
        <v>145</v>
      </c>
      <c r="F59" s="142">
        <v>8</v>
      </c>
      <c r="G59" s="142">
        <v>514</v>
      </c>
      <c r="H59" s="142">
        <v>10865</v>
      </c>
      <c r="I59" s="142">
        <v>4111</v>
      </c>
      <c r="J59" s="142">
        <v>2236</v>
      </c>
      <c r="K59" s="142">
        <v>457</v>
      </c>
      <c r="L59" s="142">
        <v>0.44700000000000001</v>
      </c>
      <c r="M59" s="142">
        <v>0.182</v>
      </c>
      <c r="N59" s="142">
        <v>0.7</v>
      </c>
      <c r="O59" s="142">
        <v>21.1</v>
      </c>
      <c r="P59" s="142">
        <v>8</v>
      </c>
      <c r="Q59" s="142">
        <v>4.4000000000000004</v>
      </c>
      <c r="R59" s="142">
        <v>0.9</v>
      </c>
      <c r="S59" s="143">
        <v>18.600000000000001</v>
      </c>
      <c r="T59" s="146">
        <v>8.2000000000000003E-2</v>
      </c>
      <c r="U59" s="148"/>
      <c r="V59" s="148"/>
      <c r="AG59" s="52" t="s">
        <v>109</v>
      </c>
      <c r="AH59" s="52">
        <v>0.1875</v>
      </c>
      <c r="AI59" s="52">
        <v>0.15</v>
      </c>
      <c r="AJ59" s="52">
        <v>8.7499999999999994E-2</v>
      </c>
      <c r="AK59" s="52">
        <v>6.25E-2</v>
      </c>
      <c r="AL59" s="52">
        <v>2.5000000000000001E-2</v>
      </c>
    </row>
    <row r="60" spans="1:46" ht="30">
      <c r="A60" s="148">
        <v>2007</v>
      </c>
      <c r="B60" s="142">
        <v>56</v>
      </c>
      <c r="C60" s="142" t="s">
        <v>57</v>
      </c>
      <c r="D60" s="142" t="s">
        <v>146</v>
      </c>
      <c r="E60" s="142" t="s">
        <v>147</v>
      </c>
      <c r="F60" s="142">
        <v>11</v>
      </c>
      <c r="G60" s="142">
        <v>691</v>
      </c>
      <c r="H60" s="142">
        <v>16119</v>
      </c>
      <c r="I60" s="142">
        <v>7141</v>
      </c>
      <c r="J60" s="142">
        <v>1840</v>
      </c>
      <c r="K60" s="142">
        <v>2807</v>
      </c>
      <c r="L60" s="142">
        <v>0.434</v>
      </c>
      <c r="M60" s="142">
        <v>0.316</v>
      </c>
      <c r="N60" s="142">
        <v>0.79100000000000004</v>
      </c>
      <c r="O60" s="142">
        <v>23.3</v>
      </c>
      <c r="P60" s="142">
        <v>10.3</v>
      </c>
      <c r="Q60" s="142">
        <v>2.7</v>
      </c>
      <c r="R60" s="142">
        <v>4.0999999999999996</v>
      </c>
      <c r="S60" s="143">
        <v>28.8</v>
      </c>
      <c r="T60" s="146">
        <v>8.5999999999999993E-2</v>
      </c>
      <c r="U60" s="148"/>
      <c r="V60" s="148"/>
      <c r="AG60" s="52" t="s">
        <v>111</v>
      </c>
      <c r="AH60" s="52">
        <v>0.65</v>
      </c>
      <c r="AI60" s="52">
        <v>0.75</v>
      </c>
      <c r="AJ60" s="52">
        <v>0.82499999999999996</v>
      </c>
      <c r="AK60" s="52">
        <v>0.9</v>
      </c>
      <c r="AL60" s="52">
        <v>0.95</v>
      </c>
    </row>
    <row r="61" spans="1:46" s="77" customFormat="1"/>
    <row r="62" spans="1:46">
      <c r="A62" s="147" t="s">
        <v>148</v>
      </c>
      <c r="B62" s="151">
        <f>COUNT(A63:A113)/16</f>
        <v>3.1875</v>
      </c>
      <c r="C62" s="52" t="s">
        <v>19</v>
      </c>
      <c r="AH62" s="52" t="s">
        <v>93</v>
      </c>
      <c r="AI62" s="52" t="s">
        <v>94</v>
      </c>
      <c r="AJ62" s="52" t="s">
        <v>95</v>
      </c>
      <c r="AK62" s="52" t="s">
        <v>96</v>
      </c>
    </row>
    <row r="63" spans="1:46" ht="15">
      <c r="A63" s="148">
        <v>2022</v>
      </c>
      <c r="B63" s="142">
        <v>37</v>
      </c>
      <c r="C63" s="142" t="s">
        <v>36</v>
      </c>
      <c r="D63" s="142" t="s">
        <v>149</v>
      </c>
      <c r="E63" s="142"/>
      <c r="F63" s="142">
        <v>3</v>
      </c>
      <c r="G63" s="142">
        <v>160</v>
      </c>
      <c r="H63" s="142">
        <v>2306</v>
      </c>
      <c r="I63" s="142">
        <v>1276</v>
      </c>
      <c r="J63" s="142">
        <v>282</v>
      </c>
      <c r="K63" s="142">
        <v>228</v>
      </c>
      <c r="L63" s="142">
        <v>0.42199999999999999</v>
      </c>
      <c r="M63" s="142">
        <v>0.38100000000000001</v>
      </c>
      <c r="N63" s="142">
        <v>0.78500000000000003</v>
      </c>
      <c r="O63" s="142">
        <v>14.4</v>
      </c>
      <c r="P63" s="142">
        <v>8</v>
      </c>
      <c r="Q63" s="142">
        <v>1.8</v>
      </c>
      <c r="R63" s="142">
        <v>1.4</v>
      </c>
      <c r="S63" s="142">
        <v>0.9</v>
      </c>
      <c r="T63" s="142">
        <v>1.9E-2</v>
      </c>
      <c r="U63" s="142">
        <v>-3.7</v>
      </c>
      <c r="V63" s="142">
        <v>-1</v>
      </c>
      <c r="AG63" s="52" t="s">
        <v>101</v>
      </c>
      <c r="AH63" s="52">
        <v>1.2500000000000001E-2</v>
      </c>
      <c r="AI63" s="52">
        <v>1.2500000000000001E-2</v>
      </c>
      <c r="AJ63" s="52">
        <v>0</v>
      </c>
      <c r="AK63" s="52">
        <v>1.2500000000000001E-2</v>
      </c>
    </row>
    <row r="64" spans="1:46" ht="30">
      <c r="A64" s="148">
        <v>2022</v>
      </c>
      <c r="B64" s="142">
        <v>43</v>
      </c>
      <c r="C64" s="142" t="s">
        <v>28</v>
      </c>
      <c r="D64" s="142" t="s">
        <v>150</v>
      </c>
      <c r="E64" s="142" t="s">
        <v>151</v>
      </c>
      <c r="F64" s="142">
        <v>3</v>
      </c>
      <c r="G64" s="142">
        <v>76</v>
      </c>
      <c r="H64" s="142">
        <v>1065</v>
      </c>
      <c r="I64" s="142">
        <v>290</v>
      </c>
      <c r="J64" s="142">
        <v>374</v>
      </c>
      <c r="K64" s="142">
        <v>45</v>
      </c>
      <c r="L64" s="142">
        <v>0.57299999999999995</v>
      </c>
      <c r="M64" s="142">
        <v>0.25</v>
      </c>
      <c r="N64" s="142">
        <v>0.58199999999999996</v>
      </c>
      <c r="O64" s="142">
        <v>14</v>
      </c>
      <c r="P64" s="142">
        <v>3.8</v>
      </c>
      <c r="Q64" s="142">
        <v>4.9000000000000004</v>
      </c>
      <c r="R64" s="142">
        <v>0.6</v>
      </c>
      <c r="S64" s="142">
        <v>3</v>
      </c>
      <c r="T64" s="142">
        <v>0.13400000000000001</v>
      </c>
      <c r="U64" s="142">
        <v>-1.6</v>
      </c>
      <c r="V64" s="142">
        <v>0.1</v>
      </c>
      <c r="AG64" s="52" t="s">
        <v>39</v>
      </c>
      <c r="AH64" s="52">
        <v>3.7499999999999999E-2</v>
      </c>
      <c r="AI64" s="52">
        <v>3.7499999999999999E-2</v>
      </c>
      <c r="AJ64" s="52">
        <v>0</v>
      </c>
      <c r="AK64" s="52">
        <v>0</v>
      </c>
    </row>
    <row r="65" spans="1:37" ht="30">
      <c r="A65" s="148">
        <v>2022</v>
      </c>
      <c r="B65" s="142">
        <v>47</v>
      </c>
      <c r="C65" s="142" t="s">
        <v>152</v>
      </c>
      <c r="D65" s="142" t="s">
        <v>153</v>
      </c>
      <c r="E65" s="142" t="s">
        <v>154</v>
      </c>
      <c r="F65" s="142">
        <v>3</v>
      </c>
      <c r="G65" s="142">
        <v>72</v>
      </c>
      <c r="H65" s="142">
        <v>1613</v>
      </c>
      <c r="I65" s="142">
        <v>578</v>
      </c>
      <c r="J65" s="142">
        <v>320</v>
      </c>
      <c r="K65" s="142">
        <v>191</v>
      </c>
      <c r="L65" s="142">
        <v>0.42799999999999999</v>
      </c>
      <c r="M65" s="142">
        <v>0.34399999999999997</v>
      </c>
      <c r="N65" s="142">
        <v>0.78200000000000003</v>
      </c>
      <c r="O65" s="142">
        <v>22.4</v>
      </c>
      <c r="P65" s="142">
        <v>8</v>
      </c>
      <c r="Q65" s="142">
        <v>4.4000000000000004</v>
      </c>
      <c r="R65" s="142">
        <v>2.7</v>
      </c>
      <c r="S65" s="142">
        <v>2.7</v>
      </c>
      <c r="T65" s="142">
        <v>0.08</v>
      </c>
      <c r="U65" s="142">
        <v>-1.3</v>
      </c>
      <c r="V65" s="142">
        <v>0.3</v>
      </c>
      <c r="AG65" s="52" t="s">
        <v>106</v>
      </c>
      <c r="AH65" s="52">
        <v>0.05</v>
      </c>
      <c r="AI65" s="52">
        <v>3.7499999999999999E-2</v>
      </c>
      <c r="AJ65" s="52">
        <v>3.7499999999999999E-2</v>
      </c>
      <c r="AK65" s="52">
        <v>1.2500000000000001E-2</v>
      </c>
    </row>
    <row r="66" spans="1:37" ht="15">
      <c r="A66" s="148">
        <v>2022</v>
      </c>
      <c r="B66" s="142">
        <v>55</v>
      </c>
      <c r="C66" s="142" t="s">
        <v>25</v>
      </c>
      <c r="D66" s="142" t="s">
        <v>155</v>
      </c>
      <c r="E66" s="142"/>
      <c r="F66" s="142">
        <v>2</v>
      </c>
      <c r="G66" s="142">
        <v>50</v>
      </c>
      <c r="H66" s="142">
        <v>532</v>
      </c>
      <c r="I66" s="142">
        <v>193</v>
      </c>
      <c r="J66" s="142">
        <v>124</v>
      </c>
      <c r="K66" s="142">
        <v>44</v>
      </c>
      <c r="L66" s="142">
        <v>0.496</v>
      </c>
      <c r="M66" s="142">
        <v>0.40300000000000002</v>
      </c>
      <c r="N66" s="142">
        <v>0.78900000000000003</v>
      </c>
      <c r="O66" s="142">
        <v>10.6</v>
      </c>
      <c r="P66" s="142">
        <v>3.9</v>
      </c>
      <c r="Q66" s="142">
        <v>2.5</v>
      </c>
      <c r="R66" s="142">
        <v>0.9</v>
      </c>
      <c r="S66" s="142">
        <v>1.5</v>
      </c>
      <c r="T66" s="142">
        <v>0.13800000000000001</v>
      </c>
      <c r="U66" s="142">
        <v>-1.3</v>
      </c>
      <c r="V66" s="142">
        <v>0.1</v>
      </c>
      <c r="AG66" s="52" t="s">
        <v>109</v>
      </c>
      <c r="AH66" s="52">
        <v>0.15</v>
      </c>
      <c r="AI66" s="52">
        <v>8.7499999999999994E-2</v>
      </c>
      <c r="AJ66" s="52">
        <v>6.25E-2</v>
      </c>
      <c r="AK66" s="52">
        <v>2.5000000000000001E-2</v>
      </c>
    </row>
    <row r="67" spans="1:37" ht="30">
      <c r="A67" s="148">
        <v>2021</v>
      </c>
      <c r="B67" s="142">
        <v>32</v>
      </c>
      <c r="C67" s="142" t="s">
        <v>50</v>
      </c>
      <c r="D67" s="142" t="s">
        <v>156</v>
      </c>
      <c r="E67" s="142" t="s">
        <v>22</v>
      </c>
      <c r="F67" s="142">
        <v>4</v>
      </c>
      <c r="G67" s="142">
        <v>173</v>
      </c>
      <c r="H67" s="142">
        <v>2985</v>
      </c>
      <c r="I67" s="142">
        <v>1004</v>
      </c>
      <c r="J67" s="142">
        <v>728</v>
      </c>
      <c r="K67" s="142">
        <v>164</v>
      </c>
      <c r="L67" s="142">
        <v>0.435</v>
      </c>
      <c r="M67" s="142">
        <v>0.33300000000000002</v>
      </c>
      <c r="N67" s="142">
        <v>0.79400000000000004</v>
      </c>
      <c r="O67" s="142">
        <v>17.3</v>
      </c>
      <c r="P67" s="142">
        <v>5.8</v>
      </c>
      <c r="Q67" s="142">
        <v>4.2</v>
      </c>
      <c r="R67" s="142">
        <v>0.9</v>
      </c>
      <c r="S67" s="142">
        <v>5</v>
      </c>
      <c r="T67" s="142">
        <v>0.08</v>
      </c>
      <c r="U67" s="142">
        <v>-2.1</v>
      </c>
      <c r="V67" s="142">
        <v>-0.1</v>
      </c>
      <c r="AG67" s="52" t="s">
        <v>111</v>
      </c>
      <c r="AH67" s="52">
        <v>0.75</v>
      </c>
      <c r="AI67" s="52">
        <v>0.82499999999999996</v>
      </c>
      <c r="AJ67" s="52">
        <v>0.9</v>
      </c>
      <c r="AK67" s="52">
        <v>0.95</v>
      </c>
    </row>
    <row r="68" spans="1:37" ht="15">
      <c r="A68" s="148">
        <v>2021</v>
      </c>
      <c r="B68" s="142">
        <v>38</v>
      </c>
      <c r="C68" s="142" t="s">
        <v>99</v>
      </c>
      <c r="D68" s="142" t="s">
        <v>157</v>
      </c>
      <c r="E68" s="142" t="s">
        <v>158</v>
      </c>
      <c r="F68" s="142">
        <v>4</v>
      </c>
      <c r="G68" s="142">
        <v>275</v>
      </c>
      <c r="H68" s="142">
        <v>7708</v>
      </c>
      <c r="I68" s="142">
        <v>2809</v>
      </c>
      <c r="J68" s="142">
        <v>797</v>
      </c>
      <c r="K68" s="142">
        <v>899</v>
      </c>
      <c r="L68" s="142">
        <v>0.502</v>
      </c>
      <c r="M68" s="142">
        <v>0.36499999999999999</v>
      </c>
      <c r="N68" s="142">
        <v>0.77500000000000002</v>
      </c>
      <c r="O68" s="142">
        <v>28</v>
      </c>
      <c r="P68" s="142">
        <v>10.199999999999999</v>
      </c>
      <c r="Q68" s="142">
        <v>2.9</v>
      </c>
      <c r="R68" s="142">
        <v>3.3</v>
      </c>
      <c r="S68" s="142">
        <v>12.4</v>
      </c>
      <c r="T68" s="142">
        <v>7.6999999999999999E-2</v>
      </c>
      <c r="U68" s="142">
        <v>-1.8</v>
      </c>
      <c r="V68" s="142">
        <v>0.5</v>
      </c>
    </row>
    <row r="69" spans="1:37" ht="30">
      <c r="A69" s="148">
        <v>2021</v>
      </c>
      <c r="B69" s="142">
        <v>39</v>
      </c>
      <c r="C69" s="142" t="s">
        <v>36</v>
      </c>
      <c r="D69" s="142" t="s">
        <v>159</v>
      </c>
      <c r="E69" s="142" t="s">
        <v>160</v>
      </c>
      <c r="F69" s="142">
        <v>4</v>
      </c>
      <c r="G69" s="142">
        <v>89</v>
      </c>
      <c r="H69" s="142">
        <v>1088</v>
      </c>
      <c r="I69" s="142">
        <v>428</v>
      </c>
      <c r="J69" s="142">
        <v>320</v>
      </c>
      <c r="K69" s="142">
        <v>54</v>
      </c>
      <c r="L69" s="142">
        <v>0.624</v>
      </c>
      <c r="M69" s="142">
        <v>0</v>
      </c>
      <c r="N69" s="142">
        <v>0.69499999999999995</v>
      </c>
      <c r="O69" s="142">
        <v>12.2</v>
      </c>
      <c r="P69" s="142">
        <v>4.8</v>
      </c>
      <c r="Q69" s="142">
        <v>3.6</v>
      </c>
      <c r="R69" s="142">
        <v>0.6</v>
      </c>
      <c r="S69" s="142">
        <v>4.2</v>
      </c>
      <c r="T69" s="142">
        <v>0.187</v>
      </c>
      <c r="U69" s="142">
        <v>-0.6</v>
      </c>
      <c r="V69" s="142">
        <v>0.4</v>
      </c>
      <c r="AH69" s="52" t="s">
        <v>94</v>
      </c>
      <c r="AI69" s="52" t="s">
        <v>95</v>
      </c>
      <c r="AJ69" s="52" t="s">
        <v>96</v>
      </c>
    </row>
    <row r="70" spans="1:37" ht="30">
      <c r="A70" s="148">
        <v>2021</v>
      </c>
      <c r="B70" s="142">
        <v>44</v>
      </c>
      <c r="C70" s="142" t="s">
        <v>47</v>
      </c>
      <c r="D70" s="142" t="s">
        <v>161</v>
      </c>
      <c r="E70" s="142" t="s">
        <v>162</v>
      </c>
      <c r="F70" s="142">
        <v>4</v>
      </c>
      <c r="G70" s="142">
        <v>161</v>
      </c>
      <c r="H70" s="142">
        <v>1841</v>
      </c>
      <c r="I70" s="142">
        <v>506</v>
      </c>
      <c r="J70" s="142">
        <v>313</v>
      </c>
      <c r="K70" s="142">
        <v>82</v>
      </c>
      <c r="L70" s="142">
        <v>0.40400000000000003</v>
      </c>
      <c r="M70" s="142">
        <v>0.34200000000000003</v>
      </c>
      <c r="N70" s="142">
        <v>0.76100000000000001</v>
      </c>
      <c r="O70" s="142">
        <v>11.4</v>
      </c>
      <c r="P70" s="142">
        <v>3.1</v>
      </c>
      <c r="Q70" s="142">
        <v>1.9</v>
      </c>
      <c r="R70" s="142">
        <v>0.5</v>
      </c>
      <c r="S70" s="142">
        <v>1.7</v>
      </c>
      <c r="T70" s="142">
        <v>4.3999999999999997E-2</v>
      </c>
      <c r="U70" s="142">
        <v>-3.4</v>
      </c>
      <c r="V70" s="142">
        <v>-0.7</v>
      </c>
      <c r="AG70" s="52" t="s">
        <v>101</v>
      </c>
      <c r="AH70" s="52">
        <v>1.2500000000000001E-2</v>
      </c>
      <c r="AI70" s="52">
        <v>0</v>
      </c>
      <c r="AJ70" s="52">
        <v>1.2500000000000001E-2</v>
      </c>
    </row>
    <row r="71" spans="1:37" ht="15">
      <c r="A71" s="148">
        <v>2021</v>
      </c>
      <c r="B71" s="142">
        <v>46</v>
      </c>
      <c r="C71" s="142" t="s">
        <v>163</v>
      </c>
      <c r="D71" s="142" t="s">
        <v>164</v>
      </c>
      <c r="E71" s="142" t="s">
        <v>165</v>
      </c>
      <c r="F71" s="142">
        <v>4</v>
      </c>
      <c r="G71" s="142">
        <v>189</v>
      </c>
      <c r="H71" s="142">
        <v>2630</v>
      </c>
      <c r="I71" s="142">
        <v>1241</v>
      </c>
      <c r="J71" s="142">
        <v>425</v>
      </c>
      <c r="K71" s="142">
        <v>345</v>
      </c>
      <c r="L71" s="142">
        <v>0.41</v>
      </c>
      <c r="M71" s="142">
        <v>0.309</v>
      </c>
      <c r="N71" s="142">
        <v>0.72099999999999997</v>
      </c>
      <c r="O71" s="142">
        <v>13.9</v>
      </c>
      <c r="P71" s="142">
        <v>6.6</v>
      </c>
      <c r="Q71" s="142">
        <v>2.2000000000000002</v>
      </c>
      <c r="R71" s="142">
        <v>1.8</v>
      </c>
      <c r="S71" s="142">
        <v>1.9</v>
      </c>
      <c r="T71" s="142">
        <v>3.5000000000000003E-2</v>
      </c>
      <c r="U71" s="142">
        <v>-1.2</v>
      </c>
      <c r="V71" s="142">
        <v>0.5</v>
      </c>
      <c r="AG71" s="52" t="s">
        <v>39</v>
      </c>
      <c r="AH71" s="52">
        <v>3.7499999999999999E-2</v>
      </c>
      <c r="AI71" s="52">
        <v>0</v>
      </c>
      <c r="AJ71" s="52">
        <v>0</v>
      </c>
    </row>
    <row r="72" spans="1:37" ht="30">
      <c r="A72" s="148">
        <v>2021</v>
      </c>
      <c r="B72" s="142">
        <v>54</v>
      </c>
      <c r="C72" s="142" t="s">
        <v>41</v>
      </c>
      <c r="D72" s="142" t="s">
        <v>166</v>
      </c>
      <c r="E72" s="142" t="s">
        <v>167</v>
      </c>
      <c r="F72" s="142">
        <v>4</v>
      </c>
      <c r="G72" s="142">
        <v>161</v>
      </c>
      <c r="H72" s="142">
        <v>1776</v>
      </c>
      <c r="I72" s="142">
        <v>753</v>
      </c>
      <c r="J72" s="142">
        <v>489</v>
      </c>
      <c r="K72" s="142">
        <v>148</v>
      </c>
      <c r="L72" s="142">
        <v>0.47099999999999997</v>
      </c>
      <c r="M72" s="142">
        <v>0.34899999999999998</v>
      </c>
      <c r="N72" s="142">
        <v>0.72099999999999997</v>
      </c>
      <c r="O72" s="142">
        <v>11</v>
      </c>
      <c r="P72" s="142">
        <v>4.7</v>
      </c>
      <c r="Q72" s="142">
        <v>3</v>
      </c>
      <c r="R72" s="142">
        <v>0.9</v>
      </c>
      <c r="S72" s="142">
        <v>4</v>
      </c>
      <c r="T72" s="142">
        <v>0.107</v>
      </c>
      <c r="U72" s="142">
        <v>-0.5</v>
      </c>
      <c r="V72" s="142">
        <v>0.7</v>
      </c>
      <c r="AG72" s="52" t="s">
        <v>106</v>
      </c>
      <c r="AH72" s="52">
        <v>3.7499999999999999E-2</v>
      </c>
      <c r="AI72" s="52">
        <v>3.7499999999999999E-2</v>
      </c>
      <c r="AJ72" s="52">
        <v>1.2500000000000001E-2</v>
      </c>
    </row>
    <row r="73" spans="1:37" ht="30">
      <c r="A73" s="148">
        <v>2020</v>
      </c>
      <c r="B73" s="142">
        <v>35</v>
      </c>
      <c r="C73" s="142" t="s">
        <v>36</v>
      </c>
      <c r="D73" s="142" t="s">
        <v>168</v>
      </c>
      <c r="E73" s="142" t="s">
        <v>27</v>
      </c>
      <c r="F73" s="142">
        <v>5</v>
      </c>
      <c r="G73" s="142">
        <v>254</v>
      </c>
      <c r="H73" s="142">
        <v>4136</v>
      </c>
      <c r="I73" s="142">
        <v>1380</v>
      </c>
      <c r="J73" s="142">
        <v>971</v>
      </c>
      <c r="K73" s="142">
        <v>317</v>
      </c>
      <c r="L73" s="142">
        <v>0.51200000000000001</v>
      </c>
      <c r="M73" s="142">
        <v>0.25800000000000001</v>
      </c>
      <c r="N73" s="142">
        <v>0.57399999999999995</v>
      </c>
      <c r="O73" s="142">
        <v>16.3</v>
      </c>
      <c r="P73" s="142">
        <v>5.4</v>
      </c>
      <c r="Q73" s="142">
        <v>3.8</v>
      </c>
      <c r="R73" s="142">
        <v>1.2</v>
      </c>
      <c r="S73" s="142">
        <v>10.1</v>
      </c>
      <c r="T73" s="142">
        <v>0.11799999999999999</v>
      </c>
      <c r="U73" s="142">
        <v>0</v>
      </c>
      <c r="V73" s="142">
        <v>2.1</v>
      </c>
      <c r="AG73" s="52" t="s">
        <v>109</v>
      </c>
      <c r="AH73" s="52">
        <v>8.7499999999999994E-2</v>
      </c>
      <c r="AI73" s="52">
        <v>6.25E-2</v>
      </c>
      <c r="AJ73" s="52">
        <v>2.5000000000000001E-2</v>
      </c>
    </row>
    <row r="74" spans="1:37" ht="15">
      <c r="A74" s="148">
        <v>2020</v>
      </c>
      <c r="B74" s="142">
        <v>37</v>
      </c>
      <c r="C74" s="142" t="s">
        <v>69</v>
      </c>
      <c r="D74" s="142" t="s">
        <v>169</v>
      </c>
      <c r="E74" s="142"/>
      <c r="F74" s="142">
        <v>4</v>
      </c>
      <c r="G74" s="142">
        <v>119</v>
      </c>
      <c r="H74" s="142">
        <v>2189</v>
      </c>
      <c r="I74" s="142">
        <v>618</v>
      </c>
      <c r="J74" s="142">
        <v>285</v>
      </c>
      <c r="K74" s="142">
        <v>225</v>
      </c>
      <c r="L74" s="142">
        <v>0.438</v>
      </c>
      <c r="M74" s="142">
        <v>0.36399999999999999</v>
      </c>
      <c r="N74" s="142">
        <v>0.746</v>
      </c>
      <c r="O74" s="142">
        <v>18.399999999999999</v>
      </c>
      <c r="P74" s="142">
        <v>5.2</v>
      </c>
      <c r="Q74" s="142">
        <v>2.4</v>
      </c>
      <c r="R74" s="142">
        <v>1.9</v>
      </c>
      <c r="S74" s="142">
        <v>2.7</v>
      </c>
      <c r="T74" s="142">
        <v>5.8999999999999997E-2</v>
      </c>
      <c r="U74" s="142">
        <v>-3.1</v>
      </c>
      <c r="V74" s="142">
        <v>-0.6</v>
      </c>
      <c r="AG74" s="52" t="s">
        <v>111</v>
      </c>
      <c r="AH74" s="52">
        <v>0.82499999999999996</v>
      </c>
      <c r="AI74" s="52">
        <v>0.9</v>
      </c>
      <c r="AJ74" s="52">
        <v>0.95</v>
      </c>
    </row>
    <row r="75" spans="1:37" ht="15">
      <c r="A75" s="148">
        <v>2020</v>
      </c>
      <c r="B75" s="142">
        <v>41</v>
      </c>
      <c r="C75" s="142" t="s">
        <v>79</v>
      </c>
      <c r="D75" s="142" t="s">
        <v>170</v>
      </c>
      <c r="E75" s="142" t="s">
        <v>171</v>
      </c>
      <c r="F75" s="142">
        <v>5</v>
      </c>
      <c r="G75" s="142">
        <v>280</v>
      </c>
      <c r="H75" s="142">
        <v>6007</v>
      </c>
      <c r="I75" s="142">
        <v>2276</v>
      </c>
      <c r="J75" s="142">
        <v>770</v>
      </c>
      <c r="K75" s="142">
        <v>1305</v>
      </c>
      <c r="L75" s="142">
        <v>0.48099999999999998</v>
      </c>
      <c r="M75" s="142">
        <v>0.30199999999999999</v>
      </c>
      <c r="N75" s="142">
        <v>0.83599999999999997</v>
      </c>
      <c r="O75" s="142">
        <v>21.5</v>
      </c>
      <c r="P75" s="142">
        <v>8.1</v>
      </c>
      <c r="Q75" s="142">
        <v>2.8</v>
      </c>
      <c r="R75" s="142">
        <v>4.7</v>
      </c>
      <c r="S75" s="142">
        <v>12.8</v>
      </c>
      <c r="T75" s="142">
        <v>0.10199999999999999</v>
      </c>
      <c r="U75" s="142">
        <v>-0.8</v>
      </c>
      <c r="V75" s="142">
        <v>1.9</v>
      </c>
    </row>
    <row r="76" spans="1:37" ht="15">
      <c r="A76" s="148">
        <v>2020</v>
      </c>
      <c r="B76" s="142">
        <v>42</v>
      </c>
      <c r="C76" s="142" t="s">
        <v>44</v>
      </c>
      <c r="D76" s="142" t="s">
        <v>172</v>
      </c>
      <c r="E76" s="142" t="s">
        <v>173</v>
      </c>
      <c r="F76" s="142">
        <v>5</v>
      </c>
      <c r="G76" s="142">
        <v>233</v>
      </c>
      <c r="H76" s="142">
        <v>4132</v>
      </c>
      <c r="I76" s="142">
        <v>1642</v>
      </c>
      <c r="J76" s="142">
        <v>1333</v>
      </c>
      <c r="K76" s="142">
        <v>142</v>
      </c>
      <c r="L76" s="142">
        <v>0.64200000000000002</v>
      </c>
      <c r="M76" s="142">
        <v>0.2</v>
      </c>
      <c r="N76" s="142">
        <v>0.72799999999999998</v>
      </c>
      <c r="O76" s="142">
        <v>17.7</v>
      </c>
      <c r="P76" s="142">
        <v>7</v>
      </c>
      <c r="Q76" s="142">
        <v>5.7</v>
      </c>
      <c r="R76" s="142">
        <v>0.6</v>
      </c>
      <c r="S76" s="142">
        <v>12.1</v>
      </c>
      <c r="T76" s="142">
        <v>0.14099999999999999</v>
      </c>
      <c r="U76" s="142">
        <v>-2.2000000000000002</v>
      </c>
      <c r="V76" s="142">
        <v>-0.2</v>
      </c>
      <c r="AH76" s="52" t="s">
        <v>95</v>
      </c>
      <c r="AI76" s="52" t="s">
        <v>96</v>
      </c>
    </row>
    <row r="77" spans="1:37" ht="15">
      <c r="A77" s="148">
        <v>2020</v>
      </c>
      <c r="B77" s="142">
        <v>52</v>
      </c>
      <c r="C77" s="142" t="s">
        <v>36</v>
      </c>
      <c r="D77" s="142" t="s">
        <v>174</v>
      </c>
      <c r="E77" s="142"/>
      <c r="F77" s="142">
        <v>5</v>
      </c>
      <c r="G77" s="142">
        <v>290</v>
      </c>
      <c r="H77" s="142">
        <v>6242</v>
      </c>
      <c r="I77" s="142">
        <v>2532</v>
      </c>
      <c r="J77" s="142">
        <v>1194</v>
      </c>
      <c r="K77" s="142">
        <v>342</v>
      </c>
      <c r="L77" s="142">
        <v>0.54800000000000004</v>
      </c>
      <c r="M77" s="142">
        <v>0.33800000000000002</v>
      </c>
      <c r="N77" s="142">
        <v>0.67100000000000004</v>
      </c>
      <c r="O77" s="142">
        <v>21.5</v>
      </c>
      <c r="P77" s="142">
        <v>8.6999999999999993</v>
      </c>
      <c r="Q77" s="142">
        <v>4.0999999999999996</v>
      </c>
      <c r="R77" s="142">
        <v>1.2</v>
      </c>
      <c r="S77" s="142">
        <v>12.3</v>
      </c>
      <c r="T77" s="142">
        <v>9.5000000000000001E-2</v>
      </c>
      <c r="U77" s="142">
        <v>-1.5</v>
      </c>
      <c r="V77" s="142">
        <v>0.8</v>
      </c>
      <c r="AG77" s="52" t="s">
        <v>101</v>
      </c>
      <c r="AH77" s="52">
        <v>0</v>
      </c>
      <c r="AI77" s="52">
        <v>1.2500000000000001E-2</v>
      </c>
    </row>
    <row r="78" spans="1:37" ht="15">
      <c r="A78" s="148">
        <v>2020</v>
      </c>
      <c r="B78" s="142">
        <v>58</v>
      </c>
      <c r="C78" s="142" t="s">
        <v>66</v>
      </c>
      <c r="D78" s="142" t="s">
        <v>175</v>
      </c>
      <c r="E78" s="142" t="s">
        <v>176</v>
      </c>
      <c r="F78" s="142">
        <v>5</v>
      </c>
      <c r="G78" s="142">
        <v>244</v>
      </c>
      <c r="H78" s="142">
        <v>3110</v>
      </c>
      <c r="I78" s="142">
        <v>1216</v>
      </c>
      <c r="J78" s="142">
        <v>976</v>
      </c>
      <c r="K78" s="142">
        <v>193</v>
      </c>
      <c r="L78" s="142">
        <v>0.55300000000000005</v>
      </c>
      <c r="M78" s="142">
        <v>0.316</v>
      </c>
      <c r="N78" s="142">
        <v>0.71</v>
      </c>
      <c r="O78" s="142">
        <v>12.7</v>
      </c>
      <c r="P78" s="142">
        <v>5</v>
      </c>
      <c r="Q78" s="142">
        <v>4</v>
      </c>
      <c r="R78" s="142">
        <v>0.8</v>
      </c>
      <c r="S78" s="142">
        <v>11.2</v>
      </c>
      <c r="T78" s="142">
        <v>0.17199999999999999</v>
      </c>
      <c r="U78" s="142">
        <v>0.8</v>
      </c>
      <c r="V78" s="142">
        <v>2.2000000000000002</v>
      </c>
      <c r="AG78" s="52" t="s">
        <v>39</v>
      </c>
      <c r="AH78" s="52">
        <v>0</v>
      </c>
      <c r="AI78" s="52">
        <v>0</v>
      </c>
    </row>
    <row r="79" spans="1:37" ht="30">
      <c r="A79" s="148">
        <v>2020</v>
      </c>
      <c r="B79" s="142">
        <v>60</v>
      </c>
      <c r="C79" s="142" t="s">
        <v>44</v>
      </c>
      <c r="D79" s="142" t="s">
        <v>177</v>
      </c>
      <c r="E79" s="142" t="s">
        <v>160</v>
      </c>
      <c r="F79" s="142">
        <v>5</v>
      </c>
      <c r="G79" s="142">
        <v>145</v>
      </c>
      <c r="H79" s="142">
        <v>2231</v>
      </c>
      <c r="I79" s="142">
        <v>931</v>
      </c>
      <c r="J79" s="142">
        <v>248</v>
      </c>
      <c r="K79" s="142">
        <v>206</v>
      </c>
      <c r="L79" s="142">
        <v>0.40100000000000002</v>
      </c>
      <c r="M79" s="142">
        <v>0.38500000000000001</v>
      </c>
      <c r="N79" s="142">
        <v>0.92200000000000004</v>
      </c>
      <c r="O79" s="142">
        <v>15.4</v>
      </c>
      <c r="P79" s="142">
        <v>6.4</v>
      </c>
      <c r="Q79" s="142">
        <v>1.7</v>
      </c>
      <c r="R79" s="142">
        <v>1.4</v>
      </c>
      <c r="S79" s="142">
        <v>5.3</v>
      </c>
      <c r="T79" s="142">
        <v>0.114</v>
      </c>
      <c r="U79" s="142">
        <v>-0.2</v>
      </c>
      <c r="V79" s="142">
        <v>1</v>
      </c>
      <c r="AG79" s="52" t="s">
        <v>106</v>
      </c>
      <c r="AH79" s="52">
        <v>3.7499999999999999E-2</v>
      </c>
      <c r="AI79" s="52">
        <v>1.2500000000000001E-2</v>
      </c>
    </row>
    <row r="80" spans="1:37" ht="15">
      <c r="A80" s="148">
        <v>2019</v>
      </c>
      <c r="B80" s="142">
        <v>36</v>
      </c>
      <c r="C80" s="142" t="s">
        <v>119</v>
      </c>
      <c r="D80" s="142" t="s">
        <v>178</v>
      </c>
      <c r="E80" s="142" t="s">
        <v>147</v>
      </c>
      <c r="F80" s="142">
        <v>6</v>
      </c>
      <c r="G80" s="142">
        <v>245</v>
      </c>
      <c r="H80" s="142">
        <v>5472</v>
      </c>
      <c r="I80" s="142">
        <v>1541</v>
      </c>
      <c r="J80" s="142">
        <v>913</v>
      </c>
      <c r="K80" s="142">
        <v>564</v>
      </c>
      <c r="L80" s="142">
        <v>0.44</v>
      </c>
      <c r="M80" s="142">
        <v>0.31900000000000001</v>
      </c>
      <c r="N80" s="142">
        <v>0.65800000000000003</v>
      </c>
      <c r="O80" s="142">
        <v>22.3</v>
      </c>
      <c r="P80" s="142">
        <v>6.3</v>
      </c>
      <c r="Q80" s="142">
        <v>3.7</v>
      </c>
      <c r="R80" s="142">
        <v>2.2999999999999998</v>
      </c>
      <c r="S80" s="142">
        <v>7.5</v>
      </c>
      <c r="T80" s="142">
        <v>6.5000000000000002E-2</v>
      </c>
      <c r="U80" s="142">
        <v>-1.6</v>
      </c>
      <c r="V80" s="142">
        <v>0.6</v>
      </c>
      <c r="AG80" s="52" t="s">
        <v>109</v>
      </c>
      <c r="AH80" s="52">
        <v>6.25E-2</v>
      </c>
      <c r="AI80" s="52">
        <v>2.5000000000000001E-2</v>
      </c>
    </row>
    <row r="81" spans="1:35" ht="30">
      <c r="A81" s="148">
        <v>2019</v>
      </c>
      <c r="B81" s="142">
        <v>46</v>
      </c>
      <c r="C81" s="142" t="s">
        <v>179</v>
      </c>
      <c r="D81" s="142" t="s">
        <v>180</v>
      </c>
      <c r="E81" s="142" t="s">
        <v>108</v>
      </c>
      <c r="F81" s="142">
        <v>6</v>
      </c>
      <c r="G81" s="142">
        <v>287</v>
      </c>
      <c r="H81" s="142">
        <v>5679</v>
      </c>
      <c r="I81" s="142">
        <v>2664</v>
      </c>
      <c r="J81" s="142">
        <v>768</v>
      </c>
      <c r="K81" s="142">
        <v>822</v>
      </c>
      <c r="L81" s="142">
        <v>0.42599999999999999</v>
      </c>
      <c r="M81" s="142">
        <v>0.30199999999999999</v>
      </c>
      <c r="N81" s="142">
        <v>0.77400000000000002</v>
      </c>
      <c r="O81" s="142">
        <v>19.8</v>
      </c>
      <c r="P81" s="142">
        <v>9.3000000000000007</v>
      </c>
      <c r="Q81" s="142">
        <v>2.7</v>
      </c>
      <c r="R81" s="142">
        <v>2.9</v>
      </c>
      <c r="S81" s="142">
        <v>5.6</v>
      </c>
      <c r="T81" s="142">
        <v>4.7E-2</v>
      </c>
      <c r="U81" s="142">
        <v>-1.9</v>
      </c>
      <c r="V81" s="142">
        <v>0.1</v>
      </c>
      <c r="AG81" s="52" t="s">
        <v>111</v>
      </c>
      <c r="AH81" s="52">
        <v>0.9</v>
      </c>
      <c r="AI81" s="52">
        <v>0.95</v>
      </c>
    </row>
    <row r="82" spans="1:35" ht="15">
      <c r="A82" s="148">
        <v>2019</v>
      </c>
      <c r="B82" s="142">
        <v>48</v>
      </c>
      <c r="C82" s="142" t="s">
        <v>28</v>
      </c>
      <c r="D82" s="142" t="s">
        <v>181</v>
      </c>
      <c r="E82" s="142" t="s">
        <v>182</v>
      </c>
      <c r="F82" s="142">
        <v>6</v>
      </c>
      <c r="G82" s="142">
        <v>383</v>
      </c>
      <c r="H82" s="142">
        <v>8444</v>
      </c>
      <c r="I82" s="142">
        <v>3041</v>
      </c>
      <c r="J82" s="142">
        <v>1360</v>
      </c>
      <c r="K82" s="142">
        <v>731</v>
      </c>
      <c r="L82" s="142">
        <v>0.498</v>
      </c>
      <c r="M82" s="142">
        <v>0.371</v>
      </c>
      <c r="N82" s="142">
        <v>0.78600000000000003</v>
      </c>
      <c r="O82" s="142">
        <v>22</v>
      </c>
      <c r="P82" s="142">
        <v>7.9</v>
      </c>
      <c r="Q82" s="142">
        <v>3.6</v>
      </c>
      <c r="R82" s="142">
        <v>1.9</v>
      </c>
      <c r="S82" s="142">
        <v>19.899999999999999</v>
      </c>
      <c r="T82" s="142">
        <v>0.113</v>
      </c>
      <c r="U82" s="142">
        <v>-0.8</v>
      </c>
      <c r="V82" s="142">
        <v>2.5</v>
      </c>
    </row>
    <row r="83" spans="1:35" ht="15">
      <c r="A83" s="148">
        <v>2018</v>
      </c>
      <c r="B83" s="142">
        <v>32</v>
      </c>
      <c r="C83" s="142" t="s">
        <v>152</v>
      </c>
      <c r="D83" s="142" t="s">
        <v>183</v>
      </c>
      <c r="E83" s="142" t="s">
        <v>87</v>
      </c>
      <c r="F83" s="142">
        <v>7</v>
      </c>
      <c r="G83" s="142">
        <v>401</v>
      </c>
      <c r="H83" s="142">
        <v>6135</v>
      </c>
      <c r="I83" s="142">
        <v>2082</v>
      </c>
      <c r="J83" s="142">
        <v>671</v>
      </c>
      <c r="K83" s="142">
        <v>633</v>
      </c>
      <c r="L83" s="142">
        <v>0.39700000000000002</v>
      </c>
      <c r="M83" s="142">
        <v>0.38200000000000001</v>
      </c>
      <c r="N83" s="142">
        <v>0.79600000000000004</v>
      </c>
      <c r="O83" s="142">
        <v>15.3</v>
      </c>
      <c r="P83" s="142">
        <v>5.2</v>
      </c>
      <c r="Q83" s="142">
        <v>1.7</v>
      </c>
      <c r="R83" s="142">
        <v>1.6</v>
      </c>
      <c r="S83" s="142">
        <v>8.4</v>
      </c>
      <c r="T83" s="142">
        <v>6.6000000000000003E-2</v>
      </c>
      <c r="U83" s="142">
        <v>-1.4</v>
      </c>
      <c r="V83" s="142">
        <v>0.9</v>
      </c>
    </row>
    <row r="84" spans="1:35" ht="30">
      <c r="A84" s="148">
        <v>2018</v>
      </c>
      <c r="B84" s="142">
        <v>34</v>
      </c>
      <c r="C84" s="142" t="s">
        <v>184</v>
      </c>
      <c r="D84" s="142" t="s">
        <v>185</v>
      </c>
      <c r="E84" s="142" t="s">
        <v>138</v>
      </c>
      <c r="F84" s="142">
        <v>6</v>
      </c>
      <c r="G84" s="142">
        <v>336</v>
      </c>
      <c r="H84" s="142">
        <v>8359</v>
      </c>
      <c r="I84" s="142">
        <v>3733</v>
      </c>
      <c r="J84" s="142">
        <v>758</v>
      </c>
      <c r="K84" s="142">
        <v>1448</v>
      </c>
      <c r="L84" s="142">
        <v>0.371</v>
      </c>
      <c r="M84" s="142">
        <v>0.35399999999999998</v>
      </c>
      <c r="N84" s="142">
        <v>0.81200000000000006</v>
      </c>
      <c r="O84" s="142">
        <v>24.9</v>
      </c>
      <c r="P84" s="142">
        <v>11.1</v>
      </c>
      <c r="Q84" s="142">
        <v>2.2999999999999998</v>
      </c>
      <c r="R84" s="142">
        <v>4.3</v>
      </c>
      <c r="S84" s="142">
        <v>12.7</v>
      </c>
      <c r="T84" s="142">
        <v>7.2999999999999995E-2</v>
      </c>
      <c r="U84" s="142">
        <v>-0.5</v>
      </c>
      <c r="V84" s="142">
        <v>3.2</v>
      </c>
    </row>
    <row r="85" spans="1:35" ht="15">
      <c r="A85" s="148">
        <v>2018</v>
      </c>
      <c r="B85" s="142">
        <v>37</v>
      </c>
      <c r="C85" s="142" t="s">
        <v>36</v>
      </c>
      <c r="D85" s="142" t="s">
        <v>186</v>
      </c>
      <c r="E85" s="142" t="s">
        <v>171</v>
      </c>
      <c r="F85" s="142">
        <v>7</v>
      </c>
      <c r="G85" s="142">
        <v>387</v>
      </c>
      <c r="H85" s="142">
        <v>10951</v>
      </c>
      <c r="I85" s="142">
        <v>5342</v>
      </c>
      <c r="J85" s="142">
        <v>925</v>
      </c>
      <c r="K85" s="142">
        <v>563</v>
      </c>
      <c r="L85" s="142">
        <v>0.42299999999999999</v>
      </c>
      <c r="M85" s="142">
        <v>0.39</v>
      </c>
      <c r="N85" s="142">
        <v>0.82199999999999995</v>
      </c>
      <c r="O85" s="142">
        <v>28.3</v>
      </c>
      <c r="P85" s="142">
        <v>13.8</v>
      </c>
      <c r="Q85" s="142">
        <v>2.4</v>
      </c>
      <c r="R85" s="142">
        <v>1.5</v>
      </c>
      <c r="S85" s="142">
        <v>17.600000000000001</v>
      </c>
      <c r="T85" s="142">
        <v>7.6999999999999999E-2</v>
      </c>
      <c r="U85" s="142">
        <v>-1.1000000000000001</v>
      </c>
      <c r="V85" s="142">
        <v>2.4</v>
      </c>
      <c r="AH85" s="52" t="s">
        <v>96</v>
      </c>
    </row>
    <row r="86" spans="1:35" ht="30">
      <c r="A86" s="148">
        <v>2018</v>
      </c>
      <c r="B86" s="142">
        <v>41</v>
      </c>
      <c r="C86" s="142" t="s">
        <v>179</v>
      </c>
      <c r="D86" s="142" t="s">
        <v>187</v>
      </c>
      <c r="E86" s="142" t="s">
        <v>173</v>
      </c>
      <c r="F86" s="142">
        <v>7</v>
      </c>
      <c r="G86" s="142">
        <v>280</v>
      </c>
      <c r="H86" s="142">
        <v>5708</v>
      </c>
      <c r="I86" s="142">
        <v>1686</v>
      </c>
      <c r="J86" s="142">
        <v>1791</v>
      </c>
      <c r="K86" s="142">
        <v>405</v>
      </c>
      <c r="L86" s="142">
        <v>0.56599999999999995</v>
      </c>
      <c r="M86" s="142">
        <v>0.28499999999999998</v>
      </c>
      <c r="N86" s="142">
        <v>0.64400000000000002</v>
      </c>
      <c r="O86" s="142">
        <v>20.399999999999999</v>
      </c>
      <c r="P86" s="142">
        <v>6</v>
      </c>
      <c r="Q86" s="142">
        <v>6.4</v>
      </c>
      <c r="R86" s="142">
        <v>1.4</v>
      </c>
      <c r="S86" s="142">
        <v>15.8</v>
      </c>
      <c r="T86" s="142">
        <v>0.13300000000000001</v>
      </c>
      <c r="U86" s="142">
        <v>0.2</v>
      </c>
      <c r="V86" s="142">
        <v>3.1</v>
      </c>
      <c r="AG86" s="52" t="s">
        <v>101</v>
      </c>
      <c r="AH86" s="52">
        <v>1.2500000000000001E-2</v>
      </c>
    </row>
    <row r="87" spans="1:35" ht="15">
      <c r="A87" s="148">
        <v>2018</v>
      </c>
      <c r="B87" s="142">
        <v>54</v>
      </c>
      <c r="C87" s="142" t="s">
        <v>20</v>
      </c>
      <c r="D87" s="142" t="s">
        <v>188</v>
      </c>
      <c r="E87" s="142" t="s">
        <v>189</v>
      </c>
      <c r="F87" s="142">
        <v>7</v>
      </c>
      <c r="G87" s="142">
        <v>342</v>
      </c>
      <c r="H87" s="142">
        <v>6511</v>
      </c>
      <c r="I87" s="142">
        <v>2827</v>
      </c>
      <c r="J87" s="142">
        <v>754</v>
      </c>
      <c r="K87" s="142">
        <v>840</v>
      </c>
      <c r="L87" s="142">
        <v>0.45100000000000001</v>
      </c>
      <c r="M87" s="142">
        <v>0.35799999999999998</v>
      </c>
      <c r="N87" s="142">
        <v>0.82299999999999995</v>
      </c>
      <c r="O87" s="142">
        <v>19</v>
      </c>
      <c r="P87" s="142">
        <v>8.3000000000000007</v>
      </c>
      <c r="Q87" s="142">
        <v>2.2000000000000002</v>
      </c>
      <c r="R87" s="142">
        <v>2.5</v>
      </c>
      <c r="S87" s="142">
        <v>11.5</v>
      </c>
      <c r="T87" s="142">
        <v>8.5000000000000006E-2</v>
      </c>
      <c r="U87" s="142">
        <v>-2</v>
      </c>
      <c r="V87" s="142">
        <v>0</v>
      </c>
      <c r="AG87" s="52" t="s">
        <v>39</v>
      </c>
      <c r="AH87" s="52">
        <v>0</v>
      </c>
    </row>
    <row r="88" spans="1:35" ht="15">
      <c r="A88" s="148">
        <v>2017</v>
      </c>
      <c r="B88" s="142">
        <v>37</v>
      </c>
      <c r="C88" s="142" t="s">
        <v>190</v>
      </c>
      <c r="D88" s="142" t="s">
        <v>191</v>
      </c>
      <c r="E88" s="142" t="s">
        <v>189</v>
      </c>
      <c r="F88" s="142">
        <v>5</v>
      </c>
      <c r="G88" s="142">
        <v>284</v>
      </c>
      <c r="H88" s="142">
        <v>4111</v>
      </c>
      <c r="I88" s="142">
        <v>975</v>
      </c>
      <c r="J88" s="142">
        <v>613</v>
      </c>
      <c r="K88" s="142">
        <v>126</v>
      </c>
      <c r="L88" s="142">
        <v>0.38400000000000001</v>
      </c>
      <c r="M88" s="142">
        <v>0.34399999999999997</v>
      </c>
      <c r="N88" s="142">
        <v>0.71699999999999997</v>
      </c>
      <c r="O88" s="142">
        <v>14.5</v>
      </c>
      <c r="P88" s="142">
        <v>3.4</v>
      </c>
      <c r="Q88" s="142">
        <v>2.2000000000000002</v>
      </c>
      <c r="R88" s="142">
        <v>0.4</v>
      </c>
      <c r="S88" s="142">
        <v>5.2</v>
      </c>
      <c r="T88" s="142">
        <v>0.06</v>
      </c>
      <c r="U88" s="142">
        <v>-3.4</v>
      </c>
      <c r="V88" s="142">
        <v>-1.5</v>
      </c>
      <c r="AG88" s="52" t="s">
        <v>106</v>
      </c>
      <c r="AH88" s="52">
        <v>1.2500000000000001E-2</v>
      </c>
    </row>
    <row r="89" spans="1:35" ht="15">
      <c r="A89" s="148">
        <v>2017</v>
      </c>
      <c r="B89" s="142">
        <v>38</v>
      </c>
      <c r="C89" s="142" t="s">
        <v>99</v>
      </c>
      <c r="D89" s="142" t="s">
        <v>192</v>
      </c>
      <c r="E89" s="142" t="s">
        <v>55</v>
      </c>
      <c r="F89" s="142">
        <v>5</v>
      </c>
      <c r="G89" s="142">
        <v>161</v>
      </c>
      <c r="H89" s="142">
        <v>1937</v>
      </c>
      <c r="I89" s="142">
        <v>593</v>
      </c>
      <c r="J89" s="142">
        <v>497</v>
      </c>
      <c r="K89" s="142">
        <v>201</v>
      </c>
      <c r="L89" s="142">
        <v>0.55200000000000005</v>
      </c>
      <c r="M89" s="142">
        <v>0.2</v>
      </c>
      <c r="N89" s="142">
        <v>0.63600000000000001</v>
      </c>
      <c r="O89" s="142">
        <v>12</v>
      </c>
      <c r="P89" s="142">
        <v>3.7</v>
      </c>
      <c r="Q89" s="142">
        <v>3.1</v>
      </c>
      <c r="R89" s="142">
        <v>1.2</v>
      </c>
      <c r="S89" s="142">
        <v>4.9000000000000004</v>
      </c>
      <c r="T89" s="142">
        <v>0.121</v>
      </c>
      <c r="U89" s="142">
        <v>0.2</v>
      </c>
      <c r="V89" s="142">
        <v>1.1000000000000001</v>
      </c>
      <c r="AG89" s="52" t="s">
        <v>109</v>
      </c>
      <c r="AH89" s="52">
        <v>2.5000000000000001E-2</v>
      </c>
    </row>
    <row r="90" spans="1:35" ht="15">
      <c r="A90" s="148">
        <v>2017</v>
      </c>
      <c r="B90" s="142">
        <v>42</v>
      </c>
      <c r="C90" s="142" t="s">
        <v>193</v>
      </c>
      <c r="D90" s="142" t="s">
        <v>194</v>
      </c>
      <c r="E90" s="142" t="s">
        <v>195</v>
      </c>
      <c r="F90" s="142">
        <v>8</v>
      </c>
      <c r="G90" s="142">
        <v>302</v>
      </c>
      <c r="H90" s="142">
        <v>5449</v>
      </c>
      <c r="I90" s="142">
        <v>2756</v>
      </c>
      <c r="J90" s="142">
        <v>1587</v>
      </c>
      <c r="K90" s="142">
        <v>307</v>
      </c>
      <c r="L90" s="142">
        <v>0.58899999999999997</v>
      </c>
      <c r="M90" s="142">
        <v>0.35899999999999999</v>
      </c>
      <c r="N90" s="142">
        <v>0.77400000000000002</v>
      </c>
      <c r="O90" s="142">
        <v>18</v>
      </c>
      <c r="P90" s="142">
        <v>9.1</v>
      </c>
      <c r="Q90" s="142">
        <v>5.3</v>
      </c>
      <c r="R90" s="142">
        <v>1</v>
      </c>
      <c r="S90" s="142">
        <v>19.3</v>
      </c>
      <c r="T90" s="142">
        <v>0.17</v>
      </c>
      <c r="U90" s="142">
        <v>1.2</v>
      </c>
      <c r="V90" s="142">
        <v>4.4000000000000004</v>
      </c>
      <c r="AG90" s="52" t="s">
        <v>111</v>
      </c>
      <c r="AH90" s="52">
        <v>0.95</v>
      </c>
    </row>
    <row r="91" spans="1:35" ht="15">
      <c r="A91" s="148">
        <v>2015</v>
      </c>
      <c r="B91" s="142">
        <v>31</v>
      </c>
      <c r="C91" s="142" t="s">
        <v>135</v>
      </c>
      <c r="D91" s="142" t="s">
        <v>196</v>
      </c>
      <c r="E91" s="142"/>
      <c r="F91" s="142">
        <v>7</v>
      </c>
      <c r="G91" s="142">
        <v>476</v>
      </c>
      <c r="H91" s="142">
        <v>10815</v>
      </c>
      <c r="I91" s="142">
        <v>4427</v>
      </c>
      <c r="J91" s="142">
        <v>1411</v>
      </c>
      <c r="K91" s="142">
        <v>933</v>
      </c>
      <c r="L91" s="142">
        <v>0.432</v>
      </c>
      <c r="M91" s="142">
        <v>0.35699999999999998</v>
      </c>
      <c r="N91" s="142">
        <v>0.71099999999999997</v>
      </c>
      <c r="O91" s="142">
        <v>22.7</v>
      </c>
      <c r="P91" s="142">
        <v>9.3000000000000007</v>
      </c>
      <c r="Q91" s="142">
        <v>3</v>
      </c>
      <c r="R91" s="142">
        <v>2</v>
      </c>
      <c r="S91" s="142">
        <v>12.5</v>
      </c>
      <c r="T91" s="142">
        <v>5.5E-2</v>
      </c>
      <c r="U91" s="142">
        <v>-2.1</v>
      </c>
      <c r="V91" s="142">
        <v>-0.3</v>
      </c>
    </row>
    <row r="92" spans="1:35" ht="30">
      <c r="A92" s="148">
        <v>2015</v>
      </c>
      <c r="B92" s="142">
        <v>35</v>
      </c>
      <c r="C92" s="142" t="s">
        <v>66</v>
      </c>
      <c r="D92" s="142" t="s">
        <v>197</v>
      </c>
      <c r="E92" s="142"/>
      <c r="F92" s="142">
        <v>7</v>
      </c>
      <c r="G92" s="142">
        <v>344</v>
      </c>
      <c r="H92" s="142">
        <v>5149</v>
      </c>
      <c r="I92" s="142">
        <v>2524</v>
      </c>
      <c r="J92" s="142">
        <v>1982</v>
      </c>
      <c r="K92" s="142">
        <v>364</v>
      </c>
      <c r="L92" s="142">
        <v>0.53300000000000003</v>
      </c>
      <c r="M92" s="142">
        <v>0.30599999999999999</v>
      </c>
      <c r="N92" s="142">
        <v>0.71299999999999997</v>
      </c>
      <c r="O92" s="142">
        <v>15</v>
      </c>
      <c r="P92" s="142">
        <v>7.3</v>
      </c>
      <c r="Q92" s="142">
        <v>5.8</v>
      </c>
      <c r="R92" s="142">
        <v>1.1000000000000001</v>
      </c>
      <c r="S92" s="142">
        <v>16.3</v>
      </c>
      <c r="T92" s="142">
        <v>0.152</v>
      </c>
      <c r="U92" s="142">
        <v>0.1</v>
      </c>
      <c r="V92" s="142">
        <v>2.8</v>
      </c>
    </row>
    <row r="93" spans="1:35" ht="30">
      <c r="A93" s="148">
        <v>2014</v>
      </c>
      <c r="B93" s="142">
        <v>40</v>
      </c>
      <c r="C93" s="142" t="s">
        <v>135</v>
      </c>
      <c r="D93" s="142" t="s">
        <v>198</v>
      </c>
      <c r="E93" s="142" t="s">
        <v>151</v>
      </c>
      <c r="F93" s="142">
        <v>7</v>
      </c>
      <c r="G93" s="142">
        <v>304</v>
      </c>
      <c r="H93" s="142">
        <v>5299</v>
      </c>
      <c r="I93" s="142">
        <v>1804</v>
      </c>
      <c r="J93" s="142">
        <v>776</v>
      </c>
      <c r="K93" s="142">
        <v>238</v>
      </c>
      <c r="L93" s="142">
        <v>0.45700000000000002</v>
      </c>
      <c r="M93" s="142">
        <v>0.373</v>
      </c>
      <c r="N93" s="142">
        <v>0.77900000000000003</v>
      </c>
      <c r="O93" s="142">
        <v>17.399999999999999</v>
      </c>
      <c r="P93" s="142">
        <v>5.9</v>
      </c>
      <c r="Q93" s="142">
        <v>2.6</v>
      </c>
      <c r="R93" s="142">
        <v>0.8</v>
      </c>
      <c r="S93" s="142">
        <v>7.9</v>
      </c>
      <c r="T93" s="142">
        <v>7.0999999999999994E-2</v>
      </c>
      <c r="U93" s="142">
        <v>-1.7</v>
      </c>
      <c r="V93" s="142">
        <v>0.4</v>
      </c>
    </row>
    <row r="94" spans="1:35" ht="15">
      <c r="A94" s="148">
        <v>2013</v>
      </c>
      <c r="B94" s="142">
        <v>31</v>
      </c>
      <c r="C94" s="142" t="s">
        <v>76</v>
      </c>
      <c r="D94" s="142" t="s">
        <v>199</v>
      </c>
      <c r="E94" s="142" t="s">
        <v>200</v>
      </c>
      <c r="F94" s="142">
        <v>7</v>
      </c>
      <c r="G94" s="142">
        <v>381</v>
      </c>
      <c r="H94" s="142">
        <v>9125</v>
      </c>
      <c r="I94" s="142">
        <v>3453</v>
      </c>
      <c r="J94" s="142">
        <v>1073</v>
      </c>
      <c r="K94" s="142">
        <v>434</v>
      </c>
      <c r="L94" s="142">
        <v>0.42499999999999999</v>
      </c>
      <c r="M94" s="142">
        <v>0.38700000000000001</v>
      </c>
      <c r="N94" s="142">
        <v>0.83099999999999996</v>
      </c>
      <c r="O94" s="142">
        <v>24</v>
      </c>
      <c r="P94" s="142">
        <v>9.1</v>
      </c>
      <c r="Q94" s="142">
        <v>2.8</v>
      </c>
      <c r="R94" s="142">
        <v>1.1000000000000001</v>
      </c>
      <c r="S94" s="142">
        <v>13.7</v>
      </c>
      <c r="T94" s="142">
        <v>7.1999999999999995E-2</v>
      </c>
      <c r="U94" s="142">
        <v>-1.6</v>
      </c>
      <c r="V94" s="142">
        <v>0.9</v>
      </c>
    </row>
    <row r="95" spans="1:35" ht="15">
      <c r="A95" s="148">
        <v>2013</v>
      </c>
      <c r="B95" s="142">
        <v>44</v>
      </c>
      <c r="C95" s="142" t="s">
        <v>20</v>
      </c>
      <c r="D95" s="142" t="s">
        <v>201</v>
      </c>
      <c r="E95" s="142" t="s">
        <v>202</v>
      </c>
      <c r="F95" s="142">
        <v>11</v>
      </c>
      <c r="G95" s="142">
        <v>548</v>
      </c>
      <c r="H95" s="142">
        <v>8239</v>
      </c>
      <c r="I95" s="142">
        <v>3206</v>
      </c>
      <c r="J95" s="142">
        <v>1699</v>
      </c>
      <c r="K95" s="142">
        <v>464</v>
      </c>
      <c r="L95" s="142">
        <v>0.45100000000000001</v>
      </c>
      <c r="M95" s="142">
        <v>0.373</v>
      </c>
      <c r="N95" s="142">
        <v>0.83</v>
      </c>
      <c r="O95" s="142">
        <v>15</v>
      </c>
      <c r="P95" s="142">
        <v>5.9</v>
      </c>
      <c r="Q95" s="142">
        <v>3.1</v>
      </c>
      <c r="R95" s="142">
        <v>0.8</v>
      </c>
      <c r="S95" s="142">
        <v>19.2</v>
      </c>
      <c r="T95" s="142">
        <v>0.112</v>
      </c>
      <c r="U95" s="142">
        <v>-0.2</v>
      </c>
      <c r="V95" s="142">
        <v>3.7</v>
      </c>
    </row>
    <row r="96" spans="1:35" ht="15">
      <c r="A96" s="148">
        <v>2013</v>
      </c>
      <c r="B96" s="142">
        <v>47</v>
      </c>
      <c r="C96" s="142" t="s">
        <v>184</v>
      </c>
      <c r="D96" s="142" t="s">
        <v>203</v>
      </c>
      <c r="E96" s="142"/>
      <c r="F96" s="142">
        <v>8</v>
      </c>
      <c r="G96" s="142">
        <v>435</v>
      </c>
      <c r="H96" s="142">
        <v>6765</v>
      </c>
      <c r="I96" s="142">
        <v>2470</v>
      </c>
      <c r="J96" s="142">
        <v>658</v>
      </c>
      <c r="K96" s="142">
        <v>913</v>
      </c>
      <c r="L96" s="142">
        <v>0.45800000000000002</v>
      </c>
      <c r="M96" s="142">
        <v>0.36099999999999999</v>
      </c>
      <c r="N96" s="142">
        <v>0.81200000000000006</v>
      </c>
      <c r="O96" s="142">
        <v>15.6</v>
      </c>
      <c r="P96" s="142">
        <v>5.7</v>
      </c>
      <c r="Q96" s="142">
        <v>1.5</v>
      </c>
      <c r="R96" s="142">
        <v>2.1</v>
      </c>
      <c r="S96" s="142">
        <v>11.6</v>
      </c>
      <c r="T96" s="142">
        <v>8.2000000000000003E-2</v>
      </c>
      <c r="U96" s="142">
        <v>-1.5</v>
      </c>
      <c r="V96" s="142">
        <v>0.8</v>
      </c>
    </row>
    <row r="97" spans="1:22" ht="30">
      <c r="A97" s="148">
        <v>2013</v>
      </c>
      <c r="B97" s="142">
        <v>50</v>
      </c>
      <c r="C97" s="142" t="s">
        <v>184</v>
      </c>
      <c r="D97" s="142" t="s">
        <v>204</v>
      </c>
      <c r="E97" s="142" t="s">
        <v>205</v>
      </c>
      <c r="F97" s="142">
        <v>8</v>
      </c>
      <c r="G97" s="142">
        <v>395</v>
      </c>
      <c r="H97" s="142">
        <v>8022</v>
      </c>
      <c r="I97" s="142">
        <v>2629</v>
      </c>
      <c r="J97" s="142">
        <v>1306</v>
      </c>
      <c r="K97" s="142">
        <v>373</v>
      </c>
      <c r="L97" s="142">
        <v>0.45700000000000002</v>
      </c>
      <c r="M97" s="142">
        <v>0.36</v>
      </c>
      <c r="N97" s="142">
        <v>0.79700000000000004</v>
      </c>
      <c r="O97" s="142">
        <v>20.3</v>
      </c>
      <c r="P97" s="142">
        <v>6.7</v>
      </c>
      <c r="Q97" s="142">
        <v>3.3</v>
      </c>
      <c r="R97" s="142">
        <v>0.9</v>
      </c>
      <c r="S97" s="142">
        <v>16.2</v>
      </c>
      <c r="T97" s="142">
        <v>9.7000000000000003E-2</v>
      </c>
      <c r="U97" s="142">
        <v>-1.5</v>
      </c>
      <c r="V97" s="142">
        <v>0.9</v>
      </c>
    </row>
    <row r="98" spans="1:22" ht="30">
      <c r="A98" s="148">
        <v>2012</v>
      </c>
      <c r="B98" s="142">
        <v>32</v>
      </c>
      <c r="C98" s="142" t="s">
        <v>69</v>
      </c>
      <c r="D98" s="142" t="s">
        <v>206</v>
      </c>
      <c r="E98" s="142"/>
      <c r="F98" s="142">
        <v>6</v>
      </c>
      <c r="G98" s="142">
        <v>388</v>
      </c>
      <c r="H98" s="142">
        <v>8617</v>
      </c>
      <c r="I98" s="142">
        <v>2676</v>
      </c>
      <c r="J98" s="142">
        <v>1117</v>
      </c>
      <c r="K98" s="142">
        <v>1586</v>
      </c>
      <c r="L98" s="142">
        <v>0.46800000000000003</v>
      </c>
      <c r="M98" s="142">
        <v>0.35399999999999998</v>
      </c>
      <c r="N98" s="142">
        <v>0.82</v>
      </c>
      <c r="O98" s="142">
        <v>22.2</v>
      </c>
      <c r="P98" s="142">
        <v>6.9</v>
      </c>
      <c r="Q98" s="142">
        <v>2.9</v>
      </c>
      <c r="R98" s="142">
        <v>4.0999999999999996</v>
      </c>
      <c r="S98" s="142">
        <v>17.899999999999999</v>
      </c>
      <c r="T98" s="142">
        <v>0.1</v>
      </c>
      <c r="U98" s="142">
        <v>-0.9</v>
      </c>
      <c r="V98" s="142">
        <v>2.4</v>
      </c>
    </row>
    <row r="99" spans="1:22" ht="15">
      <c r="A99" s="148">
        <v>2012</v>
      </c>
      <c r="B99" s="142">
        <v>37</v>
      </c>
      <c r="C99" s="142" t="s">
        <v>163</v>
      </c>
      <c r="D99" s="142" t="s">
        <v>207</v>
      </c>
      <c r="E99" s="142" t="s">
        <v>208</v>
      </c>
      <c r="F99" s="142">
        <v>7</v>
      </c>
      <c r="G99" s="142">
        <v>337</v>
      </c>
      <c r="H99" s="142">
        <v>5392</v>
      </c>
      <c r="I99" s="142">
        <v>1642</v>
      </c>
      <c r="J99" s="142">
        <v>1179</v>
      </c>
      <c r="K99" s="142">
        <v>217</v>
      </c>
      <c r="L99" s="142">
        <v>0.44400000000000001</v>
      </c>
      <c r="M99" s="142">
        <v>0.35</v>
      </c>
      <c r="N99" s="142">
        <v>0.75900000000000001</v>
      </c>
      <c r="O99" s="142">
        <v>16</v>
      </c>
      <c r="P99" s="142">
        <v>4.9000000000000004</v>
      </c>
      <c r="Q99" s="142">
        <v>3.5</v>
      </c>
      <c r="R99" s="142">
        <v>0.6</v>
      </c>
      <c r="S99" s="142">
        <v>8.6999999999999993</v>
      </c>
      <c r="T99" s="142">
        <v>7.8E-2</v>
      </c>
      <c r="U99" s="142">
        <v>-2</v>
      </c>
      <c r="V99" s="142">
        <v>-0.1</v>
      </c>
    </row>
    <row r="100" spans="1:22" ht="15">
      <c r="A100" s="148">
        <v>2012</v>
      </c>
      <c r="B100" s="142">
        <v>43</v>
      </c>
      <c r="C100" s="142" t="s">
        <v>184</v>
      </c>
      <c r="D100" s="142" t="s">
        <v>209</v>
      </c>
      <c r="E100" s="142" t="s">
        <v>59</v>
      </c>
      <c r="F100" s="142">
        <v>9</v>
      </c>
      <c r="G100" s="142">
        <v>555</v>
      </c>
      <c r="H100" s="142">
        <v>9182</v>
      </c>
      <c r="I100" s="142">
        <v>3736</v>
      </c>
      <c r="J100" s="142">
        <v>1727</v>
      </c>
      <c r="K100" s="142">
        <v>499</v>
      </c>
      <c r="L100" s="142">
        <v>0.45300000000000001</v>
      </c>
      <c r="M100" s="142">
        <v>0.36199999999999999</v>
      </c>
      <c r="N100" s="142">
        <v>0.75700000000000001</v>
      </c>
      <c r="O100" s="142">
        <v>16.5</v>
      </c>
      <c r="P100" s="142">
        <v>6.7</v>
      </c>
      <c r="Q100" s="142">
        <v>3.1</v>
      </c>
      <c r="R100" s="142">
        <v>0.9</v>
      </c>
      <c r="S100" s="142">
        <v>16.8</v>
      </c>
      <c r="T100" s="142">
        <v>8.7999999999999995E-2</v>
      </c>
      <c r="U100" s="142">
        <v>-1.7</v>
      </c>
      <c r="V100" s="142">
        <v>0.6</v>
      </c>
    </row>
    <row r="101" spans="1:22" ht="15">
      <c r="A101" s="148">
        <v>2012</v>
      </c>
      <c r="B101" s="142">
        <v>49</v>
      </c>
      <c r="C101" s="142" t="s">
        <v>179</v>
      </c>
      <c r="D101" s="142" t="s">
        <v>210</v>
      </c>
      <c r="E101" s="142" t="s">
        <v>211</v>
      </c>
      <c r="F101" s="142">
        <v>8</v>
      </c>
      <c r="G101" s="142">
        <v>472</v>
      </c>
      <c r="H101" s="142">
        <v>6714</v>
      </c>
      <c r="I101" s="142">
        <v>2568</v>
      </c>
      <c r="J101" s="142">
        <v>2166</v>
      </c>
      <c r="K101" s="142">
        <v>643</v>
      </c>
      <c r="L101" s="142">
        <v>0.51700000000000002</v>
      </c>
      <c r="M101" s="142">
        <v>0.218</v>
      </c>
      <c r="N101" s="142">
        <v>0.74</v>
      </c>
      <c r="O101" s="142">
        <v>14.2</v>
      </c>
      <c r="P101" s="142">
        <v>5.4</v>
      </c>
      <c r="Q101" s="142">
        <v>4.5999999999999996</v>
      </c>
      <c r="R101" s="142">
        <v>1.4</v>
      </c>
      <c r="S101" s="142">
        <v>17.8</v>
      </c>
      <c r="T101" s="142">
        <v>0.128</v>
      </c>
      <c r="U101" s="142">
        <v>0.9</v>
      </c>
      <c r="V101" s="142">
        <v>5</v>
      </c>
    </row>
    <row r="102" spans="1:22" ht="15">
      <c r="A102" s="148">
        <v>2011</v>
      </c>
      <c r="B102" s="142">
        <v>34</v>
      </c>
      <c r="C102" s="142" t="s">
        <v>69</v>
      </c>
      <c r="D102" s="142" t="s">
        <v>212</v>
      </c>
      <c r="E102" s="142" t="s">
        <v>213</v>
      </c>
      <c r="F102" s="142">
        <v>8</v>
      </c>
      <c r="G102" s="142">
        <v>456</v>
      </c>
      <c r="H102" s="142">
        <v>8392</v>
      </c>
      <c r="I102" s="142">
        <v>2997</v>
      </c>
      <c r="J102" s="142">
        <v>894</v>
      </c>
      <c r="K102" s="142">
        <v>1421</v>
      </c>
      <c r="L102" s="142">
        <v>0.42299999999999999</v>
      </c>
      <c r="M102" s="142">
        <v>0.33</v>
      </c>
      <c r="N102" s="142">
        <v>0.73099999999999998</v>
      </c>
      <c r="O102" s="142">
        <v>18.399999999999999</v>
      </c>
      <c r="P102" s="142">
        <v>6.6</v>
      </c>
      <c r="Q102" s="142">
        <v>2</v>
      </c>
      <c r="R102" s="142">
        <v>3.1</v>
      </c>
      <c r="S102" s="143">
        <v>10.3</v>
      </c>
      <c r="T102" s="142">
        <v>5.8999999999999997E-2</v>
      </c>
      <c r="U102" s="142">
        <v>-1.9</v>
      </c>
      <c r="V102" s="142">
        <v>0.1</v>
      </c>
    </row>
    <row r="103" spans="1:22" ht="15">
      <c r="A103" s="148">
        <v>2011</v>
      </c>
      <c r="B103" s="142">
        <v>42</v>
      </c>
      <c r="C103" s="142" t="s">
        <v>41</v>
      </c>
      <c r="D103" s="142" t="s">
        <v>214</v>
      </c>
      <c r="E103" s="142"/>
      <c r="F103" s="142">
        <v>8</v>
      </c>
      <c r="G103" s="142">
        <v>475</v>
      </c>
      <c r="H103" s="142">
        <v>8545</v>
      </c>
      <c r="I103" s="142">
        <v>3661</v>
      </c>
      <c r="J103" s="142">
        <v>1159</v>
      </c>
      <c r="K103" s="142">
        <v>448</v>
      </c>
      <c r="L103" s="142">
        <v>0.42199999999999999</v>
      </c>
      <c r="M103" s="142">
        <v>0.39600000000000002</v>
      </c>
      <c r="N103" s="142">
        <v>0.86299999999999999</v>
      </c>
      <c r="O103" s="142">
        <v>18</v>
      </c>
      <c r="P103" s="142">
        <v>7.7</v>
      </c>
      <c r="Q103" s="142">
        <v>2.4</v>
      </c>
      <c r="R103" s="142">
        <v>0.9</v>
      </c>
      <c r="S103" s="143">
        <v>18.600000000000001</v>
      </c>
      <c r="T103" s="142">
        <v>0.105</v>
      </c>
      <c r="U103" s="142">
        <v>0.2</v>
      </c>
      <c r="V103" s="142">
        <v>4.7</v>
      </c>
    </row>
    <row r="104" spans="1:22" ht="15">
      <c r="A104" s="148">
        <v>2011</v>
      </c>
      <c r="B104" s="142">
        <v>55</v>
      </c>
      <c r="C104" s="142" t="s">
        <v>190</v>
      </c>
      <c r="D104" s="142" t="s">
        <v>215</v>
      </c>
      <c r="E104" s="142" t="s">
        <v>143</v>
      </c>
      <c r="F104" s="142">
        <v>10</v>
      </c>
      <c r="G104" s="142">
        <v>598</v>
      </c>
      <c r="H104" s="142">
        <v>12564</v>
      </c>
      <c r="I104" s="142">
        <v>4743</v>
      </c>
      <c r="J104" s="142">
        <v>1208</v>
      </c>
      <c r="K104" s="142">
        <v>1055</v>
      </c>
      <c r="L104" s="142">
        <v>0.45500000000000002</v>
      </c>
      <c r="M104" s="142">
        <v>0.38800000000000001</v>
      </c>
      <c r="N104" s="142">
        <v>0.74199999999999999</v>
      </c>
      <c r="O104" s="142">
        <v>21</v>
      </c>
      <c r="P104" s="142">
        <v>7.9</v>
      </c>
      <c r="Q104" s="142">
        <v>2</v>
      </c>
      <c r="R104" s="142">
        <v>1.8</v>
      </c>
      <c r="S104" s="143">
        <v>14.8</v>
      </c>
      <c r="T104" s="142">
        <v>5.7000000000000002E-2</v>
      </c>
      <c r="U104" s="142">
        <v>-1.9</v>
      </c>
      <c r="V104" s="142">
        <v>0.2</v>
      </c>
    </row>
    <row r="105" spans="1:22" ht="15">
      <c r="A105" s="148">
        <v>2010</v>
      </c>
      <c r="B105" s="142">
        <v>39</v>
      </c>
      <c r="C105" s="142" t="s">
        <v>50</v>
      </c>
      <c r="D105" s="142" t="s">
        <v>216</v>
      </c>
      <c r="E105" s="142" t="s">
        <v>121</v>
      </c>
      <c r="F105" s="142">
        <v>5</v>
      </c>
      <c r="G105" s="142">
        <v>255</v>
      </c>
      <c r="H105" s="142">
        <v>6010</v>
      </c>
      <c r="I105" s="142">
        <v>1731</v>
      </c>
      <c r="J105" s="142">
        <v>1092</v>
      </c>
      <c r="K105" s="142">
        <v>419</v>
      </c>
      <c r="L105" s="142">
        <v>0.47299999999999998</v>
      </c>
      <c r="M105" s="142">
        <v>0.33200000000000002</v>
      </c>
      <c r="N105" s="142">
        <v>0.66600000000000004</v>
      </c>
      <c r="O105" s="142">
        <v>23.6</v>
      </c>
      <c r="P105" s="142">
        <v>6.8</v>
      </c>
      <c r="Q105" s="142">
        <v>4.3</v>
      </c>
      <c r="R105" s="142">
        <v>1.6</v>
      </c>
      <c r="S105" s="143">
        <v>10.5</v>
      </c>
      <c r="T105" s="142">
        <v>8.4000000000000005E-2</v>
      </c>
      <c r="U105" s="142">
        <v>-0.3</v>
      </c>
      <c r="V105" s="142">
        <v>2.6</v>
      </c>
    </row>
    <row r="106" spans="1:22" ht="30">
      <c r="A106" s="148">
        <v>2009</v>
      </c>
      <c r="B106" s="142">
        <v>33</v>
      </c>
      <c r="C106" s="142" t="s">
        <v>124</v>
      </c>
      <c r="D106" s="142" t="s">
        <v>217</v>
      </c>
      <c r="E106" s="142" t="s">
        <v>22</v>
      </c>
      <c r="F106" s="142">
        <v>10</v>
      </c>
      <c r="G106" s="142">
        <v>715</v>
      </c>
      <c r="H106" s="142">
        <v>14875</v>
      </c>
      <c r="I106" s="142">
        <v>4133</v>
      </c>
      <c r="J106" s="142">
        <v>2676</v>
      </c>
      <c r="K106" s="142">
        <v>506</v>
      </c>
      <c r="L106" s="142">
        <v>0.46899999999999997</v>
      </c>
      <c r="M106" s="142">
        <v>0.34499999999999997</v>
      </c>
      <c r="N106" s="142">
        <v>0.64900000000000002</v>
      </c>
      <c r="O106" s="142">
        <v>20.8</v>
      </c>
      <c r="P106" s="142">
        <v>5.8</v>
      </c>
      <c r="Q106" s="142">
        <v>3.7</v>
      </c>
      <c r="R106" s="142">
        <v>0.7</v>
      </c>
      <c r="S106" s="144">
        <v>24.9</v>
      </c>
      <c r="T106" s="142">
        <v>0.08</v>
      </c>
      <c r="U106" s="142">
        <v>-1.7</v>
      </c>
      <c r="V106" s="142">
        <v>1.1000000000000001</v>
      </c>
    </row>
    <row r="107" spans="1:22" ht="15">
      <c r="A107" s="148">
        <v>2009</v>
      </c>
      <c r="B107" s="142">
        <v>37</v>
      </c>
      <c r="C107" s="142" t="s">
        <v>79</v>
      </c>
      <c r="D107" s="142" t="s">
        <v>218</v>
      </c>
      <c r="E107" s="142" t="s">
        <v>219</v>
      </c>
      <c r="F107" s="142">
        <v>7</v>
      </c>
      <c r="G107" s="142">
        <v>424</v>
      </c>
      <c r="H107" s="142">
        <v>7054</v>
      </c>
      <c r="I107" s="142">
        <v>2865</v>
      </c>
      <c r="J107" s="142">
        <v>2153</v>
      </c>
      <c r="K107" s="142">
        <v>349</v>
      </c>
      <c r="L107" s="142">
        <v>0.52400000000000002</v>
      </c>
      <c r="M107" s="142">
        <v>0</v>
      </c>
      <c r="N107" s="142">
        <v>0.60799999999999998</v>
      </c>
      <c r="O107" s="142">
        <v>16.600000000000001</v>
      </c>
      <c r="P107" s="142">
        <v>6.8</v>
      </c>
      <c r="Q107" s="142">
        <v>5.0999999999999996</v>
      </c>
      <c r="R107" s="142">
        <v>0.8</v>
      </c>
      <c r="S107" s="144">
        <v>19</v>
      </c>
      <c r="T107" s="142">
        <v>0.129</v>
      </c>
      <c r="U107" s="142">
        <v>-1.2</v>
      </c>
      <c r="V107" s="142">
        <v>1.4</v>
      </c>
    </row>
    <row r="108" spans="1:22" ht="15">
      <c r="A108" s="148">
        <v>2009</v>
      </c>
      <c r="B108" s="142">
        <v>39</v>
      </c>
      <c r="C108" s="142" t="s">
        <v>34</v>
      </c>
      <c r="D108" s="142" t="s">
        <v>220</v>
      </c>
      <c r="E108" s="142"/>
      <c r="F108" s="142">
        <v>9</v>
      </c>
      <c r="G108" s="142">
        <v>635</v>
      </c>
      <c r="H108" s="142">
        <v>11323</v>
      </c>
      <c r="I108" s="142">
        <v>3919</v>
      </c>
      <c r="J108" s="142">
        <v>2522</v>
      </c>
      <c r="K108" s="142">
        <v>525</v>
      </c>
      <c r="L108" s="142">
        <v>0.45700000000000002</v>
      </c>
      <c r="M108" s="142">
        <v>0.36299999999999999</v>
      </c>
      <c r="N108" s="142">
        <v>0.77</v>
      </c>
      <c r="O108" s="142">
        <v>17.8</v>
      </c>
      <c r="P108" s="142">
        <v>6.2</v>
      </c>
      <c r="Q108" s="142">
        <v>4</v>
      </c>
      <c r="R108" s="142">
        <v>0.8</v>
      </c>
      <c r="S108" s="144">
        <v>25.8</v>
      </c>
      <c r="T108" s="142">
        <v>0.109</v>
      </c>
      <c r="U108" s="142">
        <v>-1</v>
      </c>
      <c r="V108" s="142">
        <v>2.9</v>
      </c>
    </row>
    <row r="109" spans="1:22" ht="15">
      <c r="A109" s="148">
        <v>2009</v>
      </c>
      <c r="B109" s="142">
        <v>41</v>
      </c>
      <c r="C109" s="142" t="s">
        <v>57</v>
      </c>
      <c r="D109" s="142" t="s">
        <v>221</v>
      </c>
      <c r="E109" s="142" t="s">
        <v>173</v>
      </c>
      <c r="F109" s="142">
        <v>10</v>
      </c>
      <c r="G109" s="142">
        <v>539</v>
      </c>
      <c r="H109" s="142">
        <v>12110</v>
      </c>
      <c r="I109" s="142">
        <v>4988</v>
      </c>
      <c r="J109" s="142">
        <v>1120</v>
      </c>
      <c r="K109" s="142">
        <v>583</v>
      </c>
      <c r="L109" s="142">
        <v>0.42</v>
      </c>
      <c r="M109" s="142">
        <v>0.373</v>
      </c>
      <c r="N109" s="142">
        <v>0.879</v>
      </c>
      <c r="O109" s="142">
        <v>22.5</v>
      </c>
      <c r="P109" s="142">
        <v>9.3000000000000007</v>
      </c>
      <c r="Q109" s="142">
        <v>2.1</v>
      </c>
      <c r="R109" s="142">
        <v>1.1000000000000001</v>
      </c>
      <c r="S109" s="144">
        <v>24.3</v>
      </c>
      <c r="T109" s="142">
        <v>9.6000000000000002E-2</v>
      </c>
      <c r="U109" s="142">
        <v>-0.6</v>
      </c>
      <c r="V109" s="142">
        <v>4.2</v>
      </c>
    </row>
    <row r="110" spans="1:22" ht="30">
      <c r="A110" s="148">
        <v>2009</v>
      </c>
      <c r="B110" s="142">
        <v>43</v>
      </c>
      <c r="C110" s="142" t="s">
        <v>72</v>
      </c>
      <c r="D110" s="142" t="s">
        <v>222</v>
      </c>
      <c r="E110" s="142" t="s">
        <v>145</v>
      </c>
      <c r="F110" s="142">
        <v>8</v>
      </c>
      <c r="G110" s="142">
        <v>483</v>
      </c>
      <c r="H110" s="142">
        <v>11299</v>
      </c>
      <c r="I110" s="142">
        <v>5750</v>
      </c>
      <c r="J110" s="142">
        <v>1348</v>
      </c>
      <c r="K110" s="142">
        <v>677</v>
      </c>
      <c r="L110" s="142">
        <v>0.42499999999999999</v>
      </c>
      <c r="M110" s="142">
        <v>0.35799999999999998</v>
      </c>
      <c r="N110" s="142">
        <v>0.83</v>
      </c>
      <c r="O110" s="142">
        <v>23.4</v>
      </c>
      <c r="P110" s="142">
        <v>11.9</v>
      </c>
      <c r="Q110" s="142">
        <v>2.8</v>
      </c>
      <c r="R110" s="142">
        <v>1.4</v>
      </c>
      <c r="S110" s="144">
        <v>20</v>
      </c>
      <c r="T110" s="142">
        <v>8.5000000000000006E-2</v>
      </c>
      <c r="U110" s="142">
        <v>0.2</v>
      </c>
      <c r="V110" s="142">
        <v>6.2</v>
      </c>
    </row>
    <row r="111" spans="1:22" ht="30">
      <c r="A111" s="148">
        <v>2009</v>
      </c>
      <c r="B111" s="142">
        <v>44</v>
      </c>
      <c r="C111" s="142" t="s">
        <v>34</v>
      </c>
      <c r="D111" s="142" t="s">
        <v>223</v>
      </c>
      <c r="E111" s="142" t="s">
        <v>224</v>
      </c>
      <c r="F111" s="142">
        <v>7</v>
      </c>
      <c r="G111" s="142">
        <v>407</v>
      </c>
      <c r="H111" s="142">
        <v>7998</v>
      </c>
      <c r="I111" s="142">
        <v>3198</v>
      </c>
      <c r="J111" s="142">
        <v>1240</v>
      </c>
      <c r="K111" s="142">
        <v>473</v>
      </c>
      <c r="L111" s="142">
        <v>0.43</v>
      </c>
      <c r="M111" s="142">
        <v>0.35199999999999998</v>
      </c>
      <c r="N111" s="142">
        <v>0.79700000000000004</v>
      </c>
      <c r="O111" s="142">
        <v>19.7</v>
      </c>
      <c r="P111" s="142">
        <v>7.9</v>
      </c>
      <c r="Q111" s="142">
        <v>3</v>
      </c>
      <c r="R111" s="142">
        <v>1.2</v>
      </c>
      <c r="S111" s="144">
        <v>13.9</v>
      </c>
      <c r="T111" s="142">
        <v>8.3000000000000004E-2</v>
      </c>
      <c r="U111" s="142">
        <v>-0.5</v>
      </c>
      <c r="V111" s="142">
        <v>2.9</v>
      </c>
    </row>
    <row r="112" spans="1:22" ht="15">
      <c r="A112" s="148">
        <v>2008</v>
      </c>
      <c r="B112" s="142">
        <v>36</v>
      </c>
      <c r="C112" s="142" t="s">
        <v>124</v>
      </c>
      <c r="D112" s="142" t="s">
        <v>225</v>
      </c>
      <c r="E112" s="142"/>
      <c r="F112" s="142">
        <v>8</v>
      </c>
      <c r="G112" s="142">
        <v>471</v>
      </c>
      <c r="H112" s="142">
        <v>9216</v>
      </c>
      <c r="I112" s="142">
        <v>2479</v>
      </c>
      <c r="J112" s="142">
        <v>3362</v>
      </c>
      <c r="K112" s="142">
        <v>280</v>
      </c>
      <c r="L112" s="142">
        <v>0.52800000000000002</v>
      </c>
      <c r="M112" s="142">
        <v>0</v>
      </c>
      <c r="N112" s="142">
        <v>0.55100000000000005</v>
      </c>
      <c r="O112" s="145">
        <v>19.600000000000001</v>
      </c>
      <c r="P112" s="142">
        <v>5.3</v>
      </c>
      <c r="Q112" s="142">
        <v>7.1</v>
      </c>
      <c r="R112" s="142">
        <v>0.6</v>
      </c>
      <c r="S112" s="143">
        <v>20.9</v>
      </c>
      <c r="T112" s="142">
        <v>0.109</v>
      </c>
      <c r="U112" s="142">
        <v>-1.9</v>
      </c>
      <c r="V112" s="142">
        <v>0.1</v>
      </c>
    </row>
    <row r="113" spans="1:22" ht="30">
      <c r="A113" s="148">
        <v>2007</v>
      </c>
      <c r="B113" s="142">
        <v>37</v>
      </c>
      <c r="C113" s="142" t="s">
        <v>124</v>
      </c>
      <c r="D113" s="142" t="s">
        <v>226</v>
      </c>
      <c r="E113" s="142" t="s">
        <v>171</v>
      </c>
      <c r="F113" s="142">
        <v>11</v>
      </c>
      <c r="G113" s="142">
        <v>433</v>
      </c>
      <c r="H113" s="142">
        <v>8271</v>
      </c>
      <c r="I113" s="142">
        <v>2333</v>
      </c>
      <c r="J113" s="142">
        <v>1686</v>
      </c>
      <c r="K113" s="142">
        <v>901</v>
      </c>
      <c r="L113" s="142">
        <v>0.46300000000000002</v>
      </c>
      <c r="M113" s="142">
        <v>0.34</v>
      </c>
      <c r="N113" s="142">
        <v>0.70499999999999996</v>
      </c>
      <c r="O113" s="142">
        <v>19.100000000000001</v>
      </c>
      <c r="P113" s="142">
        <v>5.4</v>
      </c>
      <c r="Q113" s="142">
        <v>3.9</v>
      </c>
      <c r="R113" s="142">
        <v>2.1</v>
      </c>
      <c r="S113" s="143">
        <v>18.5</v>
      </c>
      <c r="T113" s="146">
        <v>0.107</v>
      </c>
      <c r="U113" s="148"/>
      <c r="V113" s="148"/>
    </row>
  </sheetData>
  <conditionalFormatting sqref="F1:G1">
    <cfRule type="cellIs" dxfId="33" priority="48" operator="greaterThan">
      <formula>82</formula>
    </cfRule>
  </conditionalFormatting>
  <conditionalFormatting sqref="F3:G3">
    <cfRule type="cellIs" dxfId="32" priority="75" operator="greaterThan">
      <formula>82</formula>
    </cfRule>
  </conditionalFormatting>
  <conditionalFormatting sqref="G4:G7">
    <cfRule type="cellIs" dxfId="31" priority="69" operator="greaterThan">
      <formula>82</formula>
    </cfRule>
  </conditionalFormatting>
  <conditionalFormatting sqref="G5 G98:G101">
    <cfRule type="cellIs" dxfId="30" priority="73" operator="greaterThan">
      <formula>82</formula>
    </cfRule>
  </conditionalFormatting>
  <conditionalFormatting sqref="G10">
    <cfRule type="cellIs" dxfId="29" priority="68" operator="greaterThan">
      <formula>82</formula>
    </cfRule>
  </conditionalFormatting>
  <conditionalFormatting sqref="G10:G11">
    <cfRule type="cellIs" dxfId="28" priority="65" operator="greaterThan">
      <formula>82</formula>
    </cfRule>
  </conditionalFormatting>
  <conditionalFormatting sqref="G14:G30">
    <cfRule type="cellIs" dxfId="27" priority="49" operator="greaterThan">
      <formula>82</formula>
    </cfRule>
  </conditionalFormatting>
  <conditionalFormatting sqref="G33:G60">
    <cfRule type="cellIs" dxfId="26" priority="25" operator="greaterThan">
      <formula>82</formula>
    </cfRule>
  </conditionalFormatting>
  <conditionalFormatting sqref="G48:G49">
    <cfRule type="cellIs" dxfId="25" priority="34" operator="greaterThan">
      <formula>82</formula>
    </cfRule>
  </conditionalFormatting>
  <conditionalFormatting sqref="G63:G93">
    <cfRule type="cellIs" dxfId="24" priority="10" operator="greaterThan">
      <formula>82</formula>
    </cfRule>
  </conditionalFormatting>
  <conditionalFormatting sqref="G98:G113">
    <cfRule type="cellIs" dxfId="23" priority="1" operator="greaterThan">
      <formula>82</formula>
    </cfRule>
  </conditionalFormatting>
  <pageMargins left="0.7" right="0.7" top="0.75" bottom="0.75" header="0.3" footer="0.3"/>
  <ignoredErrors>
    <ignoredError sqref="AO38:AO41 AP40:AP41 AP38:AP39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46B3-2882-CC49-931D-C8963759C701}">
  <dimension ref="B2:BH64"/>
  <sheetViews>
    <sheetView tabSelected="1" topLeftCell="E6" zoomScale="134" workbookViewId="0">
      <selection activeCell="F12" sqref="F12"/>
    </sheetView>
  </sheetViews>
  <sheetFormatPr defaultColWidth="10.875" defaultRowHeight="15.95"/>
  <cols>
    <col min="1" max="1" width="10.875" style="13"/>
    <col min="2" max="2" width="23.625" style="14" customWidth="1"/>
    <col min="3" max="3" width="19.5" style="13" customWidth="1"/>
    <col min="4" max="4" width="22" style="13" customWidth="1"/>
    <col min="5" max="5" width="10.875" style="13"/>
    <col min="6" max="6" width="26.5" style="13" customWidth="1"/>
    <col min="7" max="7" width="31.375" style="13" customWidth="1"/>
    <col min="8" max="8" width="30.375" style="13" customWidth="1"/>
    <col min="9" max="10" width="10.875" style="13"/>
    <col min="11" max="11" width="14" style="13" customWidth="1"/>
    <col min="12" max="12" width="20" style="13" customWidth="1"/>
    <col min="13" max="13" width="24.875" style="13" customWidth="1"/>
    <col min="14" max="14" width="10.875" style="13"/>
    <col min="15" max="15" width="15.5" style="13" customWidth="1"/>
    <col min="16" max="16" width="22.625" style="13" customWidth="1"/>
    <col min="17" max="17" width="26.375" style="13" customWidth="1"/>
    <col min="18" max="19" width="10.875" style="13"/>
    <col min="20" max="20" width="13.375" style="13" customWidth="1"/>
    <col min="21" max="21" width="26.875" style="13" customWidth="1"/>
    <col min="22" max="22" width="21.375" style="13" customWidth="1"/>
    <col min="23" max="25" width="10.875" style="13"/>
    <col min="26" max="26" width="20.375" style="13" customWidth="1"/>
    <col min="27" max="27" width="19" style="13" customWidth="1"/>
    <col min="28" max="28" width="19.625" style="13" customWidth="1"/>
    <col min="29" max="29" width="23.375" style="13" customWidth="1"/>
    <col min="30" max="32" width="10.875" style="13"/>
    <col min="33" max="33" width="24.375" style="13" customWidth="1"/>
    <col min="34" max="35" width="12.5" style="13" customWidth="1"/>
    <col min="36" max="39" width="10.875" style="13"/>
    <col min="40" max="40" width="14.375" style="13" customWidth="1"/>
    <col min="41" max="41" width="12.375" style="13" customWidth="1"/>
    <col min="42" max="43" width="17.5" style="13" customWidth="1"/>
    <col min="44" max="50" width="10.875" style="13"/>
    <col min="51" max="51" width="19" style="13" customWidth="1"/>
    <col min="52" max="52" width="19" style="13" bestFit="1" customWidth="1"/>
    <col min="53" max="53" width="18.375" style="13" bestFit="1" customWidth="1"/>
    <col min="54" max="55" width="18.125" style="13" bestFit="1" customWidth="1"/>
    <col min="56" max="57" width="10.875" style="13"/>
    <col min="58" max="58" width="18.375" style="13" bestFit="1" customWidth="1"/>
    <col min="59" max="59" width="10.875" style="13"/>
    <col min="60" max="60" width="18.375" style="13" bestFit="1" customWidth="1"/>
    <col min="61" max="16384" width="10.875" style="13"/>
  </cols>
  <sheetData>
    <row r="2" spans="2:43" ht="68.099999999999994" customHeight="1">
      <c r="B2" s="15" t="s">
        <v>227</v>
      </c>
      <c r="C2" s="15" t="s">
        <v>228</v>
      </c>
      <c r="F2" s="15" t="s">
        <v>227</v>
      </c>
      <c r="G2" s="15" t="s">
        <v>229</v>
      </c>
      <c r="K2" s="15" t="s">
        <v>230</v>
      </c>
      <c r="L2" s="15" t="s">
        <v>231</v>
      </c>
      <c r="O2" s="15" t="s">
        <v>230</v>
      </c>
      <c r="P2" s="15" t="s">
        <v>232</v>
      </c>
      <c r="T2" s="15" t="s">
        <v>230</v>
      </c>
      <c r="U2" s="15" t="s">
        <v>233</v>
      </c>
      <c r="AG2" s="13" t="s">
        <v>234</v>
      </c>
    </row>
    <row r="3" spans="2:43">
      <c r="F3" s="14"/>
      <c r="K3" s="14"/>
      <c r="O3" s="14"/>
      <c r="T3" s="14"/>
    </row>
    <row r="4" spans="2:43" ht="33.950000000000003" customHeight="1">
      <c r="B4" s="17" t="s">
        <v>235</v>
      </c>
      <c r="C4" s="18" t="s">
        <v>236</v>
      </c>
      <c r="D4" s="18" t="s">
        <v>237</v>
      </c>
      <c r="F4" s="17" t="s">
        <v>235</v>
      </c>
      <c r="G4" s="18" t="s">
        <v>236</v>
      </c>
      <c r="H4" s="18" t="s">
        <v>237</v>
      </c>
      <c r="K4" s="17" t="s">
        <v>235</v>
      </c>
      <c r="L4" s="18" t="s">
        <v>236</v>
      </c>
      <c r="M4" s="18" t="s">
        <v>237</v>
      </c>
      <c r="O4" s="17" t="s">
        <v>235</v>
      </c>
      <c r="P4" s="18" t="s">
        <v>236</v>
      </c>
      <c r="Q4" s="18" t="s">
        <v>237</v>
      </c>
      <c r="T4" s="17" t="s">
        <v>235</v>
      </c>
      <c r="U4" s="18" t="s">
        <v>236</v>
      </c>
      <c r="V4" s="18" t="s">
        <v>237</v>
      </c>
      <c r="Z4" s="20" t="s">
        <v>238</v>
      </c>
      <c r="AA4" s="20" t="s">
        <v>236</v>
      </c>
      <c r="AB4" s="20" t="s">
        <v>239</v>
      </c>
      <c r="AC4" s="20" t="s">
        <v>240</v>
      </c>
      <c r="AG4" s="24" t="s">
        <v>241</v>
      </c>
      <c r="AH4" s="26" t="s">
        <v>242</v>
      </c>
      <c r="AI4" s="26" t="s">
        <v>243</v>
      </c>
      <c r="AN4" s="42" t="s">
        <v>244</v>
      </c>
    </row>
    <row r="5" spans="2:43" ht="33.950000000000003" customHeight="1">
      <c r="B5" s="19" t="s">
        <v>245</v>
      </c>
      <c r="C5" s="16">
        <v>126529000</v>
      </c>
      <c r="D5" s="16">
        <f>C5/14</f>
        <v>9037785.7142857146</v>
      </c>
      <c r="F5" s="19" t="s">
        <v>245</v>
      </c>
      <c r="G5" s="16">
        <f>C5*1.1</f>
        <v>139181900</v>
      </c>
      <c r="H5" s="16">
        <f>G5/14</f>
        <v>9941564.2857142854</v>
      </c>
      <c r="K5" s="19" t="s">
        <v>245</v>
      </c>
      <c r="L5" s="16">
        <f>G5*1.1</f>
        <v>153100090</v>
      </c>
      <c r="M5" s="16">
        <f>L5/14</f>
        <v>10935720.714285715</v>
      </c>
      <c r="O5" s="19" t="s">
        <v>245</v>
      </c>
      <c r="P5" s="16">
        <f>L5*1.1</f>
        <v>168410099</v>
      </c>
      <c r="Q5" s="16">
        <f>P5/14</f>
        <v>12029292.785714285</v>
      </c>
      <c r="T5" s="19" t="s">
        <v>245</v>
      </c>
      <c r="U5" s="16">
        <f>P5*1.1</f>
        <v>185251108.90000001</v>
      </c>
      <c r="V5" s="16">
        <f>U5/14</f>
        <v>13232222.064285714</v>
      </c>
      <c r="Z5" s="19" t="s">
        <v>246</v>
      </c>
      <c r="AA5" s="16">
        <f>0.05678*C6</f>
        <v>7982586.6399999997</v>
      </c>
      <c r="AB5" s="22">
        <v>5.6779999999999997E-2</v>
      </c>
      <c r="AC5" s="23" t="s">
        <v>247</v>
      </c>
      <c r="AG5" s="24" t="s">
        <v>248</v>
      </c>
      <c r="AH5" s="27"/>
      <c r="AI5" s="27"/>
      <c r="AK5" s="13">
        <f>104.88-80.96</f>
        <v>23.92</v>
      </c>
      <c r="AO5" s="32"/>
    </row>
    <row r="6" spans="2:43" ht="33.950000000000003" customHeight="1">
      <c r="B6" s="19" t="s">
        <v>249</v>
      </c>
      <c r="C6" s="16">
        <v>140588000</v>
      </c>
      <c r="D6" s="16">
        <f>C6/14</f>
        <v>10042000</v>
      </c>
      <c r="F6" s="19" t="s">
        <v>249</v>
      </c>
      <c r="G6" s="16">
        <f t="shared" ref="G6:G9" si="0">C6*1.1</f>
        <v>154646800</v>
      </c>
      <c r="H6" s="16">
        <f t="shared" ref="H6:H11" si="1">G6/14</f>
        <v>11046200</v>
      </c>
      <c r="K6" s="19" t="s">
        <v>249</v>
      </c>
      <c r="L6" s="16">
        <f t="shared" ref="L6:L11" si="2">G6*1.1</f>
        <v>170111480</v>
      </c>
      <c r="M6" s="16">
        <f t="shared" ref="M6:M11" si="3">L6/14</f>
        <v>12150820</v>
      </c>
      <c r="O6" s="19" t="s">
        <v>249</v>
      </c>
      <c r="P6" s="16">
        <f t="shared" ref="P6:P11" si="4">L6*1.1</f>
        <v>187122628.00000003</v>
      </c>
      <c r="Q6" s="16">
        <f t="shared" ref="Q6:Q11" si="5">P6/14</f>
        <v>13365902.000000002</v>
      </c>
      <c r="T6" s="19" t="s">
        <v>249</v>
      </c>
      <c r="U6" s="16">
        <f t="shared" ref="U6:U11" si="6">P6*1.1</f>
        <v>205834890.80000004</v>
      </c>
      <c r="V6" s="16">
        <f t="shared" ref="V6:V11" si="7">U6/14</f>
        <v>14702492.200000003</v>
      </c>
      <c r="Z6" s="19" t="s">
        <v>250</v>
      </c>
      <c r="AA6" s="16">
        <f>0.0912*C6</f>
        <v>12821625.6</v>
      </c>
      <c r="AB6" s="21">
        <v>9.1200000000000003E-2</v>
      </c>
      <c r="AC6" s="23" t="s">
        <v>247</v>
      </c>
      <c r="AG6" s="24" t="s">
        <v>251</v>
      </c>
      <c r="AH6" s="28"/>
      <c r="AI6" s="27"/>
      <c r="AN6" s="35" t="s">
        <v>252</v>
      </c>
      <c r="AO6" s="36" t="s">
        <v>253</v>
      </c>
      <c r="AP6" s="35" t="s">
        <v>254</v>
      </c>
      <c r="AQ6" s="35" t="s">
        <v>255</v>
      </c>
    </row>
    <row r="7" spans="2:43" ht="33.950000000000003" customHeight="1">
      <c r="B7" s="19" t="s">
        <v>256</v>
      </c>
      <c r="C7" s="16">
        <v>170814000</v>
      </c>
      <c r="D7" s="16">
        <f>C7/14</f>
        <v>12201000</v>
      </c>
      <c r="F7" s="19" t="s">
        <v>256</v>
      </c>
      <c r="G7" s="16">
        <f t="shared" si="0"/>
        <v>187895400.00000003</v>
      </c>
      <c r="H7" s="16">
        <f t="shared" si="1"/>
        <v>13421100.000000002</v>
      </c>
      <c r="K7" s="19" t="s">
        <v>256</v>
      </c>
      <c r="L7" s="16">
        <f t="shared" si="2"/>
        <v>206684940.00000006</v>
      </c>
      <c r="M7" s="16">
        <f t="shared" si="3"/>
        <v>14763210.000000004</v>
      </c>
      <c r="O7" s="19" t="s">
        <v>256</v>
      </c>
      <c r="P7" s="16">
        <f t="shared" si="4"/>
        <v>227353434.00000009</v>
      </c>
      <c r="Q7" s="16">
        <f t="shared" si="5"/>
        <v>16239531.000000006</v>
      </c>
      <c r="T7" s="19" t="s">
        <v>256</v>
      </c>
      <c r="U7" s="16">
        <f t="shared" si="6"/>
        <v>250088777.40000013</v>
      </c>
      <c r="V7" s="16">
        <f t="shared" si="7"/>
        <v>17863484.100000009</v>
      </c>
      <c r="Z7" s="19" t="s">
        <v>257</v>
      </c>
      <c r="AA7" s="16"/>
      <c r="AB7" s="22"/>
      <c r="AC7" s="23" t="s">
        <v>247</v>
      </c>
      <c r="AG7" s="24" t="s">
        <v>258</v>
      </c>
      <c r="AH7" s="28"/>
      <c r="AI7" s="27"/>
      <c r="AN7" s="37" t="s">
        <v>259</v>
      </c>
      <c r="AO7" s="38">
        <v>0.25</v>
      </c>
      <c r="AP7" s="39" t="s">
        <v>260</v>
      </c>
      <c r="AQ7" s="40" t="s">
        <v>260</v>
      </c>
    </row>
    <row r="8" spans="2:43" ht="33.950000000000003" customHeight="1">
      <c r="B8" s="19" t="s">
        <v>261</v>
      </c>
      <c r="C8" s="16">
        <v>178132000</v>
      </c>
      <c r="D8" s="16">
        <f>C8/14</f>
        <v>12723714.285714285</v>
      </c>
      <c r="F8" s="19" t="s">
        <v>261</v>
      </c>
      <c r="G8" s="16">
        <f t="shared" si="0"/>
        <v>195945200.00000003</v>
      </c>
      <c r="H8" s="16">
        <f t="shared" si="1"/>
        <v>13996085.714285716</v>
      </c>
      <c r="K8" s="19" t="s">
        <v>261</v>
      </c>
      <c r="L8" s="16">
        <f t="shared" si="2"/>
        <v>215539720.00000006</v>
      </c>
      <c r="M8" s="16">
        <f t="shared" si="3"/>
        <v>15395694.285714289</v>
      </c>
      <c r="O8" s="19" t="s">
        <v>261</v>
      </c>
      <c r="P8" s="16">
        <f t="shared" si="4"/>
        <v>237093692.00000009</v>
      </c>
      <c r="Q8" s="16">
        <f t="shared" si="5"/>
        <v>16935263.71428572</v>
      </c>
      <c r="T8" s="19" t="s">
        <v>261</v>
      </c>
      <c r="U8" s="16">
        <f t="shared" si="6"/>
        <v>260803061.20000011</v>
      </c>
      <c r="V8" s="16">
        <f t="shared" si="7"/>
        <v>18628790.085714292</v>
      </c>
      <c r="Z8" s="19"/>
      <c r="AA8" s="16"/>
      <c r="AB8" s="16"/>
      <c r="AC8" s="23"/>
      <c r="AG8" s="24" t="s">
        <v>262</v>
      </c>
      <c r="AH8" s="27"/>
      <c r="AI8" s="27"/>
      <c r="AN8" s="37" t="s">
        <v>263</v>
      </c>
      <c r="AO8" s="38">
        <v>0.3</v>
      </c>
      <c r="AP8" s="39" t="s">
        <v>264</v>
      </c>
      <c r="AQ8" s="40" t="s">
        <v>264</v>
      </c>
    </row>
    <row r="9" spans="2:43" ht="33.950000000000003" customHeight="1">
      <c r="B9" s="19" t="s">
        <v>265</v>
      </c>
      <c r="C9" s="16">
        <v>188931000</v>
      </c>
      <c r="D9" s="16">
        <f>C9/14</f>
        <v>13495071.428571429</v>
      </c>
      <c r="F9" s="19" t="s">
        <v>265</v>
      </c>
      <c r="G9" s="16">
        <f t="shared" si="0"/>
        <v>207824100.00000003</v>
      </c>
      <c r="H9" s="16">
        <f t="shared" si="1"/>
        <v>14844578.571428573</v>
      </c>
      <c r="K9" s="19" t="s">
        <v>265</v>
      </c>
      <c r="L9" s="16">
        <f t="shared" si="2"/>
        <v>228606510.00000006</v>
      </c>
      <c r="M9" s="16">
        <f t="shared" si="3"/>
        <v>16329036.428571433</v>
      </c>
      <c r="O9" s="19" t="s">
        <v>265</v>
      </c>
      <c r="P9" s="16">
        <f t="shared" si="4"/>
        <v>251467161.00000009</v>
      </c>
      <c r="Q9" s="16">
        <f t="shared" si="5"/>
        <v>17961940.071428578</v>
      </c>
      <c r="T9" s="19" t="s">
        <v>265</v>
      </c>
      <c r="U9" s="16">
        <f t="shared" si="6"/>
        <v>276613877.10000014</v>
      </c>
      <c r="V9" s="16">
        <f t="shared" si="7"/>
        <v>19758134.078571439</v>
      </c>
      <c r="Z9" s="19"/>
      <c r="AA9" s="16"/>
      <c r="AB9" s="16"/>
      <c r="AC9" s="23"/>
      <c r="AG9" s="24" t="s">
        <v>266</v>
      </c>
      <c r="AH9" s="29"/>
      <c r="AI9" s="27"/>
      <c r="AN9" s="37" t="s">
        <v>267</v>
      </c>
      <c r="AO9" s="38">
        <v>0.3</v>
      </c>
      <c r="AP9" s="39" t="s">
        <v>260</v>
      </c>
      <c r="AQ9" s="40" t="s">
        <v>260</v>
      </c>
    </row>
    <row r="10" spans="2:43" ht="33.950000000000003">
      <c r="F10" s="13" t="s">
        <v>268</v>
      </c>
      <c r="G10" s="49">
        <f>G6*0.0912</f>
        <v>14103788.16</v>
      </c>
      <c r="H10" s="13">
        <f t="shared" si="1"/>
        <v>1007413.4400000001</v>
      </c>
      <c r="L10" s="13">
        <f t="shared" si="2"/>
        <v>15514166.976000002</v>
      </c>
      <c r="M10" s="13">
        <f t="shared" si="3"/>
        <v>1108154.7840000002</v>
      </c>
      <c r="P10" s="13">
        <f t="shared" si="4"/>
        <v>17065583.673600003</v>
      </c>
      <c r="Q10" s="13">
        <f t="shared" si="5"/>
        <v>1218970.2624000001</v>
      </c>
      <c r="U10" s="13">
        <f t="shared" si="6"/>
        <v>18772142.040960006</v>
      </c>
      <c r="V10" s="13">
        <f t="shared" si="7"/>
        <v>1340867.2886400004</v>
      </c>
      <c r="AG10" s="24" t="s">
        <v>269</v>
      </c>
      <c r="AH10" s="27"/>
      <c r="AI10" s="27"/>
      <c r="AN10" s="37" t="s">
        <v>270</v>
      </c>
      <c r="AO10" s="38">
        <v>0.35</v>
      </c>
      <c r="AP10" s="39" t="s">
        <v>264</v>
      </c>
      <c r="AQ10" s="40" t="s">
        <v>264</v>
      </c>
    </row>
    <row r="11" spans="2:43" ht="33.950000000000003">
      <c r="F11" s="13" t="s">
        <v>271</v>
      </c>
      <c r="G11" s="160">
        <f>G6*0.0368</f>
        <v>5691002.2400000002</v>
      </c>
      <c r="H11" s="13">
        <f t="shared" si="1"/>
        <v>406500.16000000003</v>
      </c>
      <c r="L11" s="13">
        <f t="shared" si="2"/>
        <v>6260102.4640000006</v>
      </c>
      <c r="M11" s="13">
        <f t="shared" si="3"/>
        <v>447150.17600000004</v>
      </c>
      <c r="P11" s="49">
        <f t="shared" si="4"/>
        <v>6886112.7104000011</v>
      </c>
      <c r="Q11" s="13">
        <f t="shared" si="5"/>
        <v>491865.19360000006</v>
      </c>
      <c r="U11" s="13">
        <f t="shared" si="6"/>
        <v>7574723.9814400021</v>
      </c>
      <c r="V11" s="13">
        <f t="shared" si="7"/>
        <v>541051.71296000015</v>
      </c>
      <c r="AG11" s="24" t="s">
        <v>272</v>
      </c>
      <c r="AH11" s="29"/>
      <c r="AI11" s="29"/>
      <c r="AN11" s="37" t="s">
        <v>273</v>
      </c>
      <c r="AO11" s="38">
        <v>0.35</v>
      </c>
      <c r="AP11" s="39" t="s">
        <v>260</v>
      </c>
      <c r="AQ11" s="40" t="s">
        <v>260</v>
      </c>
    </row>
    <row r="12" spans="2:43" ht="167.1" customHeight="1">
      <c r="D12" s="48"/>
      <c r="F12" s="13" t="s">
        <v>246</v>
      </c>
      <c r="G12" s="30">
        <f>G6*0.05678</f>
        <v>8780845.3039999995</v>
      </c>
      <c r="AG12" s="24" t="s">
        <v>274</v>
      </c>
      <c r="AH12" s="29"/>
      <c r="AI12" s="27"/>
      <c r="AN12" s="24" t="s">
        <v>275</v>
      </c>
      <c r="AO12" s="24" t="s">
        <v>276</v>
      </c>
      <c r="AP12" s="24" t="s">
        <v>277</v>
      </c>
      <c r="AQ12" s="41"/>
    </row>
    <row r="13" spans="2:43" ht="68.099999999999994">
      <c r="D13" s="48"/>
      <c r="F13" s="13" t="s">
        <v>278</v>
      </c>
      <c r="AG13" s="24" t="s">
        <v>279</v>
      </c>
      <c r="AH13" s="27"/>
      <c r="AI13" s="27"/>
      <c r="AN13" s="14"/>
      <c r="AO13" s="41"/>
      <c r="AP13" s="41"/>
      <c r="AQ13" s="41"/>
    </row>
    <row r="14" spans="2:43">
      <c r="AG14" s="24"/>
      <c r="AH14" s="25"/>
      <c r="AI14" s="25"/>
      <c r="AN14" s="14"/>
    </row>
    <row r="15" spans="2:43">
      <c r="AG15" s="24"/>
      <c r="AH15" s="25"/>
      <c r="AI15" s="25"/>
    </row>
    <row r="16" spans="2:43">
      <c r="AG16" s="24"/>
      <c r="AH16" s="25"/>
      <c r="AI16" s="25"/>
    </row>
    <row r="17" spans="2:14" ht="38.1" customHeight="1">
      <c r="B17" s="17" t="s">
        <v>280</v>
      </c>
    </row>
    <row r="18" spans="2:14" ht="207.95" customHeight="1">
      <c r="B18" s="14" t="s">
        <v>281</v>
      </c>
      <c r="L18" s="13">
        <f>44/75</f>
        <v>0.58666666666666667</v>
      </c>
    </row>
    <row r="19" spans="2:14" ht="311.10000000000002" customHeight="1">
      <c r="B19" s="14" t="s">
        <v>282</v>
      </c>
    </row>
    <row r="20" spans="2:14" ht="150" customHeight="1">
      <c r="B20" s="14" t="s">
        <v>283</v>
      </c>
      <c r="I20" s="13">
        <f>15/34</f>
        <v>0.44117647058823528</v>
      </c>
      <c r="M20" s="13">
        <f>M19-(0.575*95.12)</f>
        <v>-54.693999999999996</v>
      </c>
      <c r="N20" s="13">
        <f>M20*EXP(-0.05)</f>
        <v>-52.026542143642047</v>
      </c>
    </row>
    <row r="21" spans="2:14" ht="387" customHeight="1">
      <c r="B21" s="14" t="s">
        <v>284</v>
      </c>
    </row>
    <row r="22" spans="2:14" ht="68.099999999999994">
      <c r="B22" s="14" t="s">
        <v>285</v>
      </c>
    </row>
    <row r="27" spans="2:14">
      <c r="F27" s="13">
        <f>13*EXP(-0.025)</f>
        <v>12.679028856368324</v>
      </c>
      <c r="H27" s="13">
        <f>1.19*150</f>
        <v>178.5</v>
      </c>
      <c r="I27" s="13">
        <f>H27*1.19</f>
        <v>212.41499999999999</v>
      </c>
      <c r="J27" s="13">
        <f t="shared" ref="J27:L27" si="8">I27*1.19</f>
        <v>252.77384999999998</v>
      </c>
      <c r="K27" s="13">
        <f t="shared" si="8"/>
        <v>300.80088149999995</v>
      </c>
      <c r="L27" s="13">
        <f t="shared" si="8"/>
        <v>357.9530489849999</v>
      </c>
    </row>
    <row r="28" spans="2:14">
      <c r="H28" s="13">
        <f>H27*0.85</f>
        <v>151.72499999999999</v>
      </c>
      <c r="I28" s="13">
        <f>I27*0.85</f>
        <v>180.55274999999997</v>
      </c>
    </row>
    <row r="29" spans="2:14">
      <c r="H29" s="13">
        <f>H30*1.19</f>
        <v>151.72499999999999</v>
      </c>
      <c r="I29" s="13">
        <f>I30*1.19</f>
        <v>128.96625</v>
      </c>
    </row>
    <row r="30" spans="2:14">
      <c r="H30" s="13">
        <f>0.85*150</f>
        <v>127.5</v>
      </c>
      <c r="I30" s="13">
        <f>H30*0.85</f>
        <v>108.375</v>
      </c>
      <c r="J30" s="13">
        <f t="shared" ref="J30:L30" si="9">I30*0.85</f>
        <v>92.118749999999991</v>
      </c>
      <c r="K30" s="13">
        <f t="shared" si="9"/>
        <v>78.300937499999989</v>
      </c>
      <c r="L30" s="13">
        <f t="shared" si="9"/>
        <v>66.555796874999984</v>
      </c>
    </row>
    <row r="33" spans="9:9">
      <c r="I33" s="13">
        <f>EXP(-0.1*(2/3))</f>
        <v>0.93550698503161778</v>
      </c>
    </row>
    <row r="34" spans="9:9">
      <c r="I34" s="13">
        <f>25/60</f>
        <v>0.41666666666666669</v>
      </c>
    </row>
    <row r="54" spans="50:60">
      <c r="AX54" s="13" t="s">
        <v>286</v>
      </c>
    </row>
    <row r="55" spans="50:60">
      <c r="AY55" s="31">
        <v>2025</v>
      </c>
      <c r="AZ55" s="31">
        <v>2026</v>
      </c>
      <c r="BA55" s="31">
        <v>2027</v>
      </c>
      <c r="BB55" s="31">
        <v>2028</v>
      </c>
      <c r="BC55" s="31">
        <v>2029</v>
      </c>
    </row>
    <row r="56" spans="50:60">
      <c r="AX56" s="31" t="s">
        <v>230</v>
      </c>
      <c r="AY56" s="30">
        <v>140588000</v>
      </c>
      <c r="AZ56" s="30">
        <f>AY56*1.1</f>
        <v>154646800</v>
      </c>
      <c r="BA56" s="30">
        <f>AZ56*1.1</f>
        <v>170111480</v>
      </c>
      <c r="BB56" s="30">
        <f t="shared" ref="BB56:BC56" si="10">BA56*1.1</f>
        <v>187122628.00000003</v>
      </c>
      <c r="BC56" s="30">
        <f t="shared" si="10"/>
        <v>205834890.80000004</v>
      </c>
    </row>
    <row r="57" spans="50:60">
      <c r="AX57" s="31"/>
    </row>
    <row r="58" spans="50:60">
      <c r="AX58" s="31" t="s">
        <v>0</v>
      </c>
      <c r="AY58" s="13">
        <v>2025</v>
      </c>
      <c r="AZ58" s="13">
        <v>2026</v>
      </c>
      <c r="BA58" s="13">
        <v>2027</v>
      </c>
      <c r="BB58" s="13">
        <v>2028</v>
      </c>
      <c r="BC58" s="13">
        <v>2029</v>
      </c>
    </row>
    <row r="59" spans="50:60">
      <c r="AX59" s="31" t="s">
        <v>287</v>
      </c>
      <c r="AY59" s="30">
        <v>10000000</v>
      </c>
      <c r="AZ59" s="30">
        <f>AY59*1.08</f>
        <v>10800000</v>
      </c>
      <c r="BA59" s="30">
        <f t="shared" ref="BA59:BC59" si="11">AZ59*1.08</f>
        <v>11664000</v>
      </c>
      <c r="BB59" s="30">
        <f t="shared" si="11"/>
        <v>12597120</v>
      </c>
      <c r="BC59" s="30">
        <f t="shared" si="11"/>
        <v>13604889.600000001</v>
      </c>
      <c r="BE59" s="13" t="s">
        <v>288</v>
      </c>
      <c r="BF59" s="30">
        <f>SUM(AY59:BC59)</f>
        <v>58666009.600000001</v>
      </c>
      <c r="BG59" s="13" t="s">
        <v>289</v>
      </c>
      <c r="BH59" s="30">
        <f>AY59+AZ59/1.05+BA59/(1.05^2)+BB59/(1.05^3)+BC59/(1.05^4)</f>
        <v>52939948.35485214</v>
      </c>
    </row>
    <row r="60" spans="50:60">
      <c r="AX60" s="31" t="s">
        <v>290</v>
      </c>
      <c r="AY60" s="30">
        <v>12960000</v>
      </c>
      <c r="AZ60" s="30">
        <f>AY60*0.95</f>
        <v>12312000</v>
      </c>
      <c r="BA60" s="30">
        <f t="shared" ref="BA60:BC60" si="12">AZ60*0.95</f>
        <v>11696400</v>
      </c>
      <c r="BB60" s="30">
        <f t="shared" si="12"/>
        <v>11111580</v>
      </c>
      <c r="BC60" s="30">
        <f t="shared" si="12"/>
        <v>10556001</v>
      </c>
      <c r="BE60" s="13" t="s">
        <v>288</v>
      </c>
      <c r="BF60" s="30">
        <f>SUM(AY60:BC60)</f>
        <v>58635981</v>
      </c>
      <c r="BG60" s="13" t="s">
        <v>289</v>
      </c>
      <c r="BH60" s="30">
        <f>AY60+AZ60/1.05+BA60/(1.05^2)+BB60/(1.05^3)+BC60/(1.05^4)</f>
        <v>53577742.60724698</v>
      </c>
    </row>
    <row r="61" spans="50:60">
      <c r="AX61" s="31"/>
    </row>
    <row r="62" spans="50:60">
      <c r="AX62" s="31" t="s">
        <v>287</v>
      </c>
      <c r="AY62" s="33">
        <f>AY59/AY56</f>
        <v>7.1129826158704862E-2</v>
      </c>
      <c r="AZ62" s="33">
        <f>AZ59/AZ56</f>
        <v>6.9836556592182963E-2</v>
      </c>
      <c r="BA62" s="33">
        <f t="shared" ref="BA62:BC62" si="13">BA59/BA56</f>
        <v>6.8566801017779636E-2</v>
      </c>
      <c r="BB62" s="33">
        <f t="shared" si="13"/>
        <v>6.7320131908365444E-2</v>
      </c>
      <c r="BC62" s="33">
        <f t="shared" si="13"/>
        <v>6.6096129510031534E-2</v>
      </c>
      <c r="BE62" s="13" t="s">
        <v>291</v>
      </c>
      <c r="BF62" s="34">
        <f>SUM(AY62:BC62)</f>
        <v>0.34294944518706444</v>
      </c>
    </row>
    <row r="63" spans="50:60">
      <c r="AX63" s="31" t="s">
        <v>290</v>
      </c>
      <c r="AY63" s="33">
        <f>AY60/AY56</f>
        <v>9.2184254701681512E-2</v>
      </c>
      <c r="AZ63" s="33">
        <f t="shared" ref="AZ63:BC63" si="14">AZ60/AZ56</f>
        <v>7.9613674515088578E-2</v>
      </c>
      <c r="BA63" s="33">
        <f t="shared" si="14"/>
        <v>6.875726435394014E-2</v>
      </c>
      <c r="BB63" s="33">
        <f t="shared" si="14"/>
        <v>5.9381273760221016E-2</v>
      </c>
      <c r="BC63" s="33">
        <f t="shared" si="14"/>
        <v>5.1283827338372695E-2</v>
      </c>
      <c r="BE63" s="13" t="s">
        <v>291</v>
      </c>
      <c r="BF63" s="34">
        <f>SUM(AY63:BC63)</f>
        <v>0.35122029466930393</v>
      </c>
    </row>
    <row r="64" spans="50:60">
      <c r="AX64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FFBB-86AF-2A46-AF83-6921464E5463}">
  <dimension ref="A1:Z62"/>
  <sheetViews>
    <sheetView zoomScale="106" workbookViewId="0">
      <pane ySplit="1" topLeftCell="A35" activePane="bottomLeft" state="frozen"/>
      <selection pane="bottomLeft" activeCell="D41" sqref="D41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5" bestFit="1" customWidth="1"/>
    <col min="5" max="5" width="13.125" bestFit="1" customWidth="1"/>
    <col min="6" max="6" width="3.375" bestFit="1" customWidth="1"/>
    <col min="7" max="7" width="2.875" bestFit="1" customWidth="1"/>
    <col min="8" max="8" width="4.5" bestFit="1" customWidth="1"/>
    <col min="9" max="9" width="3.625" bestFit="1" customWidth="1"/>
    <col min="10" max="10" width="4" bestFit="1" customWidth="1"/>
    <col min="11" max="11" width="3.87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4.125" bestFit="1" customWidth="1"/>
    <col min="20" max="20" width="5.875" bestFit="1" customWidth="1"/>
    <col min="21" max="22" width="5" bestFit="1" customWidth="1"/>
    <col min="25" max="25" width="21.375" customWidth="1"/>
  </cols>
  <sheetData>
    <row r="1" spans="1:26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  <c r="W1" s="1"/>
      <c r="Y1" s="1"/>
    </row>
    <row r="2" spans="1:26" ht="45" hidden="1">
      <c r="A2" s="1">
        <v>1</v>
      </c>
      <c r="B2" s="3">
        <v>1</v>
      </c>
      <c r="C2" s="3" t="s">
        <v>184</v>
      </c>
      <c r="D2" s="3" t="s">
        <v>293</v>
      </c>
      <c r="E2" s="2"/>
      <c r="F2" s="3">
        <v>1</v>
      </c>
      <c r="G2" s="3">
        <v>46</v>
      </c>
      <c r="H2" s="3">
        <v>1094</v>
      </c>
      <c r="I2" s="3">
        <v>522</v>
      </c>
      <c r="J2" s="3">
        <v>156</v>
      </c>
      <c r="K2" s="3">
        <v>54</v>
      </c>
      <c r="L2" s="3">
        <v>0.42899999999999999</v>
      </c>
      <c r="M2" s="3">
        <v>0.311</v>
      </c>
      <c r="N2" s="3">
        <v>0.69399999999999995</v>
      </c>
      <c r="O2" s="3">
        <v>23.8</v>
      </c>
      <c r="P2" s="3">
        <v>11.3</v>
      </c>
      <c r="Q2" s="3">
        <v>3.4</v>
      </c>
      <c r="R2" s="3">
        <v>1.2</v>
      </c>
      <c r="S2" s="3">
        <v>0.7</v>
      </c>
      <c r="T2" s="3">
        <v>0.03</v>
      </c>
      <c r="U2" s="3">
        <v>-4.5999999999999996</v>
      </c>
      <c r="V2" s="3">
        <v>-0.7</v>
      </c>
      <c r="Y2" s="74"/>
      <c r="Z2" s="1" t="s">
        <v>294</v>
      </c>
    </row>
    <row r="3" spans="1:26" hidden="1">
      <c r="A3" s="1">
        <v>2</v>
      </c>
      <c r="B3" s="3">
        <v>2</v>
      </c>
      <c r="C3" s="3" t="s">
        <v>69</v>
      </c>
      <c r="D3" s="3" t="s">
        <v>295</v>
      </c>
      <c r="E3" s="2"/>
      <c r="F3" s="3">
        <v>1</v>
      </c>
      <c r="G3" s="3">
        <v>41</v>
      </c>
      <c r="H3" s="3">
        <v>1098</v>
      </c>
      <c r="I3" s="3">
        <v>470</v>
      </c>
      <c r="J3" s="3">
        <v>272</v>
      </c>
      <c r="K3" s="3">
        <v>90</v>
      </c>
      <c r="L3" s="3">
        <v>0.39700000000000002</v>
      </c>
      <c r="M3" s="3">
        <v>0.307</v>
      </c>
      <c r="N3" s="3">
        <v>0.64400000000000002</v>
      </c>
      <c r="O3" s="3">
        <v>26.8</v>
      </c>
      <c r="P3" s="3">
        <v>11.5</v>
      </c>
      <c r="Q3" s="3">
        <v>6.6</v>
      </c>
      <c r="R3" s="3">
        <v>2.2000000000000002</v>
      </c>
      <c r="S3" s="3">
        <v>0.2</v>
      </c>
      <c r="T3" s="3">
        <v>7.0000000000000001E-3</v>
      </c>
      <c r="U3" s="3">
        <v>-3.1</v>
      </c>
      <c r="V3" s="3">
        <v>-0.3</v>
      </c>
      <c r="Y3" s="74"/>
      <c r="Z3" s="53" t="s">
        <v>296</v>
      </c>
    </row>
    <row r="4" spans="1:26" hidden="1">
      <c r="A4" s="1">
        <v>3</v>
      </c>
      <c r="B4" s="3">
        <v>3</v>
      </c>
      <c r="C4" s="3" t="s">
        <v>52</v>
      </c>
      <c r="D4" s="3" t="s">
        <v>297</v>
      </c>
      <c r="E4" s="3" t="s">
        <v>173</v>
      </c>
      <c r="F4" s="3">
        <v>1</v>
      </c>
      <c r="G4" s="3">
        <v>38</v>
      </c>
      <c r="H4" s="3">
        <v>448</v>
      </c>
      <c r="I4" s="3">
        <v>133</v>
      </c>
      <c r="J4" s="3">
        <v>55</v>
      </c>
      <c r="K4" s="3">
        <v>42</v>
      </c>
      <c r="L4" s="3">
        <v>0.30199999999999999</v>
      </c>
      <c r="M4" s="3">
        <v>0.26500000000000001</v>
      </c>
      <c r="N4" s="3">
        <v>0.9</v>
      </c>
      <c r="O4" s="3">
        <v>11.8</v>
      </c>
      <c r="P4" s="3">
        <v>3.5</v>
      </c>
      <c r="Q4" s="3">
        <v>1.4</v>
      </c>
      <c r="R4" s="3">
        <v>1.1000000000000001</v>
      </c>
      <c r="S4" s="3">
        <v>0.1</v>
      </c>
      <c r="T4" s="3">
        <v>1.4E-2</v>
      </c>
      <c r="U4" s="3">
        <v>-2.9</v>
      </c>
      <c r="V4" s="3">
        <v>-0.1</v>
      </c>
      <c r="Y4" s="74"/>
      <c r="Z4" s="54" t="s">
        <v>298</v>
      </c>
    </row>
    <row r="5" spans="1:26" hidden="1">
      <c r="A5" s="1">
        <v>4</v>
      </c>
      <c r="B5" s="3">
        <v>4</v>
      </c>
      <c r="C5" s="3" t="s">
        <v>79</v>
      </c>
      <c r="D5" s="3" t="s">
        <v>299</v>
      </c>
      <c r="E5" s="3" t="s">
        <v>300</v>
      </c>
      <c r="F5" s="3">
        <v>1</v>
      </c>
      <c r="G5" s="3">
        <v>49</v>
      </c>
      <c r="H5" s="3">
        <v>1259</v>
      </c>
      <c r="I5" s="3">
        <v>621</v>
      </c>
      <c r="J5" s="3">
        <v>139</v>
      </c>
      <c r="K5" s="3">
        <v>176</v>
      </c>
      <c r="L5" s="3">
        <v>0.41299999999999998</v>
      </c>
      <c r="M5" s="3">
        <v>0.28199999999999997</v>
      </c>
      <c r="N5" s="3">
        <v>0.72799999999999998</v>
      </c>
      <c r="O5" s="3">
        <v>25.7</v>
      </c>
      <c r="P5" s="3">
        <v>12.7</v>
      </c>
      <c r="Q5" s="3">
        <v>2.8</v>
      </c>
      <c r="R5" s="3">
        <v>3.6</v>
      </c>
      <c r="S5" s="3">
        <v>0.3</v>
      </c>
      <c r="T5" s="3">
        <v>1.2E-2</v>
      </c>
      <c r="U5" s="3">
        <v>-4.3</v>
      </c>
      <c r="V5" s="3">
        <v>-0.7</v>
      </c>
      <c r="Y5" s="74"/>
      <c r="Z5" s="58" t="s">
        <v>39</v>
      </c>
    </row>
    <row r="6" spans="1:26" hidden="1">
      <c r="A6" s="1">
        <v>5</v>
      </c>
      <c r="B6" s="3">
        <v>5</v>
      </c>
      <c r="C6" s="3" t="s">
        <v>34</v>
      </c>
      <c r="D6" s="3" t="s">
        <v>301</v>
      </c>
      <c r="E6" s="2"/>
      <c r="F6" s="3">
        <v>1</v>
      </c>
      <c r="G6" s="3">
        <v>53</v>
      </c>
      <c r="H6" s="3">
        <v>819</v>
      </c>
      <c r="I6" s="3">
        <v>338</v>
      </c>
      <c r="J6" s="3">
        <v>143</v>
      </c>
      <c r="K6" s="3">
        <v>45</v>
      </c>
      <c r="L6" s="3">
        <v>0.45300000000000001</v>
      </c>
      <c r="M6" s="3">
        <v>0.25700000000000001</v>
      </c>
      <c r="N6" s="3">
        <v>0.79700000000000004</v>
      </c>
      <c r="O6" s="3">
        <v>15.5</v>
      </c>
      <c r="P6" s="3">
        <v>6.4</v>
      </c>
      <c r="Q6" s="3">
        <v>2.7</v>
      </c>
      <c r="R6" s="3">
        <v>0.8</v>
      </c>
      <c r="S6" s="3">
        <v>0.8</v>
      </c>
      <c r="T6" s="3">
        <v>4.9000000000000002E-2</v>
      </c>
      <c r="U6" s="3">
        <v>-3.7</v>
      </c>
      <c r="V6" s="3">
        <v>-0.4</v>
      </c>
      <c r="Y6" s="74"/>
      <c r="Z6" s="59" t="s">
        <v>302</v>
      </c>
    </row>
    <row r="7" spans="1:26" hidden="1">
      <c r="A7" s="1">
        <v>6</v>
      </c>
      <c r="B7" s="3">
        <v>6</v>
      </c>
      <c r="C7" s="3" t="s">
        <v>119</v>
      </c>
      <c r="D7" s="3" t="s">
        <v>303</v>
      </c>
      <c r="E7" s="2"/>
      <c r="F7" s="3">
        <v>1</v>
      </c>
      <c r="G7" s="3">
        <v>37</v>
      </c>
      <c r="H7" s="3">
        <v>696</v>
      </c>
      <c r="I7" s="3">
        <v>185</v>
      </c>
      <c r="J7" s="3">
        <v>155</v>
      </c>
      <c r="K7" s="3">
        <v>42</v>
      </c>
      <c r="L7" s="3">
        <v>0.314</v>
      </c>
      <c r="M7" s="3">
        <v>0.27700000000000002</v>
      </c>
      <c r="N7" s="3">
        <v>0.73199999999999998</v>
      </c>
      <c r="O7" s="3">
        <v>18.8</v>
      </c>
      <c r="P7" s="3">
        <v>5</v>
      </c>
      <c r="Q7" s="3">
        <v>4.2</v>
      </c>
      <c r="R7" s="3">
        <v>1.1000000000000001</v>
      </c>
      <c r="S7" s="3">
        <v>0.2</v>
      </c>
      <c r="T7" s="3">
        <v>1.0999999999999999E-2</v>
      </c>
      <c r="U7" s="3">
        <v>-4.8</v>
      </c>
      <c r="V7" s="3">
        <v>-0.5</v>
      </c>
      <c r="Y7" s="74"/>
      <c r="Z7" s="60" t="s">
        <v>304</v>
      </c>
    </row>
    <row r="8" spans="1:26" hidden="1">
      <c r="A8" s="1">
        <v>7</v>
      </c>
      <c r="B8" s="3">
        <v>7</v>
      </c>
      <c r="C8" s="3" t="s">
        <v>124</v>
      </c>
      <c r="D8" s="3" t="s">
        <v>305</v>
      </c>
      <c r="E8" s="3" t="s">
        <v>300</v>
      </c>
      <c r="F8" s="3">
        <v>1</v>
      </c>
      <c r="G8" s="3">
        <v>39</v>
      </c>
      <c r="H8" s="3">
        <v>616</v>
      </c>
      <c r="I8" s="3">
        <v>191</v>
      </c>
      <c r="J8" s="3">
        <v>250</v>
      </c>
      <c r="K8" s="3">
        <v>28</v>
      </c>
      <c r="L8" s="3">
        <v>0.51900000000000002</v>
      </c>
      <c r="M8" s="3">
        <v>0.27300000000000002</v>
      </c>
      <c r="N8" s="3">
        <v>0.65800000000000003</v>
      </c>
      <c r="O8" s="3">
        <v>15.8</v>
      </c>
      <c r="P8" s="3">
        <v>4.9000000000000004</v>
      </c>
      <c r="Q8" s="3">
        <v>6.4</v>
      </c>
      <c r="R8" s="3">
        <v>0.7</v>
      </c>
      <c r="S8" s="3">
        <v>1.4</v>
      </c>
      <c r="T8" s="3">
        <v>0.107</v>
      </c>
      <c r="U8" s="3">
        <v>-1.6</v>
      </c>
      <c r="V8" s="3">
        <v>0.1</v>
      </c>
      <c r="Y8" s="74"/>
      <c r="Z8" s="55" t="s">
        <v>306</v>
      </c>
    </row>
    <row r="9" spans="1:26" hidden="1">
      <c r="A9" s="1">
        <v>8</v>
      </c>
      <c r="B9" s="3">
        <v>8</v>
      </c>
      <c r="C9" s="3" t="s">
        <v>79</v>
      </c>
      <c r="D9" s="3" t="s">
        <v>307</v>
      </c>
      <c r="E9" s="3" t="s">
        <v>173</v>
      </c>
      <c r="F9" s="3">
        <v>1</v>
      </c>
      <c r="G9" s="3">
        <v>28</v>
      </c>
      <c r="H9" s="3">
        <v>338</v>
      </c>
      <c r="I9" s="3">
        <v>161</v>
      </c>
      <c r="J9" s="3">
        <v>30</v>
      </c>
      <c r="K9" s="3">
        <v>69</v>
      </c>
      <c r="L9" s="3">
        <v>0.47599999999999998</v>
      </c>
      <c r="M9" s="3">
        <v>0.39300000000000002</v>
      </c>
      <c r="N9" s="3">
        <v>0.42899999999999999</v>
      </c>
      <c r="O9" s="3">
        <v>12.1</v>
      </c>
      <c r="P9" s="3">
        <v>5.8</v>
      </c>
      <c r="Q9" s="3">
        <v>1.1000000000000001</v>
      </c>
      <c r="R9" s="3">
        <v>2.5</v>
      </c>
      <c r="S9" s="3">
        <v>0.3</v>
      </c>
      <c r="T9" s="3">
        <v>3.6999999999999998E-2</v>
      </c>
      <c r="U9" s="3">
        <v>-3.4</v>
      </c>
      <c r="V9" s="3">
        <v>-0.1</v>
      </c>
      <c r="Y9" s="74"/>
      <c r="Z9" s="56" t="s">
        <v>308</v>
      </c>
    </row>
    <row r="10" spans="1:26" hidden="1">
      <c r="A10" s="1">
        <v>9</v>
      </c>
      <c r="B10" s="3">
        <v>9</v>
      </c>
      <c r="C10" s="3" t="s">
        <v>152</v>
      </c>
      <c r="D10" s="3" t="s">
        <v>309</v>
      </c>
      <c r="E10" s="3" t="s">
        <v>143</v>
      </c>
      <c r="F10" s="3">
        <v>1</v>
      </c>
      <c r="G10" s="3">
        <v>38</v>
      </c>
      <c r="H10" s="3">
        <v>785</v>
      </c>
      <c r="I10" s="3">
        <v>370</v>
      </c>
      <c r="J10" s="3">
        <v>290</v>
      </c>
      <c r="K10" s="3">
        <v>37</v>
      </c>
      <c r="L10" s="3">
        <v>0.58899999999999997</v>
      </c>
      <c r="M10" s="3">
        <v>0.35899999999999999</v>
      </c>
      <c r="N10" s="3">
        <v>0.68400000000000005</v>
      </c>
      <c r="O10" s="3">
        <v>20.7</v>
      </c>
      <c r="P10" s="3">
        <v>9.6999999999999993</v>
      </c>
      <c r="Q10" s="3">
        <v>7.6</v>
      </c>
      <c r="R10" s="3">
        <v>1</v>
      </c>
      <c r="S10" s="3">
        <v>2.8</v>
      </c>
      <c r="T10" s="3">
        <v>0.17100000000000001</v>
      </c>
      <c r="U10" s="3">
        <v>0.4</v>
      </c>
      <c r="V10" s="3">
        <v>0.5</v>
      </c>
      <c r="Z10" s="57" t="s">
        <v>111</v>
      </c>
    </row>
    <row r="11" spans="1:26" hidden="1">
      <c r="A11" s="1">
        <v>10</v>
      </c>
      <c r="B11" s="3">
        <v>10</v>
      </c>
      <c r="C11" s="3" t="s">
        <v>193</v>
      </c>
      <c r="D11" s="3" t="s">
        <v>310</v>
      </c>
      <c r="E11" s="3" t="s">
        <v>65</v>
      </c>
      <c r="F11" s="3">
        <v>1</v>
      </c>
      <c r="G11" s="3">
        <v>27</v>
      </c>
      <c r="H11" s="3">
        <v>560</v>
      </c>
      <c r="I11" s="3">
        <v>103</v>
      </c>
      <c r="J11" s="3">
        <v>59</v>
      </c>
      <c r="K11" s="3">
        <v>36</v>
      </c>
      <c r="L11" s="3">
        <v>0.30099999999999999</v>
      </c>
      <c r="M11" s="3">
        <v>0.23100000000000001</v>
      </c>
      <c r="N11" s="3">
        <v>0.63600000000000001</v>
      </c>
      <c r="O11" s="3">
        <v>20.7</v>
      </c>
      <c r="P11" s="3">
        <v>3.8</v>
      </c>
      <c r="Q11" s="3">
        <v>2.2000000000000002</v>
      </c>
      <c r="R11" s="3">
        <v>1.3</v>
      </c>
      <c r="S11" s="3">
        <v>-0.6</v>
      </c>
      <c r="T11" s="3">
        <v>-5.2999999999999999E-2</v>
      </c>
      <c r="U11" s="3">
        <v>-7.3</v>
      </c>
      <c r="V11" s="3">
        <v>-0.7</v>
      </c>
    </row>
    <row r="12" spans="1:26" hidden="1">
      <c r="A12" s="1">
        <v>11</v>
      </c>
      <c r="B12" s="3">
        <v>11</v>
      </c>
      <c r="C12" s="3" t="s">
        <v>99</v>
      </c>
      <c r="D12" s="3" t="s">
        <v>311</v>
      </c>
      <c r="E12" s="2"/>
      <c r="F12" s="3">
        <v>1</v>
      </c>
      <c r="G12" s="3">
        <v>51</v>
      </c>
      <c r="H12" s="3">
        <v>742</v>
      </c>
      <c r="I12" s="3">
        <v>314</v>
      </c>
      <c r="J12" s="3">
        <v>146</v>
      </c>
      <c r="K12" s="3">
        <v>27</v>
      </c>
      <c r="L12" s="3">
        <v>0.435</v>
      </c>
      <c r="M12" s="3">
        <v>0.36299999999999999</v>
      </c>
      <c r="N12" s="3">
        <v>0.79600000000000004</v>
      </c>
      <c r="O12" s="3">
        <v>14.5</v>
      </c>
      <c r="P12" s="3">
        <v>6.2</v>
      </c>
      <c r="Q12" s="3">
        <v>2.9</v>
      </c>
      <c r="R12" s="3">
        <v>0.5</v>
      </c>
      <c r="S12" s="3">
        <v>0.7</v>
      </c>
      <c r="T12" s="3">
        <v>4.8000000000000001E-2</v>
      </c>
      <c r="U12" s="3">
        <v>-3.7</v>
      </c>
      <c r="V12" s="3">
        <v>-0.3</v>
      </c>
    </row>
    <row r="13" spans="1:26" hidden="1">
      <c r="A13" s="4">
        <v>12</v>
      </c>
      <c r="B13" s="5">
        <v>12</v>
      </c>
      <c r="C13" s="5" t="s">
        <v>82</v>
      </c>
      <c r="D13" s="5" t="s">
        <v>312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6" hidden="1">
      <c r="A14" s="1">
        <v>13</v>
      </c>
      <c r="B14" s="3">
        <v>13</v>
      </c>
      <c r="C14" s="3" t="s">
        <v>36</v>
      </c>
      <c r="D14" s="3" t="s">
        <v>313</v>
      </c>
      <c r="E14" s="3" t="s">
        <v>314</v>
      </c>
      <c r="F14" s="3">
        <v>1</v>
      </c>
      <c r="G14" s="3">
        <v>16</v>
      </c>
      <c r="H14" s="3">
        <v>158</v>
      </c>
      <c r="I14" s="3">
        <v>59</v>
      </c>
      <c r="J14" s="3">
        <v>40</v>
      </c>
      <c r="K14" s="3">
        <v>21</v>
      </c>
      <c r="L14" s="3">
        <v>0.311</v>
      </c>
      <c r="M14" s="3">
        <v>0.25800000000000001</v>
      </c>
      <c r="N14" s="3">
        <v>0.72199999999999998</v>
      </c>
      <c r="O14" s="3">
        <v>9.9</v>
      </c>
      <c r="P14" s="3">
        <v>3.7</v>
      </c>
      <c r="Q14" s="3">
        <v>2.5</v>
      </c>
      <c r="R14" s="3">
        <v>1.3</v>
      </c>
      <c r="S14" s="3">
        <v>0</v>
      </c>
      <c r="T14" s="3">
        <v>1.2E-2</v>
      </c>
      <c r="U14" s="3">
        <v>-4.3</v>
      </c>
      <c r="V14" s="3">
        <v>-0.1</v>
      </c>
    </row>
    <row r="15" spans="1:26" hidden="1">
      <c r="A15" s="1">
        <v>14</v>
      </c>
      <c r="B15" s="3">
        <v>14</v>
      </c>
      <c r="C15" s="3" t="s">
        <v>124</v>
      </c>
      <c r="D15" s="3" t="s">
        <v>315</v>
      </c>
      <c r="E15" s="3" t="s">
        <v>219</v>
      </c>
      <c r="F15" s="3">
        <v>1</v>
      </c>
      <c r="G15" s="3">
        <v>52</v>
      </c>
      <c r="H15" s="3">
        <v>1521</v>
      </c>
      <c r="I15" s="3">
        <v>462</v>
      </c>
      <c r="J15" s="3">
        <v>202</v>
      </c>
      <c r="K15" s="3">
        <v>205</v>
      </c>
      <c r="L15" s="3">
        <v>0.40400000000000003</v>
      </c>
      <c r="M15" s="3">
        <v>0.35099999999999998</v>
      </c>
      <c r="N15" s="3">
        <v>0.81799999999999995</v>
      </c>
      <c r="O15" s="3">
        <v>29.3</v>
      </c>
      <c r="P15" s="3">
        <v>8.9</v>
      </c>
      <c r="Q15" s="3">
        <v>3.9</v>
      </c>
      <c r="R15" s="3">
        <v>3.9</v>
      </c>
      <c r="S15" s="3">
        <v>0.2</v>
      </c>
      <c r="T15" s="3">
        <v>7.0000000000000001E-3</v>
      </c>
      <c r="U15" s="3">
        <v>-4.7</v>
      </c>
      <c r="V15" s="3">
        <v>-1.1000000000000001</v>
      </c>
    </row>
    <row r="16" spans="1:26" hidden="1">
      <c r="A16" s="1">
        <v>15</v>
      </c>
      <c r="B16" s="3">
        <v>15</v>
      </c>
      <c r="C16" s="3" t="s">
        <v>72</v>
      </c>
      <c r="D16" s="3" t="s">
        <v>316</v>
      </c>
      <c r="E16" s="3" t="s">
        <v>195</v>
      </c>
      <c r="F16" s="3">
        <v>1</v>
      </c>
      <c r="G16" s="3">
        <v>35</v>
      </c>
      <c r="H16" s="3">
        <v>642</v>
      </c>
      <c r="I16" s="3">
        <v>295</v>
      </c>
      <c r="J16" s="3">
        <v>200</v>
      </c>
      <c r="K16" s="3">
        <v>26</v>
      </c>
      <c r="L16" s="3">
        <v>0.54200000000000004</v>
      </c>
      <c r="M16" s="3">
        <v>0.39700000000000002</v>
      </c>
      <c r="N16" s="3">
        <v>0.74299999999999999</v>
      </c>
      <c r="O16" s="3">
        <v>18.3</v>
      </c>
      <c r="P16" s="3">
        <v>8.4</v>
      </c>
      <c r="Q16" s="3">
        <v>5.7</v>
      </c>
      <c r="R16" s="3">
        <v>0.7</v>
      </c>
      <c r="S16" s="3">
        <v>1.9</v>
      </c>
      <c r="T16" s="3">
        <v>0.14399999999999999</v>
      </c>
      <c r="U16" s="3">
        <v>0.4</v>
      </c>
      <c r="V16" s="3">
        <v>0.4</v>
      </c>
    </row>
    <row r="17" spans="1:22" hidden="1">
      <c r="A17" s="1">
        <v>16</v>
      </c>
      <c r="B17" s="3">
        <v>16</v>
      </c>
      <c r="C17" s="3" t="s">
        <v>66</v>
      </c>
      <c r="D17" s="3" t="s">
        <v>317</v>
      </c>
      <c r="E17" s="3" t="s">
        <v>171</v>
      </c>
      <c r="F17" s="3">
        <v>1</v>
      </c>
      <c r="G17" s="3">
        <v>23</v>
      </c>
      <c r="H17" s="3">
        <v>592</v>
      </c>
      <c r="I17" s="3">
        <v>352</v>
      </c>
      <c r="J17" s="3">
        <v>56</v>
      </c>
      <c r="K17" s="3">
        <v>60</v>
      </c>
      <c r="L17" s="3">
        <v>0.46</v>
      </c>
      <c r="M17" s="3">
        <v>0.38300000000000001</v>
      </c>
      <c r="N17" s="3">
        <v>0.875</v>
      </c>
      <c r="O17" s="3">
        <v>25.7</v>
      </c>
      <c r="P17" s="3">
        <v>15.3</v>
      </c>
      <c r="Q17" s="3">
        <v>2.4</v>
      </c>
      <c r="R17" s="3">
        <v>2.6</v>
      </c>
      <c r="S17" s="3">
        <v>0.8</v>
      </c>
      <c r="T17" s="3">
        <v>6.7000000000000004E-2</v>
      </c>
      <c r="U17" s="3">
        <v>0.5</v>
      </c>
      <c r="V17" s="3">
        <v>0.4</v>
      </c>
    </row>
    <row r="18" spans="1:22" hidden="1">
      <c r="A18" s="1">
        <v>17</v>
      </c>
      <c r="B18" s="3">
        <v>17</v>
      </c>
      <c r="C18" s="3" t="s">
        <v>31</v>
      </c>
      <c r="D18" s="3" t="s">
        <v>318</v>
      </c>
      <c r="E18" s="3" t="s">
        <v>115</v>
      </c>
      <c r="F18" s="3">
        <v>1</v>
      </c>
      <c r="G18" s="3">
        <v>48</v>
      </c>
      <c r="H18" s="3">
        <v>994</v>
      </c>
      <c r="I18" s="3">
        <v>452</v>
      </c>
      <c r="J18" s="3">
        <v>147</v>
      </c>
      <c r="K18" s="3">
        <v>42</v>
      </c>
      <c r="L18" s="3">
        <v>0.46500000000000002</v>
      </c>
      <c r="M18" s="3">
        <v>0.35799999999999998</v>
      </c>
      <c r="N18" s="3">
        <v>0.82499999999999996</v>
      </c>
      <c r="O18" s="3">
        <v>20.7</v>
      </c>
      <c r="P18" s="3">
        <v>9.4</v>
      </c>
      <c r="Q18" s="3">
        <v>3.1</v>
      </c>
      <c r="R18" s="3">
        <v>0.9</v>
      </c>
      <c r="S18" s="3">
        <v>1.7</v>
      </c>
      <c r="T18" s="3">
        <v>8.4000000000000005E-2</v>
      </c>
      <c r="U18" s="3">
        <v>-2.2999999999999998</v>
      </c>
      <c r="V18" s="3">
        <v>-0.1</v>
      </c>
    </row>
    <row r="19" spans="1:22" hidden="1">
      <c r="A19" s="1">
        <v>18</v>
      </c>
      <c r="B19" s="3">
        <v>18</v>
      </c>
      <c r="C19" s="3" t="s">
        <v>179</v>
      </c>
      <c r="D19" s="3" t="s">
        <v>319</v>
      </c>
      <c r="E19" s="3" t="s">
        <v>65</v>
      </c>
      <c r="F19" s="3">
        <v>1</v>
      </c>
      <c r="G19" s="3">
        <v>50</v>
      </c>
      <c r="H19" s="3">
        <v>1270</v>
      </c>
      <c r="I19" s="3">
        <v>421</v>
      </c>
      <c r="J19" s="3">
        <v>196</v>
      </c>
      <c r="K19" s="3">
        <v>85</v>
      </c>
      <c r="L19" s="3">
        <v>0.42699999999999999</v>
      </c>
      <c r="M19" s="3">
        <v>0.33300000000000002</v>
      </c>
      <c r="N19" s="3">
        <v>0.85399999999999998</v>
      </c>
      <c r="O19" s="3">
        <v>25.4</v>
      </c>
      <c r="P19" s="3">
        <v>8.4</v>
      </c>
      <c r="Q19" s="3">
        <v>3.9</v>
      </c>
      <c r="R19" s="3">
        <v>1.7</v>
      </c>
      <c r="S19" s="3">
        <v>2</v>
      </c>
      <c r="T19" s="3">
        <v>7.4999999999999997E-2</v>
      </c>
      <c r="U19" s="3">
        <v>-2.4</v>
      </c>
      <c r="V19" s="3">
        <v>-0.1</v>
      </c>
    </row>
    <row r="20" spans="1:22" hidden="1">
      <c r="A20" s="1">
        <v>19</v>
      </c>
      <c r="B20" s="3">
        <v>19</v>
      </c>
      <c r="C20" s="3" t="s">
        <v>163</v>
      </c>
      <c r="D20" s="3" t="s">
        <v>320</v>
      </c>
      <c r="E20" s="3" t="s">
        <v>208</v>
      </c>
      <c r="F20" s="3">
        <v>1</v>
      </c>
      <c r="G20" s="3">
        <v>34</v>
      </c>
      <c r="H20" s="3">
        <v>663</v>
      </c>
      <c r="I20" s="3">
        <v>265</v>
      </c>
      <c r="J20" s="3">
        <v>82</v>
      </c>
      <c r="K20" s="3">
        <v>48</v>
      </c>
      <c r="L20" s="3">
        <v>0.40600000000000003</v>
      </c>
      <c r="M20" s="3">
        <v>0.313</v>
      </c>
      <c r="N20" s="3">
        <v>0.7</v>
      </c>
      <c r="O20" s="3">
        <v>19.5</v>
      </c>
      <c r="P20" s="3">
        <v>7.8</v>
      </c>
      <c r="Q20" s="3">
        <v>2.4</v>
      </c>
      <c r="R20" s="3">
        <v>1.4</v>
      </c>
      <c r="S20" s="3">
        <v>0.3</v>
      </c>
      <c r="T20" s="3">
        <v>2.1999999999999999E-2</v>
      </c>
      <c r="U20" s="3">
        <v>-4.3</v>
      </c>
      <c r="V20" s="3">
        <v>-0.4</v>
      </c>
    </row>
    <row r="21" spans="1:22" hidden="1">
      <c r="A21" s="1">
        <v>20</v>
      </c>
      <c r="B21" s="3">
        <v>20</v>
      </c>
      <c r="C21" s="3" t="s">
        <v>76</v>
      </c>
      <c r="D21" s="3" t="s">
        <v>321</v>
      </c>
      <c r="E21" s="3" t="s">
        <v>200</v>
      </c>
      <c r="F21" s="3">
        <v>1</v>
      </c>
      <c r="G21" s="3">
        <v>33</v>
      </c>
      <c r="H21" s="3">
        <v>310</v>
      </c>
      <c r="I21" s="3">
        <v>99</v>
      </c>
      <c r="J21" s="3">
        <v>72</v>
      </c>
      <c r="K21" s="3">
        <v>30</v>
      </c>
      <c r="L21" s="3">
        <v>0.435</v>
      </c>
      <c r="M21" s="3">
        <v>0.32400000000000001</v>
      </c>
      <c r="N21" s="3">
        <v>0.77800000000000002</v>
      </c>
      <c r="O21" s="3">
        <v>9.4</v>
      </c>
      <c r="P21" s="3">
        <v>3</v>
      </c>
      <c r="Q21" s="3">
        <v>2.2000000000000002</v>
      </c>
      <c r="R21" s="3">
        <v>0.9</v>
      </c>
      <c r="S21" s="3">
        <v>0.7</v>
      </c>
      <c r="T21" s="3">
        <v>0.105</v>
      </c>
      <c r="U21" s="3">
        <v>-2.8</v>
      </c>
      <c r="V21" s="3">
        <v>-0.1</v>
      </c>
    </row>
    <row r="22" spans="1:22" hidden="1">
      <c r="A22" s="1">
        <v>21</v>
      </c>
      <c r="B22" s="3">
        <v>21</v>
      </c>
      <c r="C22" s="3" t="s">
        <v>44</v>
      </c>
      <c r="D22" s="3" t="s">
        <v>322</v>
      </c>
      <c r="E22" s="3" t="s">
        <v>208</v>
      </c>
      <c r="F22" s="3">
        <v>1</v>
      </c>
      <c r="G22" s="3">
        <v>49</v>
      </c>
      <c r="H22" s="3">
        <v>1338</v>
      </c>
      <c r="I22" s="3">
        <v>422</v>
      </c>
      <c r="J22" s="3">
        <v>398</v>
      </c>
      <c r="K22" s="3">
        <v>69</v>
      </c>
      <c r="L22" s="3">
        <v>0.54900000000000004</v>
      </c>
      <c r="M22" s="3">
        <v>0</v>
      </c>
      <c r="N22" s="3">
        <v>0.65100000000000002</v>
      </c>
      <c r="O22" s="3">
        <v>27.3</v>
      </c>
      <c r="P22" s="3">
        <v>8.6</v>
      </c>
      <c r="Q22" s="3">
        <v>8.1</v>
      </c>
      <c r="R22" s="3">
        <v>1.4</v>
      </c>
      <c r="S22" s="3">
        <v>2.5</v>
      </c>
      <c r="T22" s="3">
        <v>0.09</v>
      </c>
      <c r="U22" s="3">
        <v>-3.1</v>
      </c>
      <c r="V22" s="3">
        <v>-0.4</v>
      </c>
    </row>
    <row r="23" spans="1:22" hidden="1">
      <c r="A23" s="4">
        <v>22</v>
      </c>
      <c r="B23" s="5">
        <v>22</v>
      </c>
      <c r="C23" s="5" t="s">
        <v>323</v>
      </c>
      <c r="D23" s="5" t="s">
        <v>324</v>
      </c>
      <c r="E23" s="5" t="s">
        <v>325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idden="1">
      <c r="A24" s="1">
        <v>23</v>
      </c>
      <c r="B24" s="3">
        <v>23</v>
      </c>
      <c r="C24" s="3" t="s">
        <v>57</v>
      </c>
      <c r="D24" s="3" t="s">
        <v>326</v>
      </c>
      <c r="E24" s="2"/>
      <c r="F24" s="3">
        <v>1</v>
      </c>
      <c r="G24" s="3">
        <v>9</v>
      </c>
      <c r="H24" s="3">
        <v>60</v>
      </c>
      <c r="I24" s="3">
        <v>24</v>
      </c>
      <c r="J24" s="3">
        <v>9</v>
      </c>
      <c r="K24" s="3">
        <v>12</v>
      </c>
      <c r="L24" s="3">
        <v>0.4</v>
      </c>
      <c r="M24" s="3">
        <v>0.375</v>
      </c>
      <c r="N24" s="3">
        <v>0.5</v>
      </c>
      <c r="O24" s="3">
        <v>6.7</v>
      </c>
      <c r="P24" s="3">
        <v>2.7</v>
      </c>
      <c r="Q24" s="3">
        <v>1</v>
      </c>
      <c r="R24" s="3">
        <v>1.3</v>
      </c>
      <c r="S24" s="3">
        <v>0</v>
      </c>
      <c r="T24" s="3">
        <v>-1.6E-2</v>
      </c>
      <c r="U24" s="3">
        <v>-6.5</v>
      </c>
      <c r="V24" s="3">
        <v>-0.1</v>
      </c>
    </row>
    <row r="25" spans="1:22" hidden="1">
      <c r="A25" s="1">
        <v>24</v>
      </c>
      <c r="B25" s="3">
        <v>24</v>
      </c>
      <c r="C25" s="3" t="s">
        <v>50</v>
      </c>
      <c r="D25" s="3" t="s">
        <v>327</v>
      </c>
      <c r="E25" s="3" t="s">
        <v>103</v>
      </c>
      <c r="F25" s="3">
        <v>1</v>
      </c>
      <c r="G25" s="3">
        <v>46</v>
      </c>
      <c r="H25" s="3">
        <v>1184</v>
      </c>
      <c r="I25" s="3">
        <v>363</v>
      </c>
      <c r="J25" s="3">
        <v>174</v>
      </c>
      <c r="K25" s="3">
        <v>100</v>
      </c>
      <c r="L25" s="3">
        <v>0.36299999999999999</v>
      </c>
      <c r="M25" s="3">
        <v>0.308</v>
      </c>
      <c r="N25" s="3">
        <v>0.76400000000000001</v>
      </c>
      <c r="O25" s="3">
        <v>25.7</v>
      </c>
      <c r="P25" s="3">
        <v>7.9</v>
      </c>
      <c r="Q25" s="3">
        <v>3.8</v>
      </c>
      <c r="R25" s="3">
        <v>2.2000000000000002</v>
      </c>
      <c r="S25" s="3">
        <v>-0.2</v>
      </c>
      <c r="T25" s="3">
        <v>-6.0000000000000001E-3</v>
      </c>
      <c r="U25" s="3">
        <v>-5</v>
      </c>
      <c r="V25" s="3">
        <v>-0.9</v>
      </c>
    </row>
    <row r="26" spans="1:22" hidden="1">
      <c r="A26" s="1">
        <v>25</v>
      </c>
      <c r="B26" s="3">
        <v>25</v>
      </c>
      <c r="C26" s="3" t="s">
        <v>50</v>
      </c>
      <c r="D26" s="3" t="s">
        <v>328</v>
      </c>
      <c r="E26" s="2"/>
      <c r="F26" s="3">
        <v>1</v>
      </c>
      <c r="G26" s="3">
        <v>13</v>
      </c>
      <c r="H26" s="3">
        <v>83</v>
      </c>
      <c r="I26" s="3">
        <v>19</v>
      </c>
      <c r="J26" s="3">
        <v>13</v>
      </c>
      <c r="K26" s="3">
        <v>5</v>
      </c>
      <c r="L26" s="3">
        <v>0.3</v>
      </c>
      <c r="M26" s="3">
        <v>0.35699999999999998</v>
      </c>
      <c r="N26" s="3">
        <v>1</v>
      </c>
      <c r="O26" s="3">
        <v>6.4</v>
      </c>
      <c r="P26" s="3">
        <v>1.5</v>
      </c>
      <c r="Q26" s="3">
        <v>1</v>
      </c>
      <c r="R26" s="3">
        <v>0.4</v>
      </c>
      <c r="S26" s="3">
        <v>0.1</v>
      </c>
      <c r="T26" s="3">
        <v>3.4000000000000002E-2</v>
      </c>
      <c r="U26" s="3">
        <v>-5.2</v>
      </c>
      <c r="V26" s="3">
        <v>-0.1</v>
      </c>
    </row>
    <row r="27" spans="1:22" hidden="1">
      <c r="A27" s="1">
        <v>26</v>
      </c>
      <c r="B27" s="3">
        <v>26</v>
      </c>
      <c r="C27" s="3" t="s">
        <v>69</v>
      </c>
      <c r="D27" s="3" t="s">
        <v>329</v>
      </c>
      <c r="E27" s="3" t="s">
        <v>330</v>
      </c>
      <c r="F27" s="3">
        <v>1</v>
      </c>
      <c r="G27" s="3">
        <v>32</v>
      </c>
      <c r="H27" s="3">
        <v>290</v>
      </c>
      <c r="I27" s="3">
        <v>68</v>
      </c>
      <c r="J27" s="3">
        <v>66</v>
      </c>
      <c r="K27" s="3">
        <v>29</v>
      </c>
      <c r="L27" s="3">
        <v>0.32500000000000001</v>
      </c>
      <c r="M27" s="3">
        <v>0.17100000000000001</v>
      </c>
      <c r="N27" s="3">
        <v>0.55000000000000004</v>
      </c>
      <c r="O27" s="3">
        <v>9.1</v>
      </c>
      <c r="P27" s="3">
        <v>2.1</v>
      </c>
      <c r="Q27" s="3">
        <v>2.1</v>
      </c>
      <c r="R27" s="3">
        <v>0.9</v>
      </c>
      <c r="S27" s="3">
        <v>0.3</v>
      </c>
      <c r="T27" s="3">
        <v>4.5999999999999999E-2</v>
      </c>
      <c r="U27" s="3">
        <v>-5.4</v>
      </c>
      <c r="V27" s="3">
        <v>-0.3</v>
      </c>
    </row>
    <row r="28" spans="1:22" hidden="1">
      <c r="A28" s="1">
        <v>27</v>
      </c>
      <c r="B28" s="3">
        <v>27</v>
      </c>
      <c r="C28" s="3" t="s">
        <v>135</v>
      </c>
      <c r="D28" s="3" t="s">
        <v>331</v>
      </c>
      <c r="E28" s="3" t="s">
        <v>158</v>
      </c>
      <c r="F28" s="3">
        <v>1</v>
      </c>
      <c r="G28" s="3">
        <v>13</v>
      </c>
      <c r="H28" s="3">
        <v>66</v>
      </c>
      <c r="I28" s="3">
        <v>24</v>
      </c>
      <c r="J28" s="3">
        <v>2</v>
      </c>
      <c r="K28" s="3">
        <v>7</v>
      </c>
      <c r="L28" s="3">
        <v>0.5</v>
      </c>
      <c r="M28" s="3">
        <v>0.33300000000000002</v>
      </c>
      <c r="N28" s="3">
        <v>0</v>
      </c>
      <c r="O28" s="3">
        <v>5.0999999999999996</v>
      </c>
      <c r="P28" s="3">
        <v>1.8</v>
      </c>
      <c r="Q28" s="3">
        <v>0.2</v>
      </c>
      <c r="R28" s="3">
        <v>0.5</v>
      </c>
      <c r="S28" s="3">
        <v>0</v>
      </c>
      <c r="T28" s="3">
        <v>1.4999999999999999E-2</v>
      </c>
      <c r="U28" s="3">
        <v>-4.4000000000000004</v>
      </c>
      <c r="V28" s="3">
        <v>0</v>
      </c>
    </row>
    <row r="29" spans="1:22" hidden="1">
      <c r="A29" s="1">
        <v>28</v>
      </c>
      <c r="B29" s="3">
        <v>28</v>
      </c>
      <c r="C29" s="3" t="s">
        <v>23</v>
      </c>
      <c r="D29" s="3" t="s">
        <v>332</v>
      </c>
      <c r="E29" s="3" t="s">
        <v>59</v>
      </c>
      <c r="F29" s="3">
        <v>1</v>
      </c>
      <c r="G29" s="3">
        <v>47</v>
      </c>
      <c r="H29" s="3">
        <v>895</v>
      </c>
      <c r="I29" s="3">
        <v>319</v>
      </c>
      <c r="J29" s="3">
        <v>161</v>
      </c>
      <c r="K29" s="3">
        <v>43</v>
      </c>
      <c r="L29" s="3">
        <v>0.44500000000000001</v>
      </c>
      <c r="M29" s="3">
        <v>0.314</v>
      </c>
      <c r="N29" s="3">
        <v>0.47799999999999998</v>
      </c>
      <c r="O29" s="3">
        <v>19</v>
      </c>
      <c r="P29" s="3">
        <v>6.8</v>
      </c>
      <c r="Q29" s="3">
        <v>3.4</v>
      </c>
      <c r="R29" s="3">
        <v>0.9</v>
      </c>
      <c r="S29" s="3">
        <v>0.9</v>
      </c>
      <c r="T29" s="3">
        <v>0.05</v>
      </c>
      <c r="U29" s="3">
        <v>-3.8</v>
      </c>
      <c r="V29" s="3">
        <v>-0.4</v>
      </c>
    </row>
    <row r="30" spans="1:22" hidden="1">
      <c r="A30" s="1">
        <v>29</v>
      </c>
      <c r="B30" s="3">
        <v>29</v>
      </c>
      <c r="C30" s="3" t="s">
        <v>193</v>
      </c>
      <c r="D30" s="3" t="s">
        <v>333</v>
      </c>
      <c r="E30" s="3" t="s">
        <v>105</v>
      </c>
      <c r="F30" s="3">
        <v>1</v>
      </c>
      <c r="G30" s="3">
        <v>43</v>
      </c>
      <c r="H30" s="3">
        <v>994</v>
      </c>
      <c r="I30" s="3">
        <v>276</v>
      </c>
      <c r="J30" s="3">
        <v>127</v>
      </c>
      <c r="K30" s="3">
        <v>241</v>
      </c>
      <c r="L30" s="3">
        <v>0.39900000000000002</v>
      </c>
      <c r="M30" s="3">
        <v>0.20699999999999999</v>
      </c>
      <c r="N30" s="3">
        <v>0.64600000000000002</v>
      </c>
      <c r="O30" s="3">
        <v>23.1</v>
      </c>
      <c r="P30" s="3">
        <v>6.4</v>
      </c>
      <c r="Q30" s="3">
        <v>3</v>
      </c>
      <c r="R30" s="3">
        <v>5.6</v>
      </c>
      <c r="S30" s="3">
        <v>-1</v>
      </c>
      <c r="T30" s="3">
        <v>-4.5999999999999999E-2</v>
      </c>
      <c r="U30" s="3">
        <v>-6.6</v>
      </c>
      <c r="V30" s="3">
        <v>-1.2</v>
      </c>
    </row>
    <row r="31" spans="1:22" hidden="1">
      <c r="A31" s="1">
        <v>30</v>
      </c>
      <c r="B31" s="3">
        <v>30</v>
      </c>
      <c r="C31" s="3" t="s">
        <v>190</v>
      </c>
      <c r="D31" s="3" t="s">
        <v>334</v>
      </c>
      <c r="E31" s="3" t="s">
        <v>335</v>
      </c>
      <c r="F31" s="3">
        <v>1</v>
      </c>
      <c r="G31" s="3">
        <v>10</v>
      </c>
      <c r="H31" s="3">
        <v>59</v>
      </c>
      <c r="I31" s="3">
        <v>9</v>
      </c>
      <c r="J31" s="3">
        <v>14</v>
      </c>
      <c r="K31" s="3">
        <v>6</v>
      </c>
      <c r="L31" s="3">
        <v>0.17599999999999999</v>
      </c>
      <c r="M31" s="3">
        <v>8.3000000000000004E-2</v>
      </c>
      <c r="N31" s="3">
        <v>1</v>
      </c>
      <c r="O31" s="3">
        <v>5.9</v>
      </c>
      <c r="P31" s="3">
        <v>0.9</v>
      </c>
      <c r="Q31" s="3">
        <v>1.4</v>
      </c>
      <c r="R31" s="3">
        <v>0.6</v>
      </c>
      <c r="S31" s="3">
        <v>0</v>
      </c>
      <c r="T31" s="3">
        <v>-2.1000000000000001E-2</v>
      </c>
      <c r="U31" s="3">
        <v>-6.9</v>
      </c>
      <c r="V31" s="3">
        <v>-0.1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>
      <c r="A33" s="1">
        <v>31</v>
      </c>
      <c r="B33" s="3">
        <v>31</v>
      </c>
      <c r="C33" s="3" t="s">
        <v>163</v>
      </c>
      <c r="D33" s="3" t="s">
        <v>336</v>
      </c>
      <c r="E33" s="3" t="s">
        <v>337</v>
      </c>
      <c r="F33" s="3">
        <v>1</v>
      </c>
      <c r="G33" s="3">
        <v>40</v>
      </c>
      <c r="H33" s="3">
        <v>690</v>
      </c>
      <c r="I33" s="3">
        <v>217</v>
      </c>
      <c r="J33" s="3">
        <v>168</v>
      </c>
      <c r="K33" s="3">
        <v>65</v>
      </c>
      <c r="L33" s="3">
        <v>0.46100000000000002</v>
      </c>
      <c r="M33" s="3">
        <v>0.33300000000000002</v>
      </c>
      <c r="N33" s="3">
        <v>0.72199999999999998</v>
      </c>
      <c r="O33" s="3">
        <v>17.3</v>
      </c>
      <c r="P33" s="3">
        <v>5.4</v>
      </c>
      <c r="Q33" s="3">
        <v>4.2</v>
      </c>
      <c r="R33" s="3">
        <v>1.6</v>
      </c>
      <c r="S33" s="3">
        <v>1.2</v>
      </c>
      <c r="T33" s="3">
        <v>8.5000000000000006E-2</v>
      </c>
      <c r="U33" s="3">
        <v>-1.2</v>
      </c>
      <c r="V33" s="3">
        <v>0.1</v>
      </c>
    </row>
    <row r="34" spans="1:22">
      <c r="A34" s="1">
        <v>32</v>
      </c>
      <c r="B34" s="3">
        <v>32</v>
      </c>
      <c r="C34" s="3" t="s">
        <v>193</v>
      </c>
      <c r="D34" s="82" t="s">
        <v>338</v>
      </c>
      <c r="E34" s="3" t="s">
        <v>171</v>
      </c>
      <c r="F34" s="3">
        <v>1</v>
      </c>
      <c r="G34" s="3">
        <v>41</v>
      </c>
      <c r="H34" s="3">
        <v>745</v>
      </c>
      <c r="I34" s="3">
        <v>257</v>
      </c>
      <c r="J34" s="3">
        <v>200</v>
      </c>
      <c r="K34" s="3">
        <v>76</v>
      </c>
      <c r="L34" s="3">
        <v>0.495</v>
      </c>
      <c r="M34" s="3">
        <v>0.312</v>
      </c>
      <c r="N34" s="3">
        <v>0.61899999999999999</v>
      </c>
      <c r="O34" s="3">
        <v>18.2</v>
      </c>
      <c r="P34" s="3">
        <v>6.3</v>
      </c>
      <c r="Q34" s="3">
        <v>4.9000000000000004</v>
      </c>
      <c r="R34" s="3">
        <v>1.9</v>
      </c>
      <c r="S34" s="3">
        <v>1.1000000000000001</v>
      </c>
      <c r="T34" s="3">
        <v>7.1999999999999995E-2</v>
      </c>
      <c r="U34" s="3">
        <v>-1.7</v>
      </c>
      <c r="V34" s="3">
        <v>0</v>
      </c>
    </row>
    <row r="35" spans="1:22">
      <c r="A35" s="1">
        <v>33</v>
      </c>
      <c r="B35" s="3">
        <v>33</v>
      </c>
      <c r="C35" s="3" t="s">
        <v>57</v>
      </c>
      <c r="D35" s="3" t="s">
        <v>339</v>
      </c>
      <c r="E35" s="2"/>
      <c r="F35" s="3">
        <v>1</v>
      </c>
      <c r="G35" s="3">
        <v>15</v>
      </c>
      <c r="H35" s="3">
        <v>75</v>
      </c>
      <c r="I35" s="3">
        <v>44</v>
      </c>
      <c r="J35" s="3">
        <v>19</v>
      </c>
      <c r="K35" s="3">
        <v>4</v>
      </c>
      <c r="L35" s="3">
        <v>0.5</v>
      </c>
      <c r="M35" s="3">
        <v>0.4</v>
      </c>
      <c r="N35" s="3">
        <v>0.5</v>
      </c>
      <c r="O35" s="3">
        <v>5</v>
      </c>
      <c r="P35" s="3">
        <v>2.9</v>
      </c>
      <c r="Q35" s="3">
        <v>1.3</v>
      </c>
      <c r="R35" s="3">
        <v>0.3</v>
      </c>
      <c r="S35" s="3">
        <v>0.1</v>
      </c>
      <c r="T35" s="3">
        <v>7.6999999999999999E-2</v>
      </c>
      <c r="U35" s="3">
        <v>1</v>
      </c>
      <c r="V35" s="3">
        <v>0.1</v>
      </c>
    </row>
    <row r="36" spans="1:22">
      <c r="A36" s="1">
        <v>34</v>
      </c>
      <c r="B36" s="3">
        <v>34</v>
      </c>
      <c r="C36" s="3" t="s">
        <v>124</v>
      </c>
      <c r="D36" s="3" t="s">
        <v>340</v>
      </c>
      <c r="E36" s="3" t="s">
        <v>123</v>
      </c>
      <c r="F36" s="3">
        <v>1</v>
      </c>
      <c r="G36" s="3">
        <v>28</v>
      </c>
      <c r="H36" s="3">
        <v>146</v>
      </c>
      <c r="I36" s="3">
        <v>53</v>
      </c>
      <c r="J36" s="3">
        <v>15</v>
      </c>
      <c r="K36" s="3">
        <v>22</v>
      </c>
      <c r="L36" s="3">
        <v>0.38300000000000001</v>
      </c>
      <c r="M36" s="3">
        <v>0.39300000000000002</v>
      </c>
      <c r="N36" s="3">
        <v>1</v>
      </c>
      <c r="O36" s="3">
        <v>5.2</v>
      </c>
      <c r="P36" s="3">
        <v>1.9</v>
      </c>
      <c r="Q36" s="3">
        <v>0.5</v>
      </c>
      <c r="R36" s="3">
        <v>0.8</v>
      </c>
      <c r="S36" s="3">
        <v>0.2</v>
      </c>
      <c r="T36" s="3">
        <v>6.7000000000000004E-2</v>
      </c>
      <c r="U36" s="3">
        <v>-2.6</v>
      </c>
      <c r="V36" s="3">
        <v>0</v>
      </c>
    </row>
    <row r="37" spans="1:22">
      <c r="A37" s="1">
        <v>35</v>
      </c>
      <c r="B37" s="3">
        <v>35</v>
      </c>
      <c r="C37" s="3" t="s">
        <v>79</v>
      </c>
      <c r="D37" s="3" t="s">
        <v>341</v>
      </c>
      <c r="E37" s="3" t="s">
        <v>138</v>
      </c>
      <c r="F37" s="3">
        <v>1</v>
      </c>
      <c r="G37" s="3">
        <v>32</v>
      </c>
      <c r="H37" s="3">
        <v>233</v>
      </c>
      <c r="I37" s="3">
        <v>62</v>
      </c>
      <c r="J37" s="3">
        <v>33</v>
      </c>
      <c r="K37" s="3">
        <v>9</v>
      </c>
      <c r="L37" s="3">
        <v>0.38200000000000001</v>
      </c>
      <c r="M37" s="3">
        <v>0.34399999999999997</v>
      </c>
      <c r="N37" s="3">
        <v>1</v>
      </c>
      <c r="O37" s="3">
        <v>7.3</v>
      </c>
      <c r="P37" s="3">
        <v>1.9</v>
      </c>
      <c r="Q37" s="3">
        <v>1</v>
      </c>
      <c r="R37" s="3">
        <v>0.3</v>
      </c>
      <c r="S37" s="3">
        <v>0.2</v>
      </c>
      <c r="T37" s="3">
        <v>4.2000000000000003E-2</v>
      </c>
      <c r="U37" s="3">
        <v>-3.5</v>
      </c>
      <c r="V37" s="3">
        <v>-0.1</v>
      </c>
    </row>
    <row r="38" spans="1:22">
      <c r="A38" s="4">
        <v>36</v>
      </c>
      <c r="B38" s="5">
        <v>36</v>
      </c>
      <c r="C38" s="5" t="s">
        <v>41</v>
      </c>
      <c r="D38" s="5" t="s">
        <v>342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 s="1">
        <v>37</v>
      </c>
      <c r="B39" s="3">
        <v>37</v>
      </c>
      <c r="C39" s="3" t="s">
        <v>135</v>
      </c>
      <c r="D39" s="3" t="s">
        <v>343</v>
      </c>
      <c r="E39" s="2"/>
      <c r="F39" s="3">
        <v>1</v>
      </c>
      <c r="G39" s="3">
        <v>3</v>
      </c>
      <c r="H39" s="3">
        <v>8</v>
      </c>
      <c r="I39" s="3">
        <v>0</v>
      </c>
      <c r="J39" s="3">
        <v>2</v>
      </c>
      <c r="K39" s="3">
        <v>1</v>
      </c>
      <c r="L39" s="3">
        <v>0</v>
      </c>
      <c r="M39" s="3">
        <v>0</v>
      </c>
      <c r="N39" s="2"/>
      <c r="O39" s="3">
        <v>2.7</v>
      </c>
      <c r="P39" s="3">
        <v>0</v>
      </c>
      <c r="Q39" s="3">
        <v>0.7</v>
      </c>
      <c r="R39" s="3">
        <v>0.3</v>
      </c>
      <c r="S39" s="3">
        <v>0</v>
      </c>
      <c r="T39" s="3">
        <v>-0.153</v>
      </c>
      <c r="U39" s="3">
        <v>-16.8</v>
      </c>
      <c r="V39" s="3">
        <v>0</v>
      </c>
    </row>
    <row r="40" spans="1:22">
      <c r="A40" s="1">
        <v>38</v>
      </c>
      <c r="B40" s="3">
        <v>38</v>
      </c>
      <c r="C40" s="3" t="s">
        <v>50</v>
      </c>
      <c r="D40" s="3" t="s">
        <v>344</v>
      </c>
      <c r="E40" s="3" t="s">
        <v>345</v>
      </c>
      <c r="F40" s="3">
        <v>1</v>
      </c>
      <c r="G40" s="3">
        <v>34</v>
      </c>
      <c r="H40" s="3">
        <v>561</v>
      </c>
      <c r="I40" s="3">
        <v>218</v>
      </c>
      <c r="J40" s="3">
        <v>67</v>
      </c>
      <c r="K40" s="3">
        <v>57</v>
      </c>
      <c r="L40" s="3">
        <v>0.50600000000000001</v>
      </c>
      <c r="M40" s="3">
        <v>0.43099999999999999</v>
      </c>
      <c r="N40" s="3">
        <v>0.84799999999999998</v>
      </c>
      <c r="O40" s="3">
        <v>16.5</v>
      </c>
      <c r="P40" s="3">
        <v>6.4</v>
      </c>
      <c r="Q40" s="3">
        <v>2</v>
      </c>
      <c r="R40" s="3">
        <v>1.7</v>
      </c>
      <c r="S40" s="3">
        <v>1.6</v>
      </c>
      <c r="T40" s="3">
        <v>0.13700000000000001</v>
      </c>
      <c r="U40" s="3">
        <v>-1.2</v>
      </c>
      <c r="V40" s="3">
        <v>0.1</v>
      </c>
    </row>
    <row r="41" spans="1:22">
      <c r="A41" s="1">
        <v>39</v>
      </c>
      <c r="B41" s="3">
        <v>39</v>
      </c>
      <c r="C41" s="3" t="s">
        <v>152</v>
      </c>
      <c r="D41" s="89" t="s">
        <v>346</v>
      </c>
      <c r="E41" s="3" t="s">
        <v>347</v>
      </c>
      <c r="F41" s="3">
        <v>1</v>
      </c>
      <c r="G41" s="3">
        <v>52</v>
      </c>
      <c r="H41" s="3">
        <v>1343</v>
      </c>
      <c r="I41" s="3">
        <v>579</v>
      </c>
      <c r="J41" s="3">
        <v>165</v>
      </c>
      <c r="K41" s="3">
        <v>88</v>
      </c>
      <c r="L41" s="3">
        <v>0.443</v>
      </c>
      <c r="M41" s="3">
        <v>0.374</v>
      </c>
      <c r="N41" s="3">
        <v>0.84099999999999997</v>
      </c>
      <c r="O41" s="3">
        <v>25.8</v>
      </c>
      <c r="P41" s="3">
        <v>11.1</v>
      </c>
      <c r="Q41" s="3">
        <v>3.2</v>
      </c>
      <c r="R41" s="3">
        <v>1.7</v>
      </c>
      <c r="S41" s="3">
        <v>2.8</v>
      </c>
      <c r="T41" s="3">
        <v>0.1</v>
      </c>
      <c r="U41" s="3">
        <v>-1.5</v>
      </c>
      <c r="V41" s="3">
        <v>0.2</v>
      </c>
    </row>
    <row r="42" spans="1:22">
      <c r="A42" s="1">
        <v>40</v>
      </c>
      <c r="B42" s="3">
        <v>40</v>
      </c>
      <c r="C42" s="3" t="s">
        <v>124</v>
      </c>
      <c r="D42" s="3" t="s">
        <v>348</v>
      </c>
      <c r="E42" s="3" t="s">
        <v>123</v>
      </c>
      <c r="F42" s="3">
        <v>1</v>
      </c>
      <c r="G42" s="3">
        <v>41</v>
      </c>
      <c r="H42" s="3">
        <v>605</v>
      </c>
      <c r="I42" s="3">
        <v>143</v>
      </c>
      <c r="J42" s="3">
        <v>132</v>
      </c>
      <c r="K42" s="3">
        <v>40</v>
      </c>
      <c r="L42" s="3">
        <v>0.57399999999999995</v>
      </c>
      <c r="M42" s="3">
        <v>0</v>
      </c>
      <c r="N42" s="3">
        <v>0.52800000000000002</v>
      </c>
      <c r="O42" s="3">
        <v>14.8</v>
      </c>
      <c r="P42" s="3">
        <v>3.5</v>
      </c>
      <c r="Q42" s="3">
        <v>3.2</v>
      </c>
      <c r="R42" s="3">
        <v>1</v>
      </c>
      <c r="S42" s="3">
        <v>0.9</v>
      </c>
      <c r="T42" s="3">
        <v>6.9000000000000006E-2</v>
      </c>
      <c r="U42" s="3">
        <v>-3</v>
      </c>
      <c r="V42" s="3">
        <v>-0.2</v>
      </c>
    </row>
    <row r="43" spans="1:22">
      <c r="A43" s="1">
        <v>41</v>
      </c>
      <c r="B43" s="3">
        <v>41</v>
      </c>
      <c r="C43" s="3" t="s">
        <v>66</v>
      </c>
      <c r="D43" s="82" t="s">
        <v>349</v>
      </c>
      <c r="E43" s="3" t="s">
        <v>63</v>
      </c>
      <c r="F43" s="3">
        <v>1</v>
      </c>
      <c r="G43" s="3">
        <v>36</v>
      </c>
      <c r="H43" s="3">
        <v>394</v>
      </c>
      <c r="I43" s="3">
        <v>108</v>
      </c>
      <c r="J43" s="3">
        <v>102</v>
      </c>
      <c r="K43" s="3">
        <v>11</v>
      </c>
      <c r="L43" s="3">
        <v>0.70199999999999996</v>
      </c>
      <c r="M43" s="2"/>
      <c r="N43" s="3">
        <v>0.63600000000000001</v>
      </c>
      <c r="O43" s="3">
        <v>10.9</v>
      </c>
      <c r="P43" s="3">
        <v>3</v>
      </c>
      <c r="Q43" s="3">
        <v>2.8</v>
      </c>
      <c r="R43" s="3">
        <v>0.3</v>
      </c>
      <c r="S43" s="3">
        <v>0.8</v>
      </c>
      <c r="T43" s="3">
        <v>0.10299999999999999</v>
      </c>
      <c r="U43" s="3">
        <v>-4.4000000000000004</v>
      </c>
      <c r="V43" s="3">
        <v>-0.2</v>
      </c>
    </row>
    <row r="44" spans="1:22">
      <c r="A44" s="1">
        <v>42</v>
      </c>
      <c r="B44" s="3">
        <v>42</v>
      </c>
      <c r="C44" s="3" t="s">
        <v>119</v>
      </c>
      <c r="D44" s="3" t="s">
        <v>350</v>
      </c>
      <c r="E44" s="3" t="s">
        <v>65</v>
      </c>
      <c r="F44" s="3">
        <v>1</v>
      </c>
      <c r="G44" s="3">
        <v>20</v>
      </c>
      <c r="H44" s="3">
        <v>374</v>
      </c>
      <c r="I44" s="3">
        <v>128</v>
      </c>
      <c r="J44" s="3">
        <v>47</v>
      </c>
      <c r="K44" s="3">
        <v>49</v>
      </c>
      <c r="L44" s="3">
        <v>0.32400000000000001</v>
      </c>
      <c r="M44" s="3">
        <v>0.23300000000000001</v>
      </c>
      <c r="N44" s="3">
        <v>0.78800000000000003</v>
      </c>
      <c r="O44" s="3">
        <v>18.7</v>
      </c>
      <c r="P44" s="3">
        <v>6.4</v>
      </c>
      <c r="Q44" s="3">
        <v>2.4</v>
      </c>
      <c r="R44" s="3">
        <v>2.5</v>
      </c>
      <c r="S44" s="3">
        <v>-0.1</v>
      </c>
      <c r="T44" s="3">
        <v>-1.2E-2</v>
      </c>
      <c r="U44" s="3">
        <v>-5.6</v>
      </c>
      <c r="V44" s="3">
        <v>-0.3</v>
      </c>
    </row>
    <row r="45" spans="1:22">
      <c r="A45" s="1">
        <v>43</v>
      </c>
      <c r="B45" s="3">
        <v>43</v>
      </c>
      <c r="C45" s="3" t="s">
        <v>72</v>
      </c>
      <c r="D45" s="3" t="s">
        <v>351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1">
        <v>44</v>
      </c>
      <c r="B46" s="3">
        <v>44</v>
      </c>
      <c r="C46" s="3" t="s">
        <v>52</v>
      </c>
      <c r="D46" s="3" t="s">
        <v>352</v>
      </c>
      <c r="E46" s="3" t="s">
        <v>224</v>
      </c>
      <c r="F46" s="3">
        <v>1</v>
      </c>
      <c r="G46" s="3">
        <v>33</v>
      </c>
      <c r="H46" s="3">
        <v>422</v>
      </c>
      <c r="I46" s="3">
        <v>127</v>
      </c>
      <c r="J46" s="3">
        <v>49</v>
      </c>
      <c r="K46" s="3">
        <v>31</v>
      </c>
      <c r="L46" s="3">
        <v>0.45900000000000002</v>
      </c>
      <c r="M46" s="3">
        <v>0.31900000000000001</v>
      </c>
      <c r="N46" s="3">
        <v>0.66700000000000004</v>
      </c>
      <c r="O46" s="3">
        <v>12.8</v>
      </c>
      <c r="P46" s="3">
        <v>3.8</v>
      </c>
      <c r="Q46" s="3">
        <v>1.5</v>
      </c>
      <c r="R46" s="3">
        <v>0.9</v>
      </c>
      <c r="S46" s="3">
        <v>0.8</v>
      </c>
      <c r="T46" s="3">
        <v>8.5999999999999993E-2</v>
      </c>
      <c r="U46" s="3">
        <v>-3.8</v>
      </c>
      <c r="V46" s="3">
        <v>-0.2</v>
      </c>
    </row>
    <row r="47" spans="1:22">
      <c r="A47" s="1">
        <v>45</v>
      </c>
      <c r="B47" s="3">
        <v>45</v>
      </c>
      <c r="C47" s="3" t="s">
        <v>36</v>
      </c>
      <c r="D47" s="82" t="s">
        <v>353</v>
      </c>
      <c r="E47" s="3" t="s">
        <v>354</v>
      </c>
      <c r="F47" s="3">
        <v>1</v>
      </c>
      <c r="G47" s="3">
        <v>47</v>
      </c>
      <c r="H47" s="3">
        <v>809</v>
      </c>
      <c r="I47" s="3">
        <v>284</v>
      </c>
      <c r="J47" s="3">
        <v>54</v>
      </c>
      <c r="K47" s="3">
        <v>167</v>
      </c>
      <c r="L47" s="3">
        <v>0.42799999999999999</v>
      </c>
      <c r="M47" s="3">
        <v>0.36</v>
      </c>
      <c r="N47" s="3">
        <v>0.72699999999999998</v>
      </c>
      <c r="O47" s="3">
        <v>17.2</v>
      </c>
      <c r="P47" s="3">
        <v>6</v>
      </c>
      <c r="Q47" s="3">
        <v>1.1000000000000001</v>
      </c>
      <c r="R47" s="3">
        <v>3.6</v>
      </c>
      <c r="S47" s="3">
        <v>0.2</v>
      </c>
      <c r="T47" s="3">
        <v>0.01</v>
      </c>
      <c r="U47" s="3">
        <v>-4.5</v>
      </c>
      <c r="V47" s="3">
        <v>-0.5</v>
      </c>
    </row>
    <row r="48" spans="1:22">
      <c r="A48" s="1">
        <v>46</v>
      </c>
      <c r="B48" s="3">
        <v>46</v>
      </c>
      <c r="C48" s="3" t="s">
        <v>28</v>
      </c>
      <c r="D48" s="3" t="s">
        <v>355</v>
      </c>
      <c r="E48" s="3" t="s">
        <v>356</v>
      </c>
      <c r="F48" s="3">
        <v>1</v>
      </c>
      <c r="G48" s="3">
        <v>5</v>
      </c>
      <c r="H48" s="3">
        <v>29</v>
      </c>
      <c r="I48" s="3">
        <v>6</v>
      </c>
      <c r="J48" s="3">
        <v>6</v>
      </c>
      <c r="K48" s="3">
        <v>2</v>
      </c>
      <c r="L48" s="3">
        <v>0.222</v>
      </c>
      <c r="M48" s="3">
        <v>0.16700000000000001</v>
      </c>
      <c r="N48" s="3">
        <v>0.5</v>
      </c>
      <c r="O48" s="3">
        <v>5.8</v>
      </c>
      <c r="P48" s="3">
        <v>1.2</v>
      </c>
      <c r="Q48" s="3">
        <v>1.2</v>
      </c>
      <c r="R48" s="3">
        <v>0.4</v>
      </c>
      <c r="S48" s="3">
        <v>-0.1</v>
      </c>
      <c r="T48" s="3">
        <v>-8.6999999999999994E-2</v>
      </c>
      <c r="U48" s="3">
        <v>-5.2</v>
      </c>
      <c r="V48" s="3">
        <v>0</v>
      </c>
    </row>
    <row r="49" spans="1:22">
      <c r="A49" s="1">
        <v>47</v>
      </c>
      <c r="B49" s="3">
        <v>47</v>
      </c>
      <c r="C49" s="3" t="s">
        <v>179</v>
      </c>
      <c r="D49" s="3" t="s">
        <v>357</v>
      </c>
      <c r="E49" s="3" t="s">
        <v>173</v>
      </c>
      <c r="F49" s="3">
        <v>1</v>
      </c>
      <c r="G49" s="3">
        <v>21</v>
      </c>
      <c r="H49" s="3">
        <v>200</v>
      </c>
      <c r="I49" s="3">
        <v>89</v>
      </c>
      <c r="J49" s="3">
        <v>19</v>
      </c>
      <c r="K49" s="3">
        <v>15</v>
      </c>
      <c r="L49" s="3">
        <v>0.41</v>
      </c>
      <c r="M49" s="3">
        <v>0.311</v>
      </c>
      <c r="N49" s="3">
        <v>0.875</v>
      </c>
      <c r="O49" s="3">
        <v>9.5</v>
      </c>
      <c r="P49" s="3">
        <v>4.2</v>
      </c>
      <c r="Q49" s="3">
        <v>0.9</v>
      </c>
      <c r="R49" s="3">
        <v>0.7</v>
      </c>
      <c r="S49" s="3">
        <v>0.1</v>
      </c>
      <c r="T49" s="3">
        <v>0.02</v>
      </c>
      <c r="U49" s="3">
        <v>-3.6</v>
      </c>
      <c r="V49" s="3">
        <v>-0.1</v>
      </c>
    </row>
    <row r="50" spans="1:22">
      <c r="A50" s="1">
        <v>48</v>
      </c>
      <c r="B50" s="3">
        <v>48</v>
      </c>
      <c r="C50" s="3" t="s">
        <v>79</v>
      </c>
      <c r="D50" s="3" t="s">
        <v>358</v>
      </c>
      <c r="E50" s="3" t="s">
        <v>78</v>
      </c>
      <c r="F50" s="3">
        <v>1</v>
      </c>
      <c r="G50" s="3">
        <v>2</v>
      </c>
      <c r="H50" s="3">
        <v>11</v>
      </c>
      <c r="I50" s="3">
        <v>0</v>
      </c>
      <c r="J50" s="3">
        <v>2</v>
      </c>
      <c r="K50" s="3">
        <v>0</v>
      </c>
      <c r="L50" s="3">
        <v>0</v>
      </c>
      <c r="M50" s="3">
        <v>0</v>
      </c>
      <c r="N50" s="2"/>
      <c r="O50" s="3">
        <v>5.5</v>
      </c>
      <c r="P50" s="3">
        <v>0</v>
      </c>
      <c r="Q50" s="3">
        <v>1</v>
      </c>
      <c r="R50" s="3">
        <v>0</v>
      </c>
      <c r="S50" s="3">
        <v>0</v>
      </c>
      <c r="T50" s="3">
        <v>-0.16200000000000001</v>
      </c>
      <c r="U50" s="3">
        <v>-14.9</v>
      </c>
      <c r="V50" s="3">
        <v>0</v>
      </c>
    </row>
    <row r="51" spans="1:22">
      <c r="A51" s="1">
        <v>49</v>
      </c>
      <c r="B51" s="3">
        <v>49</v>
      </c>
      <c r="C51" s="3" t="s">
        <v>41</v>
      </c>
      <c r="D51" s="3" t="s">
        <v>359</v>
      </c>
      <c r="E51" s="3" t="s">
        <v>300</v>
      </c>
      <c r="F51" s="3">
        <v>1</v>
      </c>
      <c r="G51" s="3">
        <v>6</v>
      </c>
      <c r="H51" s="3">
        <v>9</v>
      </c>
      <c r="I51" s="3">
        <v>3</v>
      </c>
      <c r="J51" s="3">
        <v>1</v>
      </c>
      <c r="K51" s="3">
        <v>1</v>
      </c>
      <c r="L51" s="3">
        <v>0.16700000000000001</v>
      </c>
      <c r="M51" s="3">
        <v>0</v>
      </c>
      <c r="N51" s="3">
        <v>1</v>
      </c>
      <c r="O51" s="3">
        <v>1.5</v>
      </c>
      <c r="P51" s="3">
        <v>0.5</v>
      </c>
      <c r="Q51" s="3">
        <v>0.2</v>
      </c>
      <c r="R51" s="3">
        <v>0.2</v>
      </c>
      <c r="S51" s="3">
        <v>-0.1</v>
      </c>
      <c r="T51" s="3">
        <v>-0.47499999999999998</v>
      </c>
      <c r="U51" s="3">
        <v>-31.3</v>
      </c>
      <c r="V51" s="3">
        <v>-0.1</v>
      </c>
    </row>
    <row r="52" spans="1:22" ht="30">
      <c r="A52" s="1">
        <v>50</v>
      </c>
      <c r="B52" s="3">
        <v>50</v>
      </c>
      <c r="C52" s="3" t="s">
        <v>41</v>
      </c>
      <c r="D52" s="3" t="s">
        <v>360</v>
      </c>
      <c r="E52" s="3" t="s">
        <v>361</v>
      </c>
      <c r="F52" s="3">
        <v>1</v>
      </c>
      <c r="G52" s="3">
        <v>19</v>
      </c>
      <c r="H52" s="3">
        <v>139</v>
      </c>
      <c r="I52" s="3">
        <v>32</v>
      </c>
      <c r="J52" s="3">
        <v>19</v>
      </c>
      <c r="K52" s="3">
        <v>8</v>
      </c>
      <c r="L52" s="3">
        <v>0.48</v>
      </c>
      <c r="M52" s="3">
        <v>0.16700000000000001</v>
      </c>
      <c r="N52" s="3">
        <v>0.53800000000000003</v>
      </c>
      <c r="O52" s="3">
        <v>7.3</v>
      </c>
      <c r="P52" s="3">
        <v>1.7</v>
      </c>
      <c r="Q52" s="3">
        <v>1</v>
      </c>
      <c r="R52" s="3">
        <v>0.4</v>
      </c>
      <c r="S52" s="3">
        <v>0.1</v>
      </c>
      <c r="T52" s="3">
        <v>2.7E-2</v>
      </c>
      <c r="U52" s="3">
        <v>-6.7</v>
      </c>
      <c r="V52" s="3">
        <v>-0.2</v>
      </c>
    </row>
    <row r="53" spans="1:22">
      <c r="A53" s="1">
        <v>51</v>
      </c>
      <c r="B53" s="3">
        <v>51</v>
      </c>
      <c r="C53" s="3" t="s">
        <v>50</v>
      </c>
      <c r="D53" s="3" t="s">
        <v>362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1">
        <v>52</v>
      </c>
      <c r="B54" s="3">
        <v>52</v>
      </c>
      <c r="C54" s="3" t="s">
        <v>25</v>
      </c>
      <c r="D54" s="80" t="s">
        <v>363</v>
      </c>
      <c r="E54" s="3" t="s">
        <v>364</v>
      </c>
      <c r="F54" s="3">
        <v>1</v>
      </c>
      <c r="G54" s="3">
        <v>14</v>
      </c>
      <c r="H54" s="3">
        <v>204</v>
      </c>
      <c r="I54" s="3">
        <v>110</v>
      </c>
      <c r="J54" s="3">
        <v>47</v>
      </c>
      <c r="K54" s="3">
        <v>25</v>
      </c>
      <c r="L54" s="3">
        <v>0.47099999999999997</v>
      </c>
      <c r="M54" s="3">
        <v>0.38900000000000001</v>
      </c>
      <c r="N54" s="3">
        <v>1</v>
      </c>
      <c r="O54" s="3">
        <v>14.6</v>
      </c>
      <c r="P54" s="3">
        <v>7.9</v>
      </c>
      <c r="Q54" s="3">
        <v>3.4</v>
      </c>
      <c r="R54" s="3">
        <v>1.8</v>
      </c>
      <c r="S54" s="3">
        <v>0.7</v>
      </c>
      <c r="T54" s="3">
        <v>0.156</v>
      </c>
      <c r="U54" s="3">
        <v>2.1</v>
      </c>
      <c r="V54" s="3">
        <v>0.2</v>
      </c>
    </row>
    <row r="55" spans="1:22">
      <c r="A55" s="1">
        <v>53</v>
      </c>
      <c r="B55" s="3">
        <v>53</v>
      </c>
      <c r="C55" s="3" t="s">
        <v>34</v>
      </c>
      <c r="D55" s="3" t="s">
        <v>365</v>
      </c>
      <c r="E55" s="3" t="s">
        <v>300</v>
      </c>
      <c r="F55" s="3">
        <v>1</v>
      </c>
      <c r="G55" s="3">
        <v>10</v>
      </c>
      <c r="H55" s="3">
        <v>121</v>
      </c>
      <c r="I55" s="3">
        <v>40</v>
      </c>
      <c r="J55" s="3">
        <v>17</v>
      </c>
      <c r="K55" s="3">
        <v>16</v>
      </c>
      <c r="L55" s="3">
        <v>0.433</v>
      </c>
      <c r="M55" s="3">
        <v>0.313</v>
      </c>
      <c r="N55" s="3">
        <v>1</v>
      </c>
      <c r="O55" s="3">
        <v>12.1</v>
      </c>
      <c r="P55" s="3">
        <v>4</v>
      </c>
      <c r="Q55" s="3">
        <v>1.7</v>
      </c>
      <c r="R55" s="3">
        <v>1.6</v>
      </c>
      <c r="S55" s="3">
        <v>0.3</v>
      </c>
      <c r="T55" s="3">
        <v>0.13</v>
      </c>
      <c r="U55" s="3">
        <v>-1.2</v>
      </c>
      <c r="V55" s="3">
        <v>0</v>
      </c>
    </row>
    <row r="56" spans="1:22">
      <c r="A56" s="1">
        <v>54</v>
      </c>
      <c r="B56" s="3">
        <v>54</v>
      </c>
      <c r="C56" s="3" t="s">
        <v>190</v>
      </c>
      <c r="D56" s="3" t="s">
        <v>366</v>
      </c>
      <c r="E56" s="3" t="s">
        <v>43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1">
        <v>55</v>
      </c>
      <c r="B57" s="3">
        <v>55</v>
      </c>
      <c r="C57" s="3" t="s">
        <v>31</v>
      </c>
      <c r="D57" s="3" t="s">
        <v>367</v>
      </c>
      <c r="E57" s="3" t="s">
        <v>105</v>
      </c>
      <c r="F57" s="3">
        <v>1</v>
      </c>
      <c r="G57" s="3">
        <v>16</v>
      </c>
      <c r="H57" s="3">
        <v>64</v>
      </c>
      <c r="I57" s="3">
        <v>14</v>
      </c>
      <c r="J57" s="3">
        <v>7</v>
      </c>
      <c r="K57" s="3">
        <v>7</v>
      </c>
      <c r="L57" s="3">
        <v>0.16700000000000001</v>
      </c>
      <c r="M57" s="3">
        <v>0.1</v>
      </c>
      <c r="N57" s="3">
        <v>0.71399999999999997</v>
      </c>
      <c r="O57" s="3">
        <v>4</v>
      </c>
      <c r="P57" s="3">
        <v>0.9</v>
      </c>
      <c r="Q57" s="3">
        <v>0.4</v>
      </c>
      <c r="R57" s="3">
        <v>0.4</v>
      </c>
      <c r="S57" s="3">
        <v>-0.3</v>
      </c>
      <c r="T57" s="3">
        <v>-0.19800000000000001</v>
      </c>
      <c r="U57" s="3">
        <v>-12.1</v>
      </c>
      <c r="V57" s="3">
        <v>-0.2</v>
      </c>
    </row>
    <row r="58" spans="1:22">
      <c r="A58" s="1">
        <v>56</v>
      </c>
      <c r="B58" s="3">
        <v>56</v>
      </c>
      <c r="C58" s="3" t="s">
        <v>323</v>
      </c>
      <c r="D58" s="3" t="s">
        <v>368</v>
      </c>
      <c r="E58" s="3" t="s">
        <v>138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1">
        <v>57</v>
      </c>
      <c r="B59" s="3">
        <v>57</v>
      </c>
      <c r="C59" s="3" t="s">
        <v>152</v>
      </c>
      <c r="D59" s="3" t="s">
        <v>369</v>
      </c>
      <c r="E59" s="2"/>
      <c r="F59" s="3">
        <v>1</v>
      </c>
      <c r="G59" s="3">
        <v>6</v>
      </c>
      <c r="H59" s="3">
        <v>20</v>
      </c>
      <c r="I59" s="3">
        <v>5</v>
      </c>
      <c r="J59" s="3">
        <v>6</v>
      </c>
      <c r="K59" s="3">
        <v>2</v>
      </c>
      <c r="L59" s="3">
        <v>0.66700000000000004</v>
      </c>
      <c r="M59" s="2"/>
      <c r="N59" s="3">
        <v>0.5</v>
      </c>
      <c r="O59" s="3">
        <v>3.3</v>
      </c>
      <c r="P59" s="3">
        <v>0.8</v>
      </c>
      <c r="Q59" s="3">
        <v>1</v>
      </c>
      <c r="R59" s="3">
        <v>0.3</v>
      </c>
      <c r="S59" s="3">
        <v>0</v>
      </c>
      <c r="T59" s="3">
        <v>3.5999999999999997E-2</v>
      </c>
      <c r="U59" s="3">
        <v>-6.6</v>
      </c>
      <c r="V59" s="3">
        <v>0</v>
      </c>
    </row>
    <row r="60" spans="1:22">
      <c r="A60" s="1">
        <v>58</v>
      </c>
      <c r="B60" s="3">
        <v>58</v>
      </c>
      <c r="C60" s="3" t="s">
        <v>20</v>
      </c>
      <c r="D60" s="3" t="s">
        <v>370</v>
      </c>
      <c r="E60" s="2"/>
      <c r="F60" s="3">
        <v>1</v>
      </c>
      <c r="G60" s="3">
        <v>20</v>
      </c>
      <c r="H60" s="3">
        <v>157</v>
      </c>
      <c r="I60" s="3">
        <v>34</v>
      </c>
      <c r="J60" s="3">
        <v>39</v>
      </c>
      <c r="K60" s="3">
        <v>8</v>
      </c>
      <c r="L60" s="3">
        <v>0.63600000000000001</v>
      </c>
      <c r="M60" s="2"/>
      <c r="N60" s="3">
        <v>0.54500000000000004</v>
      </c>
      <c r="O60" s="3">
        <v>7.9</v>
      </c>
      <c r="P60" s="3">
        <v>1.7</v>
      </c>
      <c r="Q60" s="3">
        <v>2</v>
      </c>
      <c r="R60" s="3">
        <v>0.4</v>
      </c>
      <c r="S60" s="3">
        <v>0.1</v>
      </c>
      <c r="T60" s="3">
        <v>3.4000000000000002E-2</v>
      </c>
      <c r="U60" s="3">
        <v>-4.5999999999999996</v>
      </c>
      <c r="V60" s="3">
        <v>-0.1</v>
      </c>
    </row>
    <row r="61" spans="1:22">
      <c r="A61" s="1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1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AB37-776D-DB4E-86DE-5B210A29D14B}">
  <dimension ref="A1:W62"/>
  <sheetViews>
    <sheetView zoomScale="173" workbookViewId="0">
      <pane ySplit="1" topLeftCell="A40" activePane="bottomLeft" state="frozen"/>
      <selection pane="bottomLeft" activeCell="D54" sqref="D54"/>
    </sheetView>
  </sheetViews>
  <sheetFormatPr defaultColWidth="8.875" defaultRowHeight="14.1"/>
  <cols>
    <col min="1" max="2" width="3.125" style="52" bestFit="1" customWidth="1"/>
    <col min="3" max="3" width="5.875" style="52" customWidth="1"/>
    <col min="4" max="4" width="17.375" style="52" bestFit="1" customWidth="1"/>
    <col min="5" max="5" width="13" style="52" bestFit="1" customWidth="1"/>
    <col min="6" max="6" width="3.375" style="52" hidden="1" customWidth="1"/>
    <col min="7" max="7" width="3.625" style="52" hidden="1" customWidth="1"/>
    <col min="8" max="8" width="5.125" style="52" bestFit="1" customWidth="1"/>
    <col min="9" max="10" width="4.5" style="52" hidden="1" customWidth="1"/>
    <col min="11" max="11" width="3.875" style="52" hidden="1" customWidth="1"/>
    <col min="12" max="14" width="5.625" style="52" bestFit="1" customWidth="1"/>
    <col min="15" max="17" width="4.625" style="52" bestFit="1" customWidth="1"/>
    <col min="18" max="18" width="4" style="52" bestFit="1" customWidth="1"/>
    <col min="19" max="19" width="4.375" style="52" bestFit="1" customWidth="1"/>
    <col min="20" max="20" width="6.125" style="52" bestFit="1" customWidth="1"/>
    <col min="21" max="22" width="5.125" style="52" bestFit="1" customWidth="1"/>
    <col min="23" max="23" width="9" style="52" bestFit="1" customWidth="1"/>
    <col min="24" max="16384" width="8.875" style="52"/>
  </cols>
  <sheetData>
    <row r="1" spans="1:23" ht="17.100000000000001" customHeight="1">
      <c r="A1" s="50" t="s">
        <v>292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7</v>
      </c>
      <c r="P1" s="50" t="s">
        <v>8</v>
      </c>
      <c r="Q1" s="50" t="s">
        <v>9</v>
      </c>
      <c r="R1" s="50" t="s">
        <v>10</v>
      </c>
      <c r="S1" s="50" t="s">
        <v>14</v>
      </c>
      <c r="T1" s="50" t="s">
        <v>15</v>
      </c>
      <c r="U1" s="50" t="s">
        <v>16</v>
      </c>
      <c r="V1" s="50" t="s">
        <v>17</v>
      </c>
      <c r="W1" s="50" t="s">
        <v>371</v>
      </c>
    </row>
    <row r="2" spans="1:23" ht="15" hidden="1">
      <c r="A2" s="50">
        <v>1</v>
      </c>
      <c r="B2" s="51">
        <v>1</v>
      </c>
      <c r="C2" s="51" t="s">
        <v>79</v>
      </c>
      <c r="D2" s="51" t="s">
        <v>372</v>
      </c>
      <c r="E2" s="51"/>
      <c r="F2" s="51">
        <v>2</v>
      </c>
      <c r="G2" s="51">
        <v>115</v>
      </c>
      <c r="H2" s="51">
        <v>3559</v>
      </c>
      <c r="I2" s="51">
        <v>2590</v>
      </c>
      <c r="J2" s="51">
        <v>1233</v>
      </c>
      <c r="K2" s="51">
        <v>434</v>
      </c>
      <c r="L2" s="51">
        <v>0.46899999999999997</v>
      </c>
      <c r="M2" s="51">
        <v>0.33700000000000002</v>
      </c>
      <c r="N2" s="51">
        <v>0.81100000000000005</v>
      </c>
      <c r="O2" s="51">
        <v>30.9</v>
      </c>
      <c r="P2" s="51">
        <v>22.5</v>
      </c>
      <c r="Q2" s="51">
        <v>10.7</v>
      </c>
      <c r="R2" s="51">
        <v>3.8</v>
      </c>
      <c r="S2" s="51">
        <v>7.7</v>
      </c>
      <c r="T2" s="51">
        <v>0.104</v>
      </c>
      <c r="U2" s="51">
        <v>5.8</v>
      </c>
      <c r="V2" s="51">
        <v>6.9</v>
      </c>
      <c r="W2" s="52">
        <f>V2/F2</f>
        <v>3.45</v>
      </c>
    </row>
    <row r="3" spans="1:23" ht="15" hidden="1">
      <c r="A3" s="50">
        <v>2</v>
      </c>
      <c r="B3" s="51">
        <v>2</v>
      </c>
      <c r="C3" s="51" t="s">
        <v>119</v>
      </c>
      <c r="D3" s="51" t="s">
        <v>373</v>
      </c>
      <c r="E3" s="51" t="s">
        <v>46</v>
      </c>
      <c r="F3" s="51">
        <v>2</v>
      </c>
      <c r="G3" s="51">
        <v>101</v>
      </c>
      <c r="H3" s="51">
        <v>3307</v>
      </c>
      <c r="I3" s="51">
        <v>1847</v>
      </c>
      <c r="J3" s="51">
        <v>446</v>
      </c>
      <c r="K3" s="51">
        <v>273</v>
      </c>
      <c r="L3" s="51">
        <v>0.42799999999999999</v>
      </c>
      <c r="M3" s="51">
        <v>0.36599999999999999</v>
      </c>
      <c r="N3" s="51">
        <v>0.83699999999999997</v>
      </c>
      <c r="O3" s="51">
        <v>32.700000000000003</v>
      </c>
      <c r="P3" s="51">
        <v>18.3</v>
      </c>
      <c r="Q3" s="51">
        <v>4.4000000000000004</v>
      </c>
      <c r="R3" s="51">
        <v>2.7</v>
      </c>
      <c r="S3" s="51">
        <v>1.6</v>
      </c>
      <c r="T3" s="51">
        <v>2.3E-2</v>
      </c>
      <c r="U3" s="51">
        <v>-1.8</v>
      </c>
      <c r="V3" s="51">
        <v>0.2</v>
      </c>
      <c r="W3" s="52">
        <f t="shared" ref="W3:W60" si="0">V3/F3</f>
        <v>0.1</v>
      </c>
    </row>
    <row r="4" spans="1:23" ht="15" hidden="1">
      <c r="A4" s="50">
        <v>3</v>
      </c>
      <c r="B4" s="51">
        <v>3</v>
      </c>
      <c r="C4" s="51" t="s">
        <v>124</v>
      </c>
      <c r="D4" s="51" t="s">
        <v>374</v>
      </c>
      <c r="E4" s="51"/>
      <c r="F4" s="51">
        <v>2</v>
      </c>
      <c r="G4" s="51">
        <v>108</v>
      </c>
      <c r="H4" s="51">
        <v>2985</v>
      </c>
      <c r="I4" s="51">
        <v>1445</v>
      </c>
      <c r="J4" s="51">
        <v>333</v>
      </c>
      <c r="K4" s="51">
        <v>580</v>
      </c>
      <c r="L4" s="51">
        <v>0.40300000000000002</v>
      </c>
      <c r="M4" s="51">
        <v>0.34200000000000003</v>
      </c>
      <c r="N4" s="51">
        <v>0.80600000000000005</v>
      </c>
      <c r="O4" s="51">
        <v>27.6</v>
      </c>
      <c r="P4" s="51">
        <v>13.4</v>
      </c>
      <c r="Q4" s="51">
        <v>3.1</v>
      </c>
      <c r="R4" s="51">
        <v>5.4</v>
      </c>
      <c r="S4" s="51">
        <v>-0.1</v>
      </c>
      <c r="T4" s="51">
        <v>-1E-3</v>
      </c>
      <c r="U4" s="51">
        <v>-3.9</v>
      </c>
      <c r="V4" s="51">
        <v>-1.5</v>
      </c>
      <c r="W4" s="52">
        <f t="shared" si="0"/>
        <v>-0.75</v>
      </c>
    </row>
    <row r="5" spans="1:23" ht="15" hidden="1">
      <c r="A5" s="50">
        <v>4</v>
      </c>
      <c r="B5" s="51">
        <v>4</v>
      </c>
      <c r="C5" s="51" t="s">
        <v>52</v>
      </c>
      <c r="D5" s="51" t="s">
        <v>375</v>
      </c>
      <c r="E5" s="51"/>
      <c r="F5" s="51">
        <v>2</v>
      </c>
      <c r="G5" s="51">
        <v>112</v>
      </c>
      <c r="H5" s="51">
        <v>2975</v>
      </c>
      <c r="I5" s="51">
        <v>1282</v>
      </c>
      <c r="J5" s="51">
        <v>810</v>
      </c>
      <c r="K5" s="51">
        <v>326</v>
      </c>
      <c r="L5" s="51">
        <v>0.54100000000000004</v>
      </c>
      <c r="M5" s="51">
        <v>0.20200000000000001</v>
      </c>
      <c r="N5" s="51">
        <v>0.69899999999999995</v>
      </c>
      <c r="O5" s="51">
        <v>26.6</v>
      </c>
      <c r="P5" s="51">
        <v>11.4</v>
      </c>
      <c r="Q5" s="51">
        <v>7.2</v>
      </c>
      <c r="R5" s="51">
        <v>2.9</v>
      </c>
      <c r="S5" s="51">
        <v>9.8000000000000007</v>
      </c>
      <c r="T5" s="51">
        <v>0.158</v>
      </c>
      <c r="U5" s="51">
        <v>2.6</v>
      </c>
      <c r="V5" s="51">
        <v>3.5</v>
      </c>
      <c r="W5" s="52">
        <f t="shared" si="0"/>
        <v>1.75</v>
      </c>
    </row>
    <row r="6" spans="1:23" ht="15" hidden="1">
      <c r="A6" s="50">
        <v>5</v>
      </c>
      <c r="B6" s="51">
        <v>5</v>
      </c>
      <c r="C6" s="51" t="s">
        <v>34</v>
      </c>
      <c r="D6" s="51" t="s">
        <v>376</v>
      </c>
      <c r="E6" s="51"/>
      <c r="F6" s="51">
        <v>2</v>
      </c>
      <c r="G6" s="51">
        <v>94</v>
      </c>
      <c r="H6" s="51">
        <v>2224</v>
      </c>
      <c r="I6" s="51">
        <v>829</v>
      </c>
      <c r="J6" s="51">
        <v>559</v>
      </c>
      <c r="K6" s="51">
        <v>180</v>
      </c>
      <c r="L6" s="51">
        <v>0.496</v>
      </c>
      <c r="M6" s="51">
        <v>0.193</v>
      </c>
      <c r="N6" s="51">
        <v>0.59799999999999998</v>
      </c>
      <c r="O6" s="51">
        <v>23.7</v>
      </c>
      <c r="P6" s="51">
        <v>8.8000000000000007</v>
      </c>
      <c r="Q6" s="51">
        <v>5.9</v>
      </c>
      <c r="R6" s="51">
        <v>1.9</v>
      </c>
      <c r="S6" s="51">
        <v>3.3</v>
      </c>
      <c r="T6" s="51">
        <v>7.0999999999999994E-2</v>
      </c>
      <c r="U6" s="51">
        <v>-1.5</v>
      </c>
      <c r="V6" s="51">
        <v>0.3</v>
      </c>
      <c r="W6" s="52">
        <f t="shared" si="0"/>
        <v>0.15</v>
      </c>
    </row>
    <row r="7" spans="1:23" ht="15" hidden="1">
      <c r="A7" s="50">
        <v>6</v>
      </c>
      <c r="B7" s="51">
        <v>6</v>
      </c>
      <c r="C7" s="51" t="s">
        <v>179</v>
      </c>
      <c r="D7" s="51" t="s">
        <v>377</v>
      </c>
      <c r="E7" s="51" t="s">
        <v>84</v>
      </c>
      <c r="F7" s="51">
        <v>2</v>
      </c>
      <c r="G7" s="51">
        <v>119</v>
      </c>
      <c r="H7" s="51">
        <v>2401</v>
      </c>
      <c r="I7" s="51">
        <v>773</v>
      </c>
      <c r="J7" s="51">
        <v>265</v>
      </c>
      <c r="K7" s="51">
        <v>259</v>
      </c>
      <c r="L7" s="51">
        <v>0.434</v>
      </c>
      <c r="M7" s="51">
        <v>0.33</v>
      </c>
      <c r="N7" s="51">
        <v>0.70499999999999996</v>
      </c>
      <c r="O7" s="51">
        <v>20.2</v>
      </c>
      <c r="P7" s="51">
        <v>6.5</v>
      </c>
      <c r="Q7" s="51">
        <v>2.2000000000000002</v>
      </c>
      <c r="R7" s="51">
        <v>2.2000000000000002</v>
      </c>
      <c r="S7" s="51">
        <v>2.8</v>
      </c>
      <c r="T7" s="51">
        <v>5.7000000000000002E-2</v>
      </c>
      <c r="U7" s="51">
        <v>-3</v>
      </c>
      <c r="V7" s="51">
        <v>-0.6</v>
      </c>
      <c r="W7" s="52">
        <f t="shared" si="0"/>
        <v>-0.3</v>
      </c>
    </row>
    <row r="8" spans="1:23" ht="15" hidden="1">
      <c r="A8" s="50">
        <v>7</v>
      </c>
      <c r="B8" s="51">
        <v>7</v>
      </c>
      <c r="C8" s="51" t="s">
        <v>41</v>
      </c>
      <c r="D8" s="51" t="s">
        <v>378</v>
      </c>
      <c r="E8" s="51"/>
      <c r="F8" s="51">
        <v>2</v>
      </c>
      <c r="G8" s="51">
        <v>111</v>
      </c>
      <c r="H8" s="51">
        <v>3316</v>
      </c>
      <c r="I8" s="51">
        <v>1139</v>
      </c>
      <c r="J8" s="51">
        <v>501</v>
      </c>
      <c r="K8" s="51">
        <v>274</v>
      </c>
      <c r="L8" s="51">
        <v>0.42699999999999999</v>
      </c>
      <c r="M8" s="51">
        <v>0.313</v>
      </c>
      <c r="N8" s="51">
        <v>0.73399999999999999</v>
      </c>
      <c r="O8" s="51">
        <v>29.9</v>
      </c>
      <c r="P8" s="51">
        <v>10.3</v>
      </c>
      <c r="Q8" s="51">
        <v>4.5</v>
      </c>
      <c r="R8" s="51">
        <v>2.5</v>
      </c>
      <c r="S8" s="51">
        <v>0.8</v>
      </c>
      <c r="T8" s="51">
        <v>1.2E-2</v>
      </c>
      <c r="U8" s="51">
        <v>-3.8</v>
      </c>
      <c r="V8" s="51">
        <v>-1.5</v>
      </c>
      <c r="W8" s="52">
        <f t="shared" si="0"/>
        <v>-0.75</v>
      </c>
    </row>
    <row r="9" spans="1:23" ht="15" hidden="1">
      <c r="A9" s="50">
        <v>8</v>
      </c>
      <c r="B9" s="51">
        <v>8</v>
      </c>
      <c r="C9" s="51" t="s">
        <v>69</v>
      </c>
      <c r="D9" s="51" t="s">
        <v>379</v>
      </c>
      <c r="E9" s="51" t="s">
        <v>354</v>
      </c>
      <c r="F9" s="51">
        <v>2</v>
      </c>
      <c r="G9" s="51">
        <v>82</v>
      </c>
      <c r="H9" s="51">
        <v>1159</v>
      </c>
      <c r="I9" s="51">
        <v>420</v>
      </c>
      <c r="J9" s="51">
        <v>221</v>
      </c>
      <c r="K9" s="51">
        <v>110</v>
      </c>
      <c r="L9" s="51">
        <v>0.44400000000000001</v>
      </c>
      <c r="M9" s="51">
        <v>0.379</v>
      </c>
      <c r="N9" s="51">
        <v>0.67200000000000004</v>
      </c>
      <c r="O9" s="51">
        <v>14.1</v>
      </c>
      <c r="P9" s="51">
        <v>5.0999999999999996</v>
      </c>
      <c r="Q9" s="51">
        <v>2.7</v>
      </c>
      <c r="R9" s="51">
        <v>1.3</v>
      </c>
      <c r="S9" s="51">
        <v>1.3</v>
      </c>
      <c r="T9" s="51">
        <v>5.3999999999999999E-2</v>
      </c>
      <c r="U9" s="51">
        <v>-0.9</v>
      </c>
      <c r="V9" s="51">
        <v>0.3</v>
      </c>
      <c r="W9" s="52">
        <f t="shared" si="0"/>
        <v>0.15</v>
      </c>
    </row>
    <row r="10" spans="1:23" ht="15" hidden="1">
      <c r="A10" s="50">
        <v>9</v>
      </c>
      <c r="B10" s="51">
        <v>9</v>
      </c>
      <c r="C10" s="51" t="s">
        <v>193</v>
      </c>
      <c r="D10" s="51" t="s">
        <v>380</v>
      </c>
      <c r="E10" s="51" t="s">
        <v>381</v>
      </c>
      <c r="F10" s="51">
        <v>2</v>
      </c>
      <c r="G10" s="51">
        <v>43</v>
      </c>
      <c r="H10" s="51">
        <v>931</v>
      </c>
      <c r="I10" s="51">
        <v>306</v>
      </c>
      <c r="J10" s="51">
        <v>200</v>
      </c>
      <c r="K10" s="51">
        <v>34</v>
      </c>
      <c r="L10" s="51">
        <v>0.434</v>
      </c>
      <c r="M10" s="51">
        <v>0.36799999999999999</v>
      </c>
      <c r="N10" s="51">
        <v>0.78800000000000003</v>
      </c>
      <c r="O10" s="51">
        <v>21.7</v>
      </c>
      <c r="P10" s="51">
        <v>7.1</v>
      </c>
      <c r="Q10" s="51">
        <v>4.7</v>
      </c>
      <c r="R10" s="51">
        <v>0.8</v>
      </c>
      <c r="S10" s="51">
        <v>1.2</v>
      </c>
      <c r="T10" s="51">
        <v>6.4000000000000001E-2</v>
      </c>
      <c r="U10" s="51">
        <v>-1.8</v>
      </c>
      <c r="V10" s="51">
        <v>0.1</v>
      </c>
      <c r="W10" s="52">
        <f t="shared" si="0"/>
        <v>0.05</v>
      </c>
    </row>
    <row r="11" spans="1:23" ht="15" hidden="1">
      <c r="A11" s="50">
        <v>10</v>
      </c>
      <c r="B11" s="51">
        <v>10</v>
      </c>
      <c r="C11" s="51" t="s">
        <v>20</v>
      </c>
      <c r="D11" s="51" t="s">
        <v>382</v>
      </c>
      <c r="E11" s="51" t="s">
        <v>173</v>
      </c>
      <c r="F11" s="51">
        <v>2</v>
      </c>
      <c r="G11" s="51">
        <v>128</v>
      </c>
      <c r="H11" s="51">
        <v>2951</v>
      </c>
      <c r="I11" s="51">
        <v>896</v>
      </c>
      <c r="J11" s="51">
        <v>346</v>
      </c>
      <c r="K11" s="51">
        <v>230</v>
      </c>
      <c r="L11" s="51">
        <v>0.47099999999999997</v>
      </c>
      <c r="M11" s="51">
        <v>0.38800000000000001</v>
      </c>
      <c r="N11" s="51">
        <v>0.78200000000000003</v>
      </c>
      <c r="O11" s="51">
        <v>23.1</v>
      </c>
      <c r="P11" s="51">
        <v>7</v>
      </c>
      <c r="Q11" s="51">
        <v>2.7</v>
      </c>
      <c r="R11" s="51">
        <v>1.8</v>
      </c>
      <c r="S11" s="51">
        <v>7.4</v>
      </c>
      <c r="T11" s="51">
        <v>0.121</v>
      </c>
      <c r="U11" s="51">
        <v>0.3</v>
      </c>
      <c r="V11" s="51">
        <v>1.7</v>
      </c>
      <c r="W11" s="52">
        <f t="shared" si="0"/>
        <v>0.85</v>
      </c>
    </row>
    <row r="12" spans="1:23" ht="15" hidden="1">
      <c r="A12" s="50">
        <v>11</v>
      </c>
      <c r="B12" s="51">
        <v>11</v>
      </c>
      <c r="C12" s="51" t="s">
        <v>179</v>
      </c>
      <c r="D12" s="51" t="s">
        <v>383</v>
      </c>
      <c r="E12" s="51" t="s">
        <v>151</v>
      </c>
      <c r="F12" s="51">
        <v>2</v>
      </c>
      <c r="G12" s="51">
        <v>62</v>
      </c>
      <c r="H12" s="51">
        <v>548</v>
      </c>
      <c r="I12" s="51">
        <v>224</v>
      </c>
      <c r="J12" s="51">
        <v>60</v>
      </c>
      <c r="K12" s="51">
        <v>32</v>
      </c>
      <c r="L12" s="51">
        <v>0.36899999999999999</v>
      </c>
      <c r="M12" s="51">
        <v>0.316</v>
      </c>
      <c r="N12" s="51">
        <v>0.77300000000000002</v>
      </c>
      <c r="O12" s="51">
        <v>8.8000000000000007</v>
      </c>
      <c r="P12" s="51">
        <v>3.6</v>
      </c>
      <c r="Q12" s="51">
        <v>1</v>
      </c>
      <c r="R12" s="51">
        <v>0.5</v>
      </c>
      <c r="S12" s="51">
        <v>0.3</v>
      </c>
      <c r="T12" s="51">
        <v>2.7E-2</v>
      </c>
      <c r="U12" s="51">
        <v>-3.8</v>
      </c>
      <c r="V12" s="51">
        <v>-0.3</v>
      </c>
      <c r="W12" s="52">
        <f t="shared" si="0"/>
        <v>-0.15</v>
      </c>
    </row>
    <row r="13" spans="1:23" ht="15" hidden="1">
      <c r="A13" s="50">
        <v>12</v>
      </c>
      <c r="B13" s="51">
        <v>12</v>
      </c>
      <c r="C13" s="51" t="s">
        <v>82</v>
      </c>
      <c r="D13" s="51" t="s">
        <v>384</v>
      </c>
      <c r="E13" s="51" t="s">
        <v>171</v>
      </c>
      <c r="F13" s="51">
        <v>2</v>
      </c>
      <c r="G13" s="51">
        <v>87</v>
      </c>
      <c r="H13" s="51">
        <v>2062</v>
      </c>
      <c r="I13" s="51">
        <v>775</v>
      </c>
      <c r="J13" s="51">
        <v>629</v>
      </c>
      <c r="K13" s="51">
        <v>144</v>
      </c>
      <c r="L13" s="51">
        <v>0.72899999999999998</v>
      </c>
      <c r="M13" s="51">
        <v>0</v>
      </c>
      <c r="N13" s="51">
        <v>0.56699999999999995</v>
      </c>
      <c r="O13" s="51">
        <v>23.7</v>
      </c>
      <c r="P13" s="51">
        <v>8.9</v>
      </c>
      <c r="Q13" s="51">
        <v>7.2</v>
      </c>
      <c r="R13" s="51">
        <v>1.7</v>
      </c>
      <c r="S13" s="51">
        <v>8.3000000000000007</v>
      </c>
      <c r="T13" s="51">
        <v>0.19400000000000001</v>
      </c>
      <c r="U13" s="51">
        <v>1.8</v>
      </c>
      <c r="V13" s="51">
        <v>2</v>
      </c>
      <c r="W13" s="52">
        <f t="shared" si="0"/>
        <v>1</v>
      </c>
    </row>
    <row r="14" spans="1:23" ht="15" hidden="1">
      <c r="A14" s="50">
        <v>13</v>
      </c>
      <c r="B14" s="51">
        <v>13</v>
      </c>
      <c r="C14" s="51" t="s">
        <v>163</v>
      </c>
      <c r="D14" s="51" t="s">
        <v>385</v>
      </c>
      <c r="E14" s="51" t="s">
        <v>138</v>
      </c>
      <c r="F14" s="51">
        <v>2</v>
      </c>
      <c r="G14" s="51">
        <v>106</v>
      </c>
      <c r="H14" s="51">
        <v>2626</v>
      </c>
      <c r="I14" s="51">
        <v>1213</v>
      </c>
      <c r="J14" s="51">
        <v>287</v>
      </c>
      <c r="K14" s="51">
        <v>155</v>
      </c>
      <c r="L14" s="51">
        <v>0.42</v>
      </c>
      <c r="M14" s="51">
        <v>0.35599999999999998</v>
      </c>
      <c r="N14" s="51">
        <v>0.88</v>
      </c>
      <c r="O14" s="51">
        <v>24.8</v>
      </c>
      <c r="P14" s="51">
        <v>11.4</v>
      </c>
      <c r="Q14" s="51">
        <v>2.7</v>
      </c>
      <c r="R14" s="51">
        <v>1.5</v>
      </c>
      <c r="S14" s="51">
        <v>1.3</v>
      </c>
      <c r="T14" s="51">
        <v>2.4E-2</v>
      </c>
      <c r="U14" s="51">
        <v>-4.3</v>
      </c>
      <c r="V14" s="51">
        <v>-1.5</v>
      </c>
      <c r="W14" s="52">
        <f t="shared" si="0"/>
        <v>-0.75</v>
      </c>
    </row>
    <row r="15" spans="1:23" ht="15" hidden="1">
      <c r="A15" s="50">
        <v>14</v>
      </c>
      <c r="B15" s="51">
        <v>14</v>
      </c>
      <c r="C15" s="51" t="s">
        <v>44</v>
      </c>
      <c r="D15" s="51" t="s">
        <v>386</v>
      </c>
      <c r="E15" s="51" t="s">
        <v>300</v>
      </c>
      <c r="F15" s="51">
        <v>2</v>
      </c>
      <c r="G15" s="51">
        <v>101</v>
      </c>
      <c r="H15" s="51">
        <v>1944</v>
      </c>
      <c r="I15" s="51">
        <v>884</v>
      </c>
      <c r="J15" s="51">
        <v>230</v>
      </c>
      <c r="K15" s="51">
        <v>102</v>
      </c>
      <c r="L15" s="51">
        <v>0.372</v>
      </c>
      <c r="M15" s="51">
        <v>0.34899999999999998</v>
      </c>
      <c r="N15" s="51">
        <v>0.83799999999999997</v>
      </c>
      <c r="O15" s="51">
        <v>19.2</v>
      </c>
      <c r="P15" s="51">
        <v>8.8000000000000007</v>
      </c>
      <c r="Q15" s="51">
        <v>2.2999999999999998</v>
      </c>
      <c r="R15" s="51">
        <v>1</v>
      </c>
      <c r="S15" s="51">
        <v>0.9</v>
      </c>
      <c r="T15" s="51">
        <v>2.1000000000000001E-2</v>
      </c>
      <c r="U15" s="51">
        <v>-4.3</v>
      </c>
      <c r="V15" s="51">
        <v>-1.2</v>
      </c>
      <c r="W15" s="52">
        <f t="shared" si="0"/>
        <v>-0.6</v>
      </c>
    </row>
    <row r="16" spans="1:23" ht="15" hidden="1">
      <c r="A16" s="50">
        <v>15</v>
      </c>
      <c r="B16" s="51">
        <v>15</v>
      </c>
      <c r="C16" s="51" t="s">
        <v>184</v>
      </c>
      <c r="D16" s="51" t="s">
        <v>387</v>
      </c>
      <c r="E16" s="51" t="s">
        <v>151</v>
      </c>
      <c r="F16" s="51">
        <v>2</v>
      </c>
      <c r="G16" s="51">
        <v>27</v>
      </c>
      <c r="H16" s="51">
        <v>320</v>
      </c>
      <c r="I16" s="51">
        <v>134</v>
      </c>
      <c r="J16" s="51">
        <v>54</v>
      </c>
      <c r="K16" s="51">
        <v>44</v>
      </c>
      <c r="L16" s="51">
        <v>0.374</v>
      </c>
      <c r="M16" s="51">
        <v>0.22</v>
      </c>
      <c r="N16" s="51">
        <v>0.65400000000000003</v>
      </c>
      <c r="O16" s="51">
        <v>11.9</v>
      </c>
      <c r="P16" s="51">
        <v>5</v>
      </c>
      <c r="Q16" s="51">
        <v>2</v>
      </c>
      <c r="R16" s="51">
        <v>1.6</v>
      </c>
      <c r="S16" s="51">
        <v>-0.1</v>
      </c>
      <c r="T16" s="51">
        <v>-1.0999999999999999E-2</v>
      </c>
      <c r="U16" s="51">
        <v>-4.3</v>
      </c>
      <c r="V16" s="51">
        <v>-0.2</v>
      </c>
      <c r="W16" s="52">
        <f t="shared" si="0"/>
        <v>-0.1</v>
      </c>
    </row>
    <row r="17" spans="1:23" ht="15" hidden="1">
      <c r="A17" s="50">
        <v>16</v>
      </c>
      <c r="B17" s="51">
        <v>16</v>
      </c>
      <c r="C17" s="51" t="s">
        <v>193</v>
      </c>
      <c r="D17" s="51" t="s">
        <v>388</v>
      </c>
      <c r="E17" s="51" t="s">
        <v>208</v>
      </c>
      <c r="F17" s="51">
        <v>2</v>
      </c>
      <c r="G17" s="51">
        <v>116</v>
      </c>
      <c r="H17" s="51">
        <v>3310</v>
      </c>
      <c r="I17" s="51">
        <v>1653</v>
      </c>
      <c r="J17" s="51">
        <v>358</v>
      </c>
      <c r="K17" s="51">
        <v>567</v>
      </c>
      <c r="L17" s="51">
        <v>0.39300000000000002</v>
      </c>
      <c r="M17" s="51">
        <v>0.33500000000000002</v>
      </c>
      <c r="N17" s="51">
        <v>0.83299999999999996</v>
      </c>
      <c r="O17" s="51">
        <v>28.5</v>
      </c>
      <c r="P17" s="51">
        <v>14.3</v>
      </c>
      <c r="Q17" s="51">
        <v>3.1</v>
      </c>
      <c r="R17" s="51">
        <v>4.9000000000000004</v>
      </c>
      <c r="S17" s="51">
        <v>0.5</v>
      </c>
      <c r="T17" s="51">
        <v>7.0000000000000001E-3</v>
      </c>
      <c r="U17" s="51">
        <v>-3.7</v>
      </c>
      <c r="V17" s="51">
        <v>-1.4</v>
      </c>
      <c r="W17" s="52">
        <f t="shared" si="0"/>
        <v>-0.7</v>
      </c>
    </row>
    <row r="18" spans="1:23" ht="15" hidden="1">
      <c r="A18" s="50">
        <v>17</v>
      </c>
      <c r="B18" s="51">
        <v>17</v>
      </c>
      <c r="C18" s="51" t="s">
        <v>31</v>
      </c>
      <c r="D18" s="51" t="s">
        <v>389</v>
      </c>
      <c r="E18" s="51" t="s">
        <v>195</v>
      </c>
      <c r="F18" s="51">
        <v>2</v>
      </c>
      <c r="G18" s="51">
        <v>23</v>
      </c>
      <c r="H18" s="51">
        <v>123</v>
      </c>
      <c r="I18" s="51">
        <v>38</v>
      </c>
      <c r="J18" s="51">
        <v>14</v>
      </c>
      <c r="K18" s="51">
        <v>9</v>
      </c>
      <c r="L18" s="51">
        <v>0.23899999999999999</v>
      </c>
      <c r="M18" s="51">
        <v>0.13300000000000001</v>
      </c>
      <c r="N18" s="51">
        <v>0.63600000000000001</v>
      </c>
      <c r="O18" s="51">
        <v>5.3</v>
      </c>
      <c r="P18" s="51">
        <v>1.7</v>
      </c>
      <c r="Q18" s="51">
        <v>0.6</v>
      </c>
      <c r="R18" s="51">
        <v>0.4</v>
      </c>
      <c r="S18" s="51">
        <v>-0.5</v>
      </c>
      <c r="T18" s="51">
        <v>-0.17899999999999999</v>
      </c>
      <c r="U18" s="51">
        <v>-14.5</v>
      </c>
      <c r="V18" s="51">
        <v>-0.4</v>
      </c>
      <c r="W18" s="52">
        <f t="shared" si="0"/>
        <v>-0.2</v>
      </c>
    </row>
    <row r="19" spans="1:23" ht="15" hidden="1">
      <c r="A19" s="50">
        <v>18</v>
      </c>
      <c r="B19" s="51">
        <v>18</v>
      </c>
      <c r="C19" s="51" t="s">
        <v>72</v>
      </c>
      <c r="D19" s="51" t="s">
        <v>390</v>
      </c>
      <c r="E19" s="51" t="s">
        <v>63</v>
      </c>
      <c r="F19" s="51">
        <v>2</v>
      </c>
      <c r="G19" s="51">
        <v>120</v>
      </c>
      <c r="H19" s="51">
        <v>3153</v>
      </c>
      <c r="I19" s="51">
        <v>1308</v>
      </c>
      <c r="J19" s="51">
        <v>497</v>
      </c>
      <c r="K19" s="51">
        <v>317</v>
      </c>
      <c r="L19" s="51">
        <v>0.47199999999999998</v>
      </c>
      <c r="M19" s="51">
        <v>0.314</v>
      </c>
      <c r="N19" s="51">
        <v>0.79300000000000004</v>
      </c>
      <c r="O19" s="51">
        <v>26.3</v>
      </c>
      <c r="P19" s="51">
        <v>10.9</v>
      </c>
      <c r="Q19" s="51">
        <v>4.0999999999999996</v>
      </c>
      <c r="R19" s="51">
        <v>2.6</v>
      </c>
      <c r="S19" s="51">
        <v>5.7</v>
      </c>
      <c r="T19" s="51">
        <v>8.6999999999999994E-2</v>
      </c>
      <c r="U19" s="51">
        <v>-1.8</v>
      </c>
      <c r="V19" s="51">
        <v>0.2</v>
      </c>
      <c r="W19" s="52">
        <f t="shared" si="0"/>
        <v>0.1</v>
      </c>
    </row>
    <row r="20" spans="1:23" ht="15" hidden="1">
      <c r="A20" s="50">
        <v>19</v>
      </c>
      <c r="B20" s="51">
        <v>19</v>
      </c>
      <c r="C20" s="51" t="s">
        <v>25</v>
      </c>
      <c r="D20" s="51" t="s">
        <v>391</v>
      </c>
      <c r="E20" s="51" t="s">
        <v>392</v>
      </c>
      <c r="F20" s="51">
        <v>2</v>
      </c>
      <c r="G20" s="51">
        <v>113</v>
      </c>
      <c r="H20" s="51">
        <v>2935</v>
      </c>
      <c r="I20" s="51">
        <v>1054</v>
      </c>
      <c r="J20" s="51">
        <v>607</v>
      </c>
      <c r="K20" s="51">
        <v>408</v>
      </c>
      <c r="L20" s="51">
        <v>0.44700000000000001</v>
      </c>
      <c r="M20" s="51">
        <v>0.36199999999999999</v>
      </c>
      <c r="N20" s="51">
        <v>0.68100000000000005</v>
      </c>
      <c r="O20" s="51">
        <v>26</v>
      </c>
      <c r="P20" s="51">
        <v>9.3000000000000007</v>
      </c>
      <c r="Q20" s="51">
        <v>5.4</v>
      </c>
      <c r="R20" s="51">
        <v>3.6</v>
      </c>
      <c r="S20" s="51">
        <v>6.2</v>
      </c>
      <c r="T20" s="51">
        <v>0.10199999999999999</v>
      </c>
      <c r="U20" s="51">
        <v>-0.1</v>
      </c>
      <c r="V20" s="51">
        <v>1.4</v>
      </c>
      <c r="W20" s="52">
        <f t="shared" si="0"/>
        <v>0.7</v>
      </c>
    </row>
    <row r="21" spans="1:23" ht="15" hidden="1">
      <c r="A21" s="50">
        <v>20</v>
      </c>
      <c r="B21" s="51">
        <v>20</v>
      </c>
      <c r="C21" s="51" t="s">
        <v>52</v>
      </c>
      <c r="D21" s="51" t="s">
        <v>393</v>
      </c>
      <c r="E21" s="51" t="s">
        <v>22</v>
      </c>
      <c r="F21" s="51">
        <v>2</v>
      </c>
      <c r="G21" s="51">
        <v>81</v>
      </c>
      <c r="H21" s="51">
        <v>1478</v>
      </c>
      <c r="I21" s="51">
        <v>915</v>
      </c>
      <c r="J21" s="51">
        <v>293</v>
      </c>
      <c r="K21" s="51">
        <v>61</v>
      </c>
      <c r="L21" s="51">
        <v>0.442</v>
      </c>
      <c r="M21" s="51">
        <v>0.34599999999999997</v>
      </c>
      <c r="N21" s="51">
        <v>0.69699999999999995</v>
      </c>
      <c r="O21" s="51">
        <v>18.2</v>
      </c>
      <c r="P21" s="51">
        <v>11.3</v>
      </c>
      <c r="Q21" s="51">
        <v>3.6</v>
      </c>
      <c r="R21" s="51">
        <v>0.8</v>
      </c>
      <c r="S21" s="51">
        <v>2.5</v>
      </c>
      <c r="T21" s="51">
        <v>8.1000000000000003E-2</v>
      </c>
      <c r="U21" s="51">
        <v>-0.2</v>
      </c>
      <c r="V21" s="51">
        <v>0.7</v>
      </c>
      <c r="W21" s="52">
        <f t="shared" si="0"/>
        <v>0.35</v>
      </c>
    </row>
    <row r="22" spans="1:23" ht="15" hidden="1">
      <c r="A22" s="50">
        <v>21</v>
      </c>
      <c r="B22" s="51">
        <v>21</v>
      </c>
      <c r="C22" s="51" t="s">
        <v>47</v>
      </c>
      <c r="D22" s="51" t="s">
        <v>394</v>
      </c>
      <c r="E22" s="51" t="s">
        <v>46</v>
      </c>
      <c r="F22" s="51">
        <v>2</v>
      </c>
      <c r="G22" s="51">
        <v>60</v>
      </c>
      <c r="H22" s="51">
        <v>1223</v>
      </c>
      <c r="I22" s="51">
        <v>482</v>
      </c>
      <c r="J22" s="51">
        <v>226</v>
      </c>
      <c r="K22" s="51">
        <v>48</v>
      </c>
      <c r="L22" s="51">
        <v>0.41299999999999998</v>
      </c>
      <c r="M22" s="51">
        <v>0.35499999999999998</v>
      </c>
      <c r="N22" s="51">
        <v>0.8</v>
      </c>
      <c r="O22" s="51">
        <v>20.399999999999999</v>
      </c>
      <c r="P22" s="51">
        <v>8</v>
      </c>
      <c r="Q22" s="51">
        <v>3.8</v>
      </c>
      <c r="R22" s="51">
        <v>0.8</v>
      </c>
      <c r="S22" s="51">
        <v>1.5</v>
      </c>
      <c r="T22" s="51">
        <v>5.7000000000000002E-2</v>
      </c>
      <c r="U22" s="51">
        <v>-2.8</v>
      </c>
      <c r="V22" s="51">
        <v>-0.2</v>
      </c>
      <c r="W22" s="52">
        <f t="shared" si="0"/>
        <v>-0.1</v>
      </c>
    </row>
    <row r="23" spans="1:23" ht="15" hidden="1">
      <c r="A23" s="50">
        <v>22</v>
      </c>
      <c r="B23" s="51">
        <v>22</v>
      </c>
      <c r="C23" s="51" t="s">
        <v>47</v>
      </c>
      <c r="D23" s="51" t="s">
        <v>395</v>
      </c>
      <c r="E23" s="51" t="s">
        <v>171</v>
      </c>
      <c r="F23" s="51">
        <v>2</v>
      </c>
      <c r="G23" s="51">
        <v>10</v>
      </c>
      <c r="H23" s="51">
        <v>80</v>
      </c>
      <c r="I23" s="51">
        <v>39</v>
      </c>
      <c r="J23" s="51">
        <v>9</v>
      </c>
      <c r="K23" s="51">
        <v>4</v>
      </c>
      <c r="L23" s="51">
        <v>0.433</v>
      </c>
      <c r="M23" s="51">
        <v>0.45800000000000002</v>
      </c>
      <c r="N23" s="51">
        <v>0.4</v>
      </c>
      <c r="O23" s="51">
        <v>8</v>
      </c>
      <c r="P23" s="51">
        <v>3.9</v>
      </c>
      <c r="Q23" s="51">
        <v>0.9</v>
      </c>
      <c r="R23" s="51">
        <v>0.4</v>
      </c>
      <c r="S23" s="51">
        <v>0.1</v>
      </c>
      <c r="T23" s="51">
        <v>0.05</v>
      </c>
      <c r="U23" s="51">
        <v>2</v>
      </c>
      <c r="V23" s="51">
        <v>0.1</v>
      </c>
      <c r="W23" s="52">
        <f t="shared" si="0"/>
        <v>0.05</v>
      </c>
    </row>
    <row r="24" spans="1:23" ht="15" hidden="1">
      <c r="A24" s="50">
        <v>23</v>
      </c>
      <c r="B24" s="51">
        <v>23</v>
      </c>
      <c r="C24" s="51" t="s">
        <v>124</v>
      </c>
      <c r="D24" s="51" t="s">
        <v>396</v>
      </c>
      <c r="E24" s="51" t="s">
        <v>397</v>
      </c>
      <c r="F24" s="51">
        <v>2</v>
      </c>
      <c r="G24" s="51">
        <v>106</v>
      </c>
      <c r="H24" s="51">
        <v>1941</v>
      </c>
      <c r="I24" s="51">
        <v>555</v>
      </c>
      <c r="J24" s="51">
        <v>319</v>
      </c>
      <c r="K24" s="51">
        <v>117</v>
      </c>
      <c r="L24" s="51">
        <v>0.41499999999999998</v>
      </c>
      <c r="M24" s="51">
        <v>0.26700000000000002</v>
      </c>
      <c r="N24" s="51">
        <v>0.57599999999999996</v>
      </c>
      <c r="O24" s="51">
        <v>18.3</v>
      </c>
      <c r="P24" s="51">
        <v>5.2</v>
      </c>
      <c r="Q24" s="51">
        <v>3</v>
      </c>
      <c r="R24" s="51">
        <v>1.1000000000000001</v>
      </c>
      <c r="S24" s="51">
        <v>1.2</v>
      </c>
      <c r="T24" s="51">
        <v>0.03</v>
      </c>
      <c r="U24" s="51">
        <v>-3.3</v>
      </c>
      <c r="V24" s="51">
        <v>-0.6</v>
      </c>
      <c r="W24" s="52">
        <f t="shared" si="0"/>
        <v>-0.3</v>
      </c>
    </row>
    <row r="25" spans="1:23" ht="15" hidden="1">
      <c r="A25" s="50">
        <v>24</v>
      </c>
      <c r="B25" s="51">
        <v>24</v>
      </c>
      <c r="C25" s="51" t="s">
        <v>36</v>
      </c>
      <c r="D25" s="51" t="s">
        <v>398</v>
      </c>
      <c r="E25" s="51" t="s">
        <v>123</v>
      </c>
      <c r="F25" s="51">
        <v>2</v>
      </c>
      <c r="G25" s="51">
        <v>82</v>
      </c>
      <c r="H25" s="51">
        <v>740</v>
      </c>
      <c r="I25" s="51">
        <v>263</v>
      </c>
      <c r="J25" s="51">
        <v>177</v>
      </c>
      <c r="K25" s="51">
        <v>51</v>
      </c>
      <c r="L25" s="51">
        <v>0.39</v>
      </c>
      <c r="M25" s="51">
        <v>0.25600000000000001</v>
      </c>
      <c r="N25" s="51">
        <v>0.64900000000000002</v>
      </c>
      <c r="O25" s="51">
        <v>9</v>
      </c>
      <c r="P25" s="51">
        <v>3.2</v>
      </c>
      <c r="Q25" s="51">
        <v>2.2000000000000002</v>
      </c>
      <c r="R25" s="51">
        <v>0.6</v>
      </c>
      <c r="S25" s="51">
        <v>1.2</v>
      </c>
      <c r="T25" s="51">
        <v>7.9000000000000001E-2</v>
      </c>
      <c r="U25" s="51">
        <v>-2.2999999999999998</v>
      </c>
      <c r="V25" s="51">
        <v>-0.1</v>
      </c>
      <c r="W25" s="52">
        <f t="shared" si="0"/>
        <v>-0.05</v>
      </c>
    </row>
    <row r="26" spans="1:23" ht="15" hidden="1">
      <c r="A26" s="50">
        <v>25</v>
      </c>
      <c r="B26" s="51">
        <v>25</v>
      </c>
      <c r="C26" s="51" t="s">
        <v>152</v>
      </c>
      <c r="D26" s="51" t="s">
        <v>399</v>
      </c>
      <c r="E26" s="51" t="s">
        <v>354</v>
      </c>
      <c r="F26" s="51">
        <v>2</v>
      </c>
      <c r="G26" s="51">
        <v>112</v>
      </c>
      <c r="H26" s="51">
        <v>1935</v>
      </c>
      <c r="I26" s="51">
        <v>826</v>
      </c>
      <c r="J26" s="51">
        <v>176</v>
      </c>
      <c r="K26" s="51">
        <v>331</v>
      </c>
      <c r="L26" s="51">
        <v>0.435</v>
      </c>
      <c r="M26" s="51">
        <v>0.36399999999999999</v>
      </c>
      <c r="N26" s="51">
        <v>0.88</v>
      </c>
      <c r="O26" s="51">
        <v>17.3</v>
      </c>
      <c r="P26" s="51">
        <v>7.4</v>
      </c>
      <c r="Q26" s="51">
        <v>1.6</v>
      </c>
      <c r="R26" s="51">
        <v>3</v>
      </c>
      <c r="S26" s="51">
        <v>2</v>
      </c>
      <c r="T26" s="51">
        <v>0.05</v>
      </c>
      <c r="U26" s="51">
        <v>-2.2000000000000002</v>
      </c>
      <c r="V26" s="51">
        <v>-0.1</v>
      </c>
      <c r="W26" s="52">
        <f t="shared" si="0"/>
        <v>-0.05</v>
      </c>
    </row>
    <row r="27" spans="1:23" ht="15" hidden="1">
      <c r="A27" s="50">
        <v>26</v>
      </c>
      <c r="B27" s="51">
        <v>26</v>
      </c>
      <c r="C27" s="51" t="s">
        <v>41</v>
      </c>
      <c r="D27" s="51" t="s">
        <v>400</v>
      </c>
      <c r="E27" s="51" t="s">
        <v>401</v>
      </c>
      <c r="F27" s="51">
        <v>2</v>
      </c>
      <c r="G27" s="51">
        <v>94</v>
      </c>
      <c r="H27" s="51">
        <v>1575</v>
      </c>
      <c r="I27" s="51">
        <v>470</v>
      </c>
      <c r="J27" s="51">
        <v>184</v>
      </c>
      <c r="K27" s="51">
        <v>100</v>
      </c>
      <c r="L27" s="51">
        <v>0.40600000000000003</v>
      </c>
      <c r="M27" s="51">
        <v>0.33900000000000002</v>
      </c>
      <c r="N27" s="51">
        <v>0.875</v>
      </c>
      <c r="O27" s="51">
        <v>16.8</v>
      </c>
      <c r="P27" s="51">
        <v>5</v>
      </c>
      <c r="Q27" s="51">
        <v>2</v>
      </c>
      <c r="R27" s="51">
        <v>1.1000000000000001</v>
      </c>
      <c r="S27" s="51">
        <v>2</v>
      </c>
      <c r="T27" s="51">
        <v>0.06</v>
      </c>
      <c r="U27" s="51">
        <v>-2.8</v>
      </c>
      <c r="V27" s="51">
        <v>-0.3</v>
      </c>
      <c r="W27" s="52">
        <f t="shared" si="0"/>
        <v>-0.15</v>
      </c>
    </row>
    <row r="28" spans="1:23" ht="15" hidden="1">
      <c r="A28" s="50">
        <v>27</v>
      </c>
      <c r="B28" s="51">
        <v>27</v>
      </c>
      <c r="C28" s="51" t="s">
        <v>119</v>
      </c>
      <c r="D28" s="51" t="s">
        <v>402</v>
      </c>
      <c r="E28" s="51" t="s">
        <v>84</v>
      </c>
      <c r="F28" s="51">
        <v>2</v>
      </c>
      <c r="G28" s="51">
        <v>82</v>
      </c>
      <c r="H28" s="51">
        <v>1295</v>
      </c>
      <c r="I28" s="51">
        <v>547</v>
      </c>
      <c r="J28" s="51">
        <v>134</v>
      </c>
      <c r="K28" s="51">
        <v>112</v>
      </c>
      <c r="L28" s="51">
        <v>0.4</v>
      </c>
      <c r="M28" s="51">
        <v>0.39700000000000002</v>
      </c>
      <c r="N28" s="51">
        <v>0.85199999999999998</v>
      </c>
      <c r="O28" s="51">
        <v>15.8</v>
      </c>
      <c r="P28" s="51">
        <v>6.7</v>
      </c>
      <c r="Q28" s="51">
        <v>1.6</v>
      </c>
      <c r="R28" s="51">
        <v>1.4</v>
      </c>
      <c r="S28" s="51">
        <v>-0.3</v>
      </c>
      <c r="T28" s="51">
        <v>-1.2E-2</v>
      </c>
      <c r="U28" s="51">
        <v>-5</v>
      </c>
      <c r="V28" s="51">
        <v>-1</v>
      </c>
      <c r="W28" s="52">
        <f t="shared" si="0"/>
        <v>-0.5</v>
      </c>
    </row>
    <row r="29" spans="1:23" ht="15" hidden="1">
      <c r="A29" s="50">
        <v>28</v>
      </c>
      <c r="B29" s="51">
        <v>28</v>
      </c>
      <c r="C29" s="51" t="s">
        <v>193</v>
      </c>
      <c r="D29" s="51" t="s">
        <v>403</v>
      </c>
      <c r="E29" s="51" t="s">
        <v>404</v>
      </c>
      <c r="F29" s="51">
        <v>2</v>
      </c>
      <c r="G29" s="51">
        <v>73</v>
      </c>
      <c r="H29" s="51">
        <v>1310</v>
      </c>
      <c r="I29" s="51">
        <v>618</v>
      </c>
      <c r="J29" s="51">
        <v>208</v>
      </c>
      <c r="K29" s="51">
        <v>105</v>
      </c>
      <c r="L29" s="51">
        <v>0.42399999999999999</v>
      </c>
      <c r="M29" s="51">
        <v>0.34100000000000003</v>
      </c>
      <c r="N29" s="51">
        <v>0.92300000000000004</v>
      </c>
      <c r="O29" s="51">
        <v>17.899999999999999</v>
      </c>
      <c r="P29" s="51">
        <v>8.5</v>
      </c>
      <c r="Q29" s="51">
        <v>2.8</v>
      </c>
      <c r="R29" s="51">
        <v>1.4</v>
      </c>
      <c r="S29" s="51">
        <v>0.1</v>
      </c>
      <c r="T29" s="51">
        <v>4.0000000000000001E-3</v>
      </c>
      <c r="U29" s="51">
        <v>-3.7</v>
      </c>
      <c r="V29" s="51">
        <v>-0.6</v>
      </c>
      <c r="W29" s="52">
        <f t="shared" si="0"/>
        <v>-0.3</v>
      </c>
    </row>
    <row r="30" spans="1:23" ht="15" hidden="1">
      <c r="A30" s="50">
        <v>29</v>
      </c>
      <c r="B30" s="51">
        <v>29</v>
      </c>
      <c r="C30" s="51" t="s">
        <v>41</v>
      </c>
      <c r="D30" s="51" t="s">
        <v>405</v>
      </c>
      <c r="E30" s="51" t="s">
        <v>43</v>
      </c>
      <c r="F30" s="51">
        <v>2</v>
      </c>
      <c r="G30" s="51">
        <v>103</v>
      </c>
      <c r="H30" s="51">
        <v>1727</v>
      </c>
      <c r="I30" s="51">
        <v>726</v>
      </c>
      <c r="J30" s="51">
        <v>178</v>
      </c>
      <c r="K30" s="51">
        <v>117</v>
      </c>
      <c r="L30" s="51">
        <v>0.40899999999999997</v>
      </c>
      <c r="M30" s="51">
        <v>0.33800000000000002</v>
      </c>
      <c r="N30" s="51">
        <v>0.79200000000000004</v>
      </c>
      <c r="O30" s="51">
        <v>16.8</v>
      </c>
      <c r="P30" s="51">
        <v>7</v>
      </c>
      <c r="Q30" s="51">
        <v>1.7</v>
      </c>
      <c r="R30" s="51">
        <v>1.1000000000000001</v>
      </c>
      <c r="S30" s="51">
        <v>1.5</v>
      </c>
      <c r="T30" s="51">
        <v>4.2000000000000003E-2</v>
      </c>
      <c r="U30" s="51">
        <v>-4.7</v>
      </c>
      <c r="V30" s="51">
        <v>-1.2</v>
      </c>
      <c r="W30" s="52">
        <f t="shared" si="0"/>
        <v>-0.6</v>
      </c>
    </row>
    <row r="31" spans="1:23" ht="15" hidden="1">
      <c r="A31" s="50">
        <v>30</v>
      </c>
      <c r="B31" s="51">
        <v>30</v>
      </c>
      <c r="C31" s="51" t="s">
        <v>28</v>
      </c>
      <c r="D31" s="51" t="s">
        <v>406</v>
      </c>
      <c r="E31" s="51" t="s">
        <v>71</v>
      </c>
      <c r="F31" s="51">
        <v>2</v>
      </c>
      <c r="G31" s="51">
        <v>65</v>
      </c>
      <c r="H31" s="51">
        <v>561</v>
      </c>
      <c r="I31" s="51">
        <v>149</v>
      </c>
      <c r="J31" s="51">
        <v>108</v>
      </c>
      <c r="K31" s="51">
        <v>39</v>
      </c>
      <c r="L31" s="51">
        <v>0.45</v>
      </c>
      <c r="M31" s="51">
        <v>0.28100000000000003</v>
      </c>
      <c r="N31" s="51">
        <v>0.71399999999999997</v>
      </c>
      <c r="O31" s="51">
        <v>8.6</v>
      </c>
      <c r="P31" s="51">
        <v>2.2999999999999998</v>
      </c>
      <c r="Q31" s="51">
        <v>1.7</v>
      </c>
      <c r="R31" s="51">
        <v>0.6</v>
      </c>
      <c r="S31" s="51">
        <v>0.9</v>
      </c>
      <c r="T31" s="51">
        <v>7.8E-2</v>
      </c>
      <c r="U31" s="51">
        <v>-2.8</v>
      </c>
      <c r="V31" s="51">
        <v>-0.1</v>
      </c>
      <c r="W31" s="52">
        <f t="shared" si="0"/>
        <v>-0.05</v>
      </c>
    </row>
    <row r="32" spans="1:23" s="77" customFormat="1" hidden="1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</row>
    <row r="33" spans="1:23" ht="15">
      <c r="A33" s="50">
        <v>31</v>
      </c>
      <c r="B33" s="51">
        <v>31</v>
      </c>
      <c r="C33" s="51" t="s">
        <v>34</v>
      </c>
      <c r="D33" s="131" t="s">
        <v>407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3" ht="15">
      <c r="A34" s="50">
        <v>32</v>
      </c>
      <c r="B34" s="51">
        <v>32</v>
      </c>
      <c r="C34" s="51" t="s">
        <v>41</v>
      </c>
      <c r="D34" s="132" t="s">
        <v>408</v>
      </c>
      <c r="E34" s="51" t="s">
        <v>409</v>
      </c>
      <c r="F34" s="51">
        <v>2</v>
      </c>
      <c r="G34" s="51">
        <v>50</v>
      </c>
      <c r="H34" s="51">
        <v>347</v>
      </c>
      <c r="I34" s="51">
        <v>108</v>
      </c>
      <c r="J34" s="51">
        <v>37</v>
      </c>
      <c r="K34" s="51">
        <v>59</v>
      </c>
      <c r="L34" s="51">
        <v>0.42699999999999999</v>
      </c>
      <c r="M34" s="51">
        <v>0.39300000000000002</v>
      </c>
      <c r="N34" s="51">
        <v>0.8</v>
      </c>
      <c r="O34" s="51">
        <v>6.9</v>
      </c>
      <c r="P34" s="51">
        <v>2.2000000000000002</v>
      </c>
      <c r="Q34" s="51">
        <v>0.7</v>
      </c>
      <c r="R34" s="51">
        <v>1.2</v>
      </c>
      <c r="S34" s="51">
        <v>0.5</v>
      </c>
      <c r="T34" s="51">
        <v>7.3999999999999996E-2</v>
      </c>
      <c r="U34" s="51">
        <v>-2.4</v>
      </c>
      <c r="V34" s="51">
        <v>0</v>
      </c>
      <c r="W34" s="52">
        <f t="shared" si="0"/>
        <v>0</v>
      </c>
    </row>
    <row r="35" spans="1:23" ht="15">
      <c r="A35" s="50">
        <v>33</v>
      </c>
      <c r="B35" s="51">
        <v>33</v>
      </c>
      <c r="C35" s="51" t="s">
        <v>79</v>
      </c>
      <c r="D35" s="131" t="s">
        <v>410</v>
      </c>
      <c r="E35" s="51"/>
      <c r="F35" s="51">
        <v>2</v>
      </c>
      <c r="G35" s="51">
        <v>23</v>
      </c>
      <c r="H35" s="51">
        <v>68</v>
      </c>
      <c r="I35" s="51">
        <v>39</v>
      </c>
      <c r="J35" s="51">
        <v>29</v>
      </c>
      <c r="K35" s="51">
        <v>8</v>
      </c>
      <c r="L35" s="51">
        <v>0.53600000000000003</v>
      </c>
      <c r="M35" s="51">
        <v>0.25</v>
      </c>
      <c r="N35" s="51">
        <v>0.875</v>
      </c>
      <c r="O35" s="51">
        <v>3</v>
      </c>
      <c r="P35" s="51">
        <v>1.7</v>
      </c>
      <c r="Q35" s="51">
        <v>1.3</v>
      </c>
      <c r="R35" s="51">
        <v>0.3</v>
      </c>
      <c r="S35" s="51">
        <v>0.4</v>
      </c>
      <c r="T35" s="51">
        <v>0.26200000000000001</v>
      </c>
      <c r="U35" s="51">
        <v>4.2</v>
      </c>
      <c r="V35" s="51">
        <v>0.1</v>
      </c>
      <c r="W35" s="52">
        <f t="shared" si="0"/>
        <v>0.05</v>
      </c>
    </row>
    <row r="36" spans="1:23" ht="15">
      <c r="A36" s="50">
        <v>34</v>
      </c>
      <c r="B36" s="51">
        <v>34</v>
      </c>
      <c r="C36" s="51" t="s">
        <v>119</v>
      </c>
      <c r="D36" s="131" t="s">
        <v>411</v>
      </c>
      <c r="E36" s="51" t="s">
        <v>412</v>
      </c>
      <c r="F36" s="51">
        <v>2</v>
      </c>
      <c r="G36" s="51">
        <v>54</v>
      </c>
      <c r="H36" s="51">
        <v>322</v>
      </c>
      <c r="I36" s="51">
        <v>90</v>
      </c>
      <c r="J36" s="51">
        <v>63</v>
      </c>
      <c r="K36" s="51">
        <v>27</v>
      </c>
      <c r="L36" s="51">
        <v>0.40200000000000002</v>
      </c>
      <c r="M36" s="51">
        <v>0.188</v>
      </c>
      <c r="N36" s="51">
        <v>0.54500000000000004</v>
      </c>
      <c r="O36" s="51">
        <v>6</v>
      </c>
      <c r="P36" s="51">
        <v>1.7</v>
      </c>
      <c r="Q36" s="51">
        <v>1.2</v>
      </c>
      <c r="R36" s="51">
        <v>0.5</v>
      </c>
      <c r="S36" s="51">
        <v>0.1</v>
      </c>
      <c r="T36" s="51">
        <v>1.9E-2</v>
      </c>
      <c r="U36" s="51">
        <v>-4.0999999999999996</v>
      </c>
      <c r="V36" s="51">
        <v>-0.2</v>
      </c>
      <c r="W36" s="52">
        <f t="shared" si="0"/>
        <v>-0.1</v>
      </c>
    </row>
    <row r="37" spans="1:23" ht="15">
      <c r="A37" s="50">
        <v>35</v>
      </c>
      <c r="B37" s="51">
        <v>35</v>
      </c>
      <c r="C37" s="51" t="s">
        <v>190</v>
      </c>
      <c r="D37" s="131" t="s">
        <v>413</v>
      </c>
      <c r="E37" s="51" t="s">
        <v>115</v>
      </c>
      <c r="F37" s="51">
        <v>2</v>
      </c>
      <c r="G37" s="51">
        <v>91</v>
      </c>
      <c r="H37" s="51">
        <v>976</v>
      </c>
      <c r="I37" s="51">
        <v>305</v>
      </c>
      <c r="J37" s="51">
        <v>136</v>
      </c>
      <c r="K37" s="51">
        <v>34</v>
      </c>
      <c r="L37" s="51">
        <v>0.436</v>
      </c>
      <c r="M37" s="51">
        <v>0.32300000000000001</v>
      </c>
      <c r="N37" s="51">
        <v>0.71399999999999997</v>
      </c>
      <c r="O37" s="51">
        <v>10.7</v>
      </c>
      <c r="P37" s="51">
        <v>3.4</v>
      </c>
      <c r="Q37" s="51">
        <v>1.5</v>
      </c>
      <c r="R37" s="51">
        <v>0.4</v>
      </c>
      <c r="S37" s="51">
        <v>1</v>
      </c>
      <c r="T37" s="51">
        <v>0.05</v>
      </c>
      <c r="U37" s="51">
        <v>-4.3</v>
      </c>
      <c r="V37" s="51">
        <v>-0.6</v>
      </c>
      <c r="W37" s="52">
        <f t="shared" si="0"/>
        <v>-0.3</v>
      </c>
    </row>
    <row r="38" spans="1:23" ht="15">
      <c r="A38" s="50">
        <v>36</v>
      </c>
      <c r="B38" s="51">
        <v>36</v>
      </c>
      <c r="C38" s="51" t="s">
        <v>179</v>
      </c>
      <c r="D38" s="132" t="s">
        <v>414</v>
      </c>
      <c r="E38" s="51" t="s">
        <v>300</v>
      </c>
      <c r="F38" s="51">
        <v>2</v>
      </c>
      <c r="G38" s="51">
        <v>106</v>
      </c>
      <c r="H38" s="51">
        <v>1424</v>
      </c>
      <c r="I38" s="51">
        <v>313</v>
      </c>
      <c r="J38" s="51">
        <v>272</v>
      </c>
      <c r="K38" s="51">
        <v>122</v>
      </c>
      <c r="L38" s="51">
        <v>0.47899999999999998</v>
      </c>
      <c r="M38" s="51">
        <v>0.377</v>
      </c>
      <c r="N38" s="51">
        <v>0.621</v>
      </c>
      <c r="O38" s="51">
        <v>13.4</v>
      </c>
      <c r="P38" s="51">
        <v>3</v>
      </c>
      <c r="Q38" s="51">
        <v>2.6</v>
      </c>
      <c r="R38" s="51">
        <v>1.2</v>
      </c>
      <c r="S38" s="51">
        <v>2</v>
      </c>
      <c r="T38" s="51">
        <v>6.6000000000000003E-2</v>
      </c>
      <c r="U38" s="51">
        <v>-3.7</v>
      </c>
      <c r="V38" s="51">
        <v>-0.6</v>
      </c>
      <c r="W38" s="52">
        <f t="shared" si="0"/>
        <v>-0.3</v>
      </c>
    </row>
    <row r="39" spans="1:23" ht="15">
      <c r="A39" s="50">
        <v>37</v>
      </c>
      <c r="B39" s="51">
        <v>37</v>
      </c>
      <c r="C39" s="51" t="s">
        <v>82</v>
      </c>
      <c r="D39" s="132" t="s">
        <v>415</v>
      </c>
      <c r="E39" s="51" t="s">
        <v>416</v>
      </c>
      <c r="F39" s="51">
        <v>2</v>
      </c>
      <c r="G39" s="51">
        <v>55</v>
      </c>
      <c r="H39" s="51">
        <v>331</v>
      </c>
      <c r="I39" s="51">
        <v>105</v>
      </c>
      <c r="J39" s="51">
        <v>65</v>
      </c>
      <c r="K39" s="51">
        <v>15</v>
      </c>
      <c r="L39" s="51">
        <v>0.40200000000000002</v>
      </c>
      <c r="M39" s="51">
        <v>0.33300000000000002</v>
      </c>
      <c r="N39" s="51">
        <v>0.69599999999999995</v>
      </c>
      <c r="O39" s="51">
        <v>6</v>
      </c>
      <c r="P39" s="51">
        <v>1.9</v>
      </c>
      <c r="Q39" s="51">
        <v>1.2</v>
      </c>
      <c r="R39" s="51">
        <v>0.3</v>
      </c>
      <c r="S39" s="51">
        <v>0.3</v>
      </c>
      <c r="T39" s="51">
        <v>4.3999999999999997E-2</v>
      </c>
      <c r="U39" s="51">
        <v>-5.8</v>
      </c>
      <c r="V39" s="51">
        <v>-0.3</v>
      </c>
      <c r="W39" s="52">
        <f t="shared" si="0"/>
        <v>-0.15</v>
      </c>
    </row>
    <row r="40" spans="1:23" ht="15">
      <c r="A40" s="50">
        <v>38</v>
      </c>
      <c r="B40" s="51">
        <v>38</v>
      </c>
      <c r="C40" s="51" t="s">
        <v>36</v>
      </c>
      <c r="D40" s="131" t="s">
        <v>417</v>
      </c>
      <c r="E40" s="51" t="s">
        <v>84</v>
      </c>
      <c r="F40" s="51">
        <v>2</v>
      </c>
      <c r="G40" s="51">
        <v>45</v>
      </c>
      <c r="H40" s="51">
        <v>364</v>
      </c>
      <c r="I40" s="51">
        <v>73</v>
      </c>
      <c r="J40" s="51">
        <v>60</v>
      </c>
      <c r="K40" s="51">
        <v>16</v>
      </c>
      <c r="L40" s="51">
        <v>0.36599999999999999</v>
      </c>
      <c r="M40" s="51">
        <v>0.27100000000000002</v>
      </c>
      <c r="N40" s="51">
        <v>0.57099999999999995</v>
      </c>
      <c r="O40" s="51">
        <v>8.1</v>
      </c>
      <c r="P40" s="51">
        <v>1.6</v>
      </c>
      <c r="Q40" s="51">
        <v>1.3</v>
      </c>
      <c r="R40" s="51">
        <v>0.4</v>
      </c>
      <c r="S40" s="51">
        <v>0.4</v>
      </c>
      <c r="T40" s="51">
        <v>5.8000000000000003E-2</v>
      </c>
      <c r="U40" s="51">
        <v>-3.5</v>
      </c>
      <c r="V40" s="51">
        <v>-0.1</v>
      </c>
      <c r="W40" s="52">
        <f t="shared" si="0"/>
        <v>-0.05</v>
      </c>
    </row>
    <row r="41" spans="1:23" ht="15">
      <c r="A41" s="50">
        <v>39</v>
      </c>
      <c r="B41" s="51">
        <v>39</v>
      </c>
      <c r="C41" s="51" t="s">
        <v>119</v>
      </c>
      <c r="D41" s="131" t="s">
        <v>418</v>
      </c>
      <c r="E41" s="51" t="s">
        <v>347</v>
      </c>
      <c r="F41" s="51">
        <v>2</v>
      </c>
      <c r="G41" s="51">
        <v>12</v>
      </c>
      <c r="H41" s="51">
        <v>164</v>
      </c>
      <c r="I41" s="51">
        <v>64</v>
      </c>
      <c r="J41" s="51">
        <v>49</v>
      </c>
      <c r="K41" s="51">
        <v>6</v>
      </c>
      <c r="L41" s="51">
        <v>0.4</v>
      </c>
      <c r="M41" s="51">
        <v>0.17899999999999999</v>
      </c>
      <c r="N41" s="51">
        <v>0.77800000000000002</v>
      </c>
      <c r="O41" s="51">
        <v>13.7</v>
      </c>
      <c r="P41" s="51">
        <v>5.3</v>
      </c>
      <c r="Q41" s="51">
        <v>4.0999999999999996</v>
      </c>
      <c r="R41" s="51">
        <v>0.5</v>
      </c>
      <c r="S41" s="51">
        <v>0.3</v>
      </c>
      <c r="T41" s="51">
        <v>9.6000000000000002E-2</v>
      </c>
      <c r="U41" s="51">
        <v>0</v>
      </c>
      <c r="V41" s="51">
        <v>0.1</v>
      </c>
      <c r="W41" s="52">
        <f t="shared" si="0"/>
        <v>0.05</v>
      </c>
    </row>
    <row r="42" spans="1:23" ht="15">
      <c r="A42" s="50">
        <v>40</v>
      </c>
      <c r="B42" s="51">
        <v>40</v>
      </c>
      <c r="C42" s="51" t="s">
        <v>23</v>
      </c>
      <c r="D42" s="131" t="s">
        <v>419</v>
      </c>
      <c r="E42" s="51" t="s">
        <v>162</v>
      </c>
      <c r="F42" s="51">
        <v>2</v>
      </c>
      <c r="G42" s="51">
        <v>42</v>
      </c>
      <c r="H42" s="51">
        <v>133</v>
      </c>
      <c r="I42" s="51">
        <v>18</v>
      </c>
      <c r="J42" s="51">
        <v>6</v>
      </c>
      <c r="K42" s="51">
        <v>8</v>
      </c>
      <c r="L42" s="51">
        <v>0.25</v>
      </c>
      <c r="M42" s="51">
        <v>0.2</v>
      </c>
      <c r="N42" s="51">
        <v>0.66700000000000004</v>
      </c>
      <c r="O42" s="51">
        <v>3.2</v>
      </c>
      <c r="P42" s="51">
        <v>0.4</v>
      </c>
      <c r="Q42" s="51">
        <v>0.1</v>
      </c>
      <c r="R42" s="51">
        <v>0.2</v>
      </c>
      <c r="S42" s="51">
        <v>-0.4</v>
      </c>
      <c r="T42" s="51">
        <v>-0.151</v>
      </c>
      <c r="U42" s="51">
        <v>-11.9</v>
      </c>
      <c r="V42" s="51">
        <v>-0.3</v>
      </c>
      <c r="W42" s="52">
        <f t="shared" si="0"/>
        <v>-0.15</v>
      </c>
    </row>
    <row r="43" spans="1:23" ht="15">
      <c r="A43" s="50">
        <v>41</v>
      </c>
      <c r="B43" s="51">
        <v>41</v>
      </c>
      <c r="C43" s="51" t="s">
        <v>119</v>
      </c>
      <c r="D43" s="131" t="s">
        <v>420</v>
      </c>
      <c r="E43" s="51" t="s">
        <v>63</v>
      </c>
      <c r="F43" s="51">
        <v>1</v>
      </c>
      <c r="G43" s="51">
        <v>10</v>
      </c>
      <c r="H43" s="51">
        <v>65</v>
      </c>
      <c r="I43" s="51">
        <v>23</v>
      </c>
      <c r="J43" s="51">
        <v>9</v>
      </c>
      <c r="K43" s="51">
        <v>7</v>
      </c>
      <c r="L43" s="51">
        <v>0.33300000000000002</v>
      </c>
      <c r="M43" s="51">
        <v>0.125</v>
      </c>
      <c r="N43" s="51">
        <v>0.85699999999999998</v>
      </c>
      <c r="O43" s="51">
        <v>6.5</v>
      </c>
      <c r="P43" s="51">
        <v>2.2999999999999998</v>
      </c>
      <c r="Q43" s="51">
        <v>0.9</v>
      </c>
      <c r="R43" s="51">
        <v>0.7</v>
      </c>
      <c r="S43" s="51">
        <v>-0.1</v>
      </c>
      <c r="T43" s="51">
        <v>-4.3999999999999997E-2</v>
      </c>
      <c r="U43" s="51">
        <v>-8.3000000000000007</v>
      </c>
      <c r="V43" s="51">
        <v>-0.1</v>
      </c>
      <c r="W43" s="52">
        <f t="shared" si="0"/>
        <v>-0.1</v>
      </c>
    </row>
    <row r="44" spans="1:23" ht="15">
      <c r="A44" s="50">
        <v>42</v>
      </c>
      <c r="B44" s="51">
        <v>42</v>
      </c>
      <c r="C44" s="51" t="s">
        <v>69</v>
      </c>
      <c r="D44" s="132" t="s">
        <v>421</v>
      </c>
      <c r="E44" s="51"/>
      <c r="F44" s="51">
        <v>2</v>
      </c>
      <c r="G44" s="51">
        <v>22</v>
      </c>
      <c r="H44" s="51">
        <v>244</v>
      </c>
      <c r="I44" s="51">
        <v>136</v>
      </c>
      <c r="J44" s="51">
        <v>62</v>
      </c>
      <c r="K44" s="51">
        <v>23</v>
      </c>
      <c r="L44" s="51">
        <v>0.436</v>
      </c>
      <c r="M44" s="51">
        <v>0.27600000000000002</v>
      </c>
      <c r="N44" s="51">
        <v>0.72699999999999998</v>
      </c>
      <c r="O44" s="51">
        <v>11.1</v>
      </c>
      <c r="P44" s="51">
        <v>6.2</v>
      </c>
      <c r="Q44" s="51">
        <v>2.8</v>
      </c>
      <c r="R44" s="51">
        <v>1</v>
      </c>
      <c r="S44" s="51">
        <v>0.2</v>
      </c>
      <c r="T44" s="51">
        <v>4.3999999999999997E-2</v>
      </c>
      <c r="U44" s="51">
        <v>-3</v>
      </c>
      <c r="V44" s="51">
        <v>-0.1</v>
      </c>
      <c r="W44" s="52">
        <f t="shared" si="0"/>
        <v>-0.05</v>
      </c>
    </row>
    <row r="45" spans="1:23" ht="15">
      <c r="A45" s="50">
        <v>43</v>
      </c>
      <c r="B45" s="51">
        <v>43</v>
      </c>
      <c r="C45" s="51" t="s">
        <v>124</v>
      </c>
      <c r="D45" s="131" t="s">
        <v>422</v>
      </c>
      <c r="E45" s="51"/>
      <c r="F45" s="51">
        <v>2</v>
      </c>
      <c r="G45" s="51">
        <v>74</v>
      </c>
      <c r="H45" s="51">
        <v>909</v>
      </c>
      <c r="I45" s="51">
        <v>242</v>
      </c>
      <c r="J45" s="51">
        <v>132</v>
      </c>
      <c r="K45" s="51">
        <v>78</v>
      </c>
      <c r="L45" s="51">
        <v>0.36</v>
      </c>
      <c r="M45" s="51">
        <v>0.33600000000000002</v>
      </c>
      <c r="N45" s="51">
        <v>0.74399999999999999</v>
      </c>
      <c r="O45" s="51">
        <v>12.3</v>
      </c>
      <c r="P45" s="51">
        <v>3.3</v>
      </c>
      <c r="Q45" s="51">
        <v>1.8</v>
      </c>
      <c r="R45" s="51">
        <v>1.1000000000000001</v>
      </c>
      <c r="S45" s="51">
        <v>-0.1</v>
      </c>
      <c r="T45" s="51">
        <v>-3.0000000000000001E-3</v>
      </c>
      <c r="U45" s="51">
        <v>-6</v>
      </c>
      <c r="V45" s="51">
        <v>-0.9</v>
      </c>
      <c r="W45" s="52">
        <f t="shared" si="0"/>
        <v>-0.45</v>
      </c>
    </row>
    <row r="46" spans="1:23" ht="15">
      <c r="A46" s="50">
        <v>44</v>
      </c>
      <c r="B46" s="51">
        <v>44</v>
      </c>
      <c r="C46" s="51" t="s">
        <v>79</v>
      </c>
      <c r="D46" s="131" t="s">
        <v>423</v>
      </c>
      <c r="E46" s="51"/>
      <c r="F46" s="51">
        <v>2</v>
      </c>
      <c r="G46" s="51">
        <v>29</v>
      </c>
      <c r="H46" s="51">
        <v>195</v>
      </c>
      <c r="I46" s="51">
        <v>67</v>
      </c>
      <c r="J46" s="51">
        <v>32</v>
      </c>
      <c r="K46" s="51">
        <v>16</v>
      </c>
      <c r="L46" s="51">
        <v>0.49</v>
      </c>
      <c r="M46" s="51">
        <v>0.21099999999999999</v>
      </c>
      <c r="N46" s="51">
        <v>0.61899999999999999</v>
      </c>
      <c r="O46" s="51">
        <v>6.7</v>
      </c>
      <c r="P46" s="51">
        <v>2.2999999999999998</v>
      </c>
      <c r="Q46" s="51">
        <v>1.1000000000000001</v>
      </c>
      <c r="R46" s="51">
        <v>0.6</v>
      </c>
      <c r="S46" s="51">
        <v>0.4</v>
      </c>
      <c r="T46" s="51">
        <v>9.2999999999999999E-2</v>
      </c>
      <c r="U46" s="51">
        <v>-2.7</v>
      </c>
      <c r="V46" s="51">
        <v>0</v>
      </c>
      <c r="W46" s="52">
        <f t="shared" si="0"/>
        <v>0</v>
      </c>
    </row>
    <row r="47" spans="1:23" ht="15">
      <c r="A47" s="50">
        <v>45</v>
      </c>
      <c r="B47" s="51">
        <v>45</v>
      </c>
      <c r="C47" s="51" t="s">
        <v>152</v>
      </c>
      <c r="D47" s="132" t="s">
        <v>424</v>
      </c>
      <c r="E47" s="51" t="s">
        <v>425</v>
      </c>
      <c r="F47" s="51">
        <v>2</v>
      </c>
      <c r="G47" s="51">
        <v>58</v>
      </c>
      <c r="H47" s="51">
        <v>1412</v>
      </c>
      <c r="I47" s="51">
        <v>799</v>
      </c>
      <c r="J47" s="51">
        <v>232</v>
      </c>
      <c r="K47" s="51">
        <v>67</v>
      </c>
      <c r="L47" s="51">
        <v>0.42499999999999999</v>
      </c>
      <c r="M47" s="51">
        <v>0.34799999999999998</v>
      </c>
      <c r="N47" s="51">
        <v>0.75</v>
      </c>
      <c r="O47" s="51">
        <v>24.3</v>
      </c>
      <c r="P47" s="51">
        <v>13.8</v>
      </c>
      <c r="Q47" s="51">
        <v>4</v>
      </c>
      <c r="R47" s="51">
        <v>1.2</v>
      </c>
      <c r="S47" s="51">
        <v>1.3</v>
      </c>
      <c r="T47" s="51">
        <v>4.5999999999999999E-2</v>
      </c>
      <c r="U47" s="51">
        <v>-2.4</v>
      </c>
      <c r="V47" s="51">
        <v>-0.1</v>
      </c>
      <c r="W47" s="52">
        <f t="shared" si="0"/>
        <v>-0.05</v>
      </c>
    </row>
    <row r="48" spans="1:23" ht="15">
      <c r="A48" s="50">
        <v>46</v>
      </c>
      <c r="B48" s="51">
        <v>46</v>
      </c>
      <c r="C48" s="51" t="s">
        <v>184</v>
      </c>
      <c r="D48" s="131" t="s">
        <v>426</v>
      </c>
      <c r="E48" s="51" t="s">
        <v>409</v>
      </c>
      <c r="F48" s="51">
        <v>1</v>
      </c>
      <c r="G48" s="51">
        <v>9</v>
      </c>
      <c r="H48" s="51">
        <v>52</v>
      </c>
      <c r="I48" s="51">
        <v>14</v>
      </c>
      <c r="J48" s="51">
        <v>7</v>
      </c>
      <c r="K48" s="51">
        <v>0</v>
      </c>
      <c r="L48" s="51">
        <v>0.23499999999999999</v>
      </c>
      <c r="M48" s="51">
        <v>0.23100000000000001</v>
      </c>
      <c r="N48" s="51">
        <v>0.75</v>
      </c>
      <c r="O48" s="51">
        <v>5.8</v>
      </c>
      <c r="P48" s="51">
        <v>1.6</v>
      </c>
      <c r="Q48" s="51">
        <v>0.8</v>
      </c>
      <c r="R48" s="51">
        <v>0</v>
      </c>
      <c r="S48" s="51">
        <v>-0.1</v>
      </c>
      <c r="T48" s="51">
        <v>-9.1999999999999998E-2</v>
      </c>
      <c r="U48" s="51">
        <v>-12.7</v>
      </c>
      <c r="V48" s="51">
        <v>-0.1</v>
      </c>
      <c r="W48" s="52">
        <f t="shared" si="0"/>
        <v>-0.1</v>
      </c>
    </row>
    <row r="49" spans="1:23" ht="15">
      <c r="A49" s="50">
        <v>47</v>
      </c>
      <c r="B49" s="51">
        <v>47</v>
      </c>
      <c r="C49" s="51" t="s">
        <v>31</v>
      </c>
      <c r="D49" s="131" t="s">
        <v>427</v>
      </c>
      <c r="E49" s="51"/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</row>
    <row r="50" spans="1:23" ht="15">
      <c r="A50" s="50">
        <v>48</v>
      </c>
      <c r="B50" s="51">
        <v>48</v>
      </c>
      <c r="C50" s="51" t="s">
        <v>28</v>
      </c>
      <c r="D50" s="131" t="s">
        <v>428</v>
      </c>
      <c r="E50" s="51" t="s">
        <v>103</v>
      </c>
      <c r="F50" s="51">
        <v>2</v>
      </c>
      <c r="G50" s="51">
        <v>38</v>
      </c>
      <c r="H50" s="51">
        <v>400</v>
      </c>
      <c r="I50" s="51">
        <v>155</v>
      </c>
      <c r="J50" s="51">
        <v>57</v>
      </c>
      <c r="K50" s="51">
        <v>33</v>
      </c>
      <c r="L50" s="51">
        <v>0.437</v>
      </c>
      <c r="M50" s="51">
        <v>0.23699999999999999</v>
      </c>
      <c r="N50" s="51">
        <v>0.8</v>
      </c>
      <c r="O50" s="51">
        <v>10.5</v>
      </c>
      <c r="P50" s="51">
        <v>4.0999999999999996</v>
      </c>
      <c r="Q50" s="51">
        <v>1.5</v>
      </c>
      <c r="R50" s="51">
        <v>0.9</v>
      </c>
      <c r="S50" s="51">
        <v>0.5</v>
      </c>
      <c r="T50" s="51">
        <v>6.3E-2</v>
      </c>
      <c r="U50" s="51">
        <v>-2.2999999999999998</v>
      </c>
      <c r="V50" s="51">
        <v>0</v>
      </c>
      <c r="W50" s="52">
        <f t="shared" si="0"/>
        <v>0</v>
      </c>
    </row>
    <row r="51" spans="1:23" ht="15">
      <c r="A51" s="50">
        <v>49</v>
      </c>
      <c r="B51" s="51">
        <v>49</v>
      </c>
      <c r="C51" s="51" t="s">
        <v>76</v>
      </c>
      <c r="D51" s="131" t="s">
        <v>429</v>
      </c>
      <c r="E51" s="51" t="s">
        <v>430</v>
      </c>
      <c r="F51" s="51">
        <v>2</v>
      </c>
      <c r="G51" s="51">
        <v>20</v>
      </c>
      <c r="H51" s="51">
        <v>152</v>
      </c>
      <c r="I51" s="51">
        <v>41</v>
      </c>
      <c r="J51" s="51">
        <v>14</v>
      </c>
      <c r="K51" s="51">
        <v>14</v>
      </c>
      <c r="L51" s="51">
        <v>0.26800000000000002</v>
      </c>
      <c r="M51" s="51">
        <v>0.25600000000000001</v>
      </c>
      <c r="N51" s="51">
        <v>0.25</v>
      </c>
      <c r="O51" s="51">
        <v>7.6</v>
      </c>
      <c r="P51" s="51">
        <v>2.1</v>
      </c>
      <c r="Q51" s="51">
        <v>0.7</v>
      </c>
      <c r="R51" s="51">
        <v>0.7</v>
      </c>
      <c r="S51" s="51">
        <v>-0.4</v>
      </c>
      <c r="T51" s="51">
        <v>-0.114</v>
      </c>
      <c r="U51" s="51">
        <v>-10.3</v>
      </c>
      <c r="V51" s="51">
        <v>-0.3</v>
      </c>
      <c r="W51" s="52">
        <f t="shared" si="0"/>
        <v>-0.15</v>
      </c>
    </row>
    <row r="52" spans="1:23" ht="15">
      <c r="A52" s="50">
        <v>50</v>
      </c>
      <c r="B52" s="51">
        <v>50</v>
      </c>
      <c r="C52" s="51" t="s">
        <v>82</v>
      </c>
      <c r="D52" s="131" t="s">
        <v>431</v>
      </c>
      <c r="E52" s="51" t="s">
        <v>432</v>
      </c>
      <c r="F52" s="51">
        <v>1</v>
      </c>
      <c r="G52" s="51">
        <v>9</v>
      </c>
      <c r="H52" s="51">
        <v>66</v>
      </c>
      <c r="I52" s="51">
        <v>11</v>
      </c>
      <c r="J52" s="51">
        <v>10</v>
      </c>
      <c r="K52" s="51">
        <v>4</v>
      </c>
      <c r="L52" s="51">
        <v>0.313</v>
      </c>
      <c r="M52" s="51">
        <v>0.33300000000000002</v>
      </c>
      <c r="N52" s="51"/>
      <c r="O52" s="51">
        <v>7.3</v>
      </c>
      <c r="P52" s="51">
        <v>1.2</v>
      </c>
      <c r="Q52" s="51">
        <v>1.1000000000000001</v>
      </c>
      <c r="R52" s="51">
        <v>0.4</v>
      </c>
      <c r="S52" s="51">
        <v>-0.1</v>
      </c>
      <c r="T52" s="51">
        <v>-6.8000000000000005E-2</v>
      </c>
      <c r="U52" s="51">
        <v>-9.8000000000000007</v>
      </c>
      <c r="V52" s="51">
        <v>-0.1</v>
      </c>
      <c r="W52" s="52">
        <f t="shared" si="0"/>
        <v>-0.1</v>
      </c>
    </row>
    <row r="53" spans="1:23" ht="15">
      <c r="A53" s="50">
        <v>51</v>
      </c>
      <c r="B53" s="51">
        <v>51</v>
      </c>
      <c r="C53" s="51" t="s">
        <v>47</v>
      </c>
      <c r="D53" s="132" t="s">
        <v>433</v>
      </c>
      <c r="E53" s="51" t="s">
        <v>138</v>
      </c>
      <c r="F53" s="51">
        <v>2</v>
      </c>
      <c r="G53" s="51">
        <v>94</v>
      </c>
      <c r="H53" s="51">
        <v>2061</v>
      </c>
      <c r="I53" s="51">
        <v>697</v>
      </c>
      <c r="J53" s="51">
        <v>308</v>
      </c>
      <c r="K53" s="51">
        <v>142</v>
      </c>
      <c r="L53" s="51">
        <v>0.40400000000000003</v>
      </c>
      <c r="M53" s="51">
        <v>0.316</v>
      </c>
      <c r="N53" s="51">
        <v>0.82199999999999995</v>
      </c>
      <c r="O53" s="51">
        <v>21.9</v>
      </c>
      <c r="P53" s="51">
        <v>7.4</v>
      </c>
      <c r="Q53" s="51">
        <v>3.3</v>
      </c>
      <c r="R53" s="51">
        <v>1.5</v>
      </c>
      <c r="S53" s="51">
        <v>1.9</v>
      </c>
      <c r="T53" s="51">
        <v>4.4999999999999998E-2</v>
      </c>
      <c r="U53" s="51">
        <v>-4</v>
      </c>
      <c r="V53" s="51">
        <v>-1</v>
      </c>
      <c r="W53" s="52">
        <f t="shared" si="0"/>
        <v>-0.5</v>
      </c>
    </row>
    <row r="54" spans="1:23" ht="15">
      <c r="A54" s="50">
        <v>52</v>
      </c>
      <c r="B54" s="51">
        <v>52</v>
      </c>
      <c r="C54" s="51" t="s">
        <v>323</v>
      </c>
      <c r="D54" s="133" t="s">
        <v>434</v>
      </c>
      <c r="E54" s="51" t="s">
        <v>325</v>
      </c>
      <c r="F54" s="51">
        <v>2</v>
      </c>
      <c r="G54" s="51">
        <v>121</v>
      </c>
      <c r="H54" s="51">
        <v>3384</v>
      </c>
      <c r="I54" s="51">
        <v>1044</v>
      </c>
      <c r="J54" s="51">
        <v>646</v>
      </c>
      <c r="K54" s="51">
        <v>188</v>
      </c>
      <c r="L54" s="51">
        <v>0.44900000000000001</v>
      </c>
      <c r="M54" s="51">
        <v>0.34699999999999998</v>
      </c>
      <c r="N54" s="51">
        <v>0.747</v>
      </c>
      <c r="O54" s="51">
        <v>28</v>
      </c>
      <c r="P54" s="51">
        <v>8.6</v>
      </c>
      <c r="Q54" s="51">
        <v>5.3</v>
      </c>
      <c r="R54" s="51">
        <v>1.6</v>
      </c>
      <c r="S54" s="51">
        <v>4.5</v>
      </c>
      <c r="T54" s="51">
        <v>6.4000000000000001E-2</v>
      </c>
      <c r="U54" s="51">
        <v>-2.2000000000000002</v>
      </c>
      <c r="V54" s="51">
        <v>-0.2</v>
      </c>
      <c r="W54" s="52">
        <f t="shared" si="0"/>
        <v>-0.1</v>
      </c>
    </row>
    <row r="55" spans="1:23" ht="15">
      <c r="A55" s="50">
        <v>53</v>
      </c>
      <c r="B55" s="51">
        <v>53</v>
      </c>
      <c r="C55" s="51" t="s">
        <v>135</v>
      </c>
      <c r="D55" s="131" t="s">
        <v>435</v>
      </c>
      <c r="E55" s="51" t="s">
        <v>63</v>
      </c>
      <c r="F55" s="51">
        <v>1</v>
      </c>
      <c r="G55" s="51">
        <v>11</v>
      </c>
      <c r="H55" s="51">
        <v>148</v>
      </c>
      <c r="I55" s="51">
        <v>59</v>
      </c>
      <c r="J55" s="51">
        <v>18</v>
      </c>
      <c r="K55" s="51">
        <v>5</v>
      </c>
      <c r="L55" s="51">
        <v>0.5</v>
      </c>
      <c r="M55" s="51">
        <v>0.5</v>
      </c>
      <c r="N55" s="51">
        <v>0.71399999999999997</v>
      </c>
      <c r="O55" s="51">
        <v>13.5</v>
      </c>
      <c r="P55" s="51">
        <v>5.4</v>
      </c>
      <c r="Q55" s="51">
        <v>1.6</v>
      </c>
      <c r="R55" s="51">
        <v>0.5</v>
      </c>
      <c r="S55" s="51">
        <v>0.5</v>
      </c>
      <c r="T55" s="51">
        <v>0.16400000000000001</v>
      </c>
      <c r="U55" s="51">
        <v>-0.3</v>
      </c>
      <c r="V55" s="51">
        <v>0.1</v>
      </c>
      <c r="W55" s="52">
        <f t="shared" si="0"/>
        <v>0.1</v>
      </c>
    </row>
    <row r="56" spans="1:23" ht="30">
      <c r="A56" s="50">
        <v>54</v>
      </c>
      <c r="B56" s="51">
        <v>54</v>
      </c>
      <c r="C56" s="51" t="s">
        <v>36</v>
      </c>
      <c r="D56" s="131" t="s">
        <v>436</v>
      </c>
      <c r="E56" s="51" t="s">
        <v>437</v>
      </c>
      <c r="F56" s="51">
        <v>1</v>
      </c>
      <c r="G56" s="51">
        <v>12</v>
      </c>
      <c r="H56" s="51">
        <v>37</v>
      </c>
      <c r="I56" s="51">
        <v>8</v>
      </c>
      <c r="J56" s="51">
        <v>7</v>
      </c>
      <c r="K56" s="51">
        <v>2</v>
      </c>
      <c r="L56" s="51">
        <v>0.66700000000000004</v>
      </c>
      <c r="M56" s="51">
        <v>0</v>
      </c>
      <c r="N56" s="51"/>
      <c r="O56" s="51">
        <v>3.1</v>
      </c>
      <c r="P56" s="51">
        <v>0.7</v>
      </c>
      <c r="Q56" s="51">
        <v>0.6</v>
      </c>
      <c r="R56" s="51">
        <v>0.2</v>
      </c>
      <c r="S56" s="51">
        <v>0</v>
      </c>
      <c r="T56" s="51">
        <v>5.8000000000000003E-2</v>
      </c>
      <c r="U56" s="51">
        <v>-6.4</v>
      </c>
      <c r="V56" s="51">
        <v>0</v>
      </c>
      <c r="W56" s="52">
        <f t="shared" si="0"/>
        <v>0</v>
      </c>
    </row>
    <row r="57" spans="1:23" ht="15">
      <c r="A57" s="50">
        <v>55</v>
      </c>
      <c r="B57" s="51">
        <v>55</v>
      </c>
      <c r="C57" s="51" t="s">
        <v>41</v>
      </c>
      <c r="D57" s="131" t="s">
        <v>438</v>
      </c>
      <c r="E57" s="51" t="s">
        <v>103</v>
      </c>
      <c r="F57" s="51">
        <v>2</v>
      </c>
      <c r="G57" s="51">
        <v>20</v>
      </c>
      <c r="H57" s="51">
        <v>254</v>
      </c>
      <c r="I57" s="51">
        <v>115</v>
      </c>
      <c r="J57" s="51">
        <v>32</v>
      </c>
      <c r="K57" s="51">
        <v>27</v>
      </c>
      <c r="L57" s="51">
        <v>0.38600000000000001</v>
      </c>
      <c r="M57" s="51">
        <v>0.36399999999999999</v>
      </c>
      <c r="N57" s="51">
        <v>0.73499999999999999</v>
      </c>
      <c r="O57" s="51">
        <v>12.7</v>
      </c>
      <c r="P57" s="51">
        <v>5.8</v>
      </c>
      <c r="Q57" s="51">
        <v>1.6</v>
      </c>
      <c r="R57" s="51">
        <v>1.4</v>
      </c>
      <c r="S57" s="51">
        <v>0.1</v>
      </c>
      <c r="T57" s="51">
        <v>2.8000000000000001E-2</v>
      </c>
      <c r="U57" s="51">
        <v>-3.7</v>
      </c>
      <c r="V57" s="51">
        <v>-0.1</v>
      </c>
      <c r="W57" s="52">
        <f t="shared" si="0"/>
        <v>-0.05</v>
      </c>
    </row>
    <row r="58" spans="1:23" ht="15">
      <c r="A58" s="50">
        <v>56</v>
      </c>
      <c r="B58" s="51">
        <v>56</v>
      </c>
      <c r="C58" s="51" t="s">
        <v>152</v>
      </c>
      <c r="D58" s="131" t="s">
        <v>439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3" ht="15">
      <c r="A59" s="50">
        <v>57</v>
      </c>
      <c r="B59" s="51">
        <v>57</v>
      </c>
      <c r="C59" s="51" t="s">
        <v>69</v>
      </c>
      <c r="D59" s="132" t="s">
        <v>440</v>
      </c>
      <c r="E59" s="51" t="s">
        <v>195</v>
      </c>
      <c r="F59" s="51">
        <v>2</v>
      </c>
      <c r="G59" s="51">
        <v>116</v>
      </c>
      <c r="H59" s="51">
        <v>2036</v>
      </c>
      <c r="I59" s="51">
        <v>910</v>
      </c>
      <c r="J59" s="51">
        <v>629</v>
      </c>
      <c r="K59" s="51">
        <v>179</v>
      </c>
      <c r="L59" s="51">
        <v>0.64200000000000002</v>
      </c>
      <c r="M59" s="51">
        <v>0</v>
      </c>
      <c r="N59" s="51">
        <v>0.57799999999999996</v>
      </c>
      <c r="O59" s="51">
        <v>17.600000000000001</v>
      </c>
      <c r="P59" s="51">
        <v>7.8</v>
      </c>
      <c r="Q59" s="51">
        <v>5.4</v>
      </c>
      <c r="R59" s="51">
        <v>1.5</v>
      </c>
      <c r="S59" s="51">
        <v>7.8</v>
      </c>
      <c r="T59" s="51">
        <v>0.184</v>
      </c>
      <c r="U59" s="51">
        <v>2.1</v>
      </c>
      <c r="V59" s="51">
        <v>2.1</v>
      </c>
      <c r="W59" s="52">
        <f t="shared" si="0"/>
        <v>1.05</v>
      </c>
    </row>
    <row r="60" spans="1:23" ht="15">
      <c r="A60" s="50">
        <v>58</v>
      </c>
      <c r="B60" s="51">
        <v>58</v>
      </c>
      <c r="C60" s="51" t="s">
        <v>57</v>
      </c>
      <c r="D60" s="131" t="s">
        <v>441</v>
      </c>
      <c r="E60" s="51" t="s">
        <v>173</v>
      </c>
      <c r="F60" s="51">
        <v>2</v>
      </c>
      <c r="G60" s="51">
        <v>33</v>
      </c>
      <c r="H60" s="51">
        <v>147</v>
      </c>
      <c r="I60" s="51">
        <v>40</v>
      </c>
      <c r="J60" s="51">
        <v>40</v>
      </c>
      <c r="K60" s="51">
        <v>6</v>
      </c>
      <c r="L60" s="51">
        <v>0.45700000000000002</v>
      </c>
      <c r="M60" s="51">
        <v>0.111</v>
      </c>
      <c r="N60" s="51">
        <v>0.7</v>
      </c>
      <c r="O60" s="51">
        <v>4.5</v>
      </c>
      <c r="P60" s="51">
        <v>1.2</v>
      </c>
      <c r="Q60" s="51">
        <v>1.2</v>
      </c>
      <c r="R60" s="51">
        <v>0.2</v>
      </c>
      <c r="S60" s="51">
        <v>0.1</v>
      </c>
      <c r="T60" s="51">
        <v>1.7000000000000001E-2</v>
      </c>
      <c r="U60" s="51">
        <v>-7.4</v>
      </c>
      <c r="V60" s="51">
        <v>-0.2</v>
      </c>
      <c r="W60" s="52">
        <f t="shared" si="0"/>
        <v>-0.1</v>
      </c>
    </row>
    <row r="61" spans="1:23">
      <c r="A61" s="50"/>
      <c r="B61" s="50"/>
      <c r="C61" s="50"/>
      <c r="D61" s="50"/>
      <c r="E61" s="50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</row>
    <row r="62" spans="1:23">
      <c r="A62" s="50"/>
      <c r="B62" s="50"/>
      <c r="C62" s="50"/>
      <c r="D62" s="50"/>
      <c r="E62" s="50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</row>
  </sheetData>
  <mergeCells count="2">
    <mergeCell ref="F62:V62"/>
    <mergeCell ref="F61:V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72BD-2F44-174E-A1A4-84A199729F71}">
  <dimension ref="A1:AK71"/>
  <sheetViews>
    <sheetView zoomScale="150" workbookViewId="0">
      <pane ySplit="1" topLeftCell="A42" activePane="bottomLeft" state="frozen"/>
      <selection pane="bottomLeft" activeCell="B1" sqref="B1:S60"/>
    </sheetView>
  </sheetViews>
  <sheetFormatPr defaultColWidth="8.875" defaultRowHeight="15.95"/>
  <cols>
    <col min="1" max="1" width="3" bestFit="1" customWidth="1"/>
    <col min="2" max="2" width="3.625" customWidth="1"/>
    <col min="3" max="3" width="4.375" bestFit="1" customWidth="1"/>
    <col min="4" max="4" width="14.375" bestFit="1" customWidth="1"/>
    <col min="5" max="5" width="11" bestFit="1" customWidth="1"/>
    <col min="6" max="6" width="4.875" customWidth="1"/>
    <col min="7" max="7" width="3.625" bestFit="1" customWidth="1"/>
    <col min="8" max="10" width="4.5" bestFit="1" customWidth="1"/>
    <col min="11" max="11" width="3.875" bestFit="1" customWidth="1"/>
    <col min="12" max="14" width="5.375" bestFit="1" customWidth="1"/>
    <col min="15" max="17" width="4.5" bestFit="1" customWidth="1"/>
    <col min="18" max="18" width="3.875" bestFit="1" customWidth="1"/>
    <col min="19" max="19" width="4.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179</v>
      </c>
      <c r="D2" s="3" t="s">
        <v>442</v>
      </c>
      <c r="E2" s="3" t="s">
        <v>171</v>
      </c>
      <c r="F2" s="3">
        <v>3</v>
      </c>
      <c r="G2" s="3">
        <v>172</v>
      </c>
      <c r="H2" s="3">
        <v>5898</v>
      </c>
      <c r="I2" s="3">
        <v>3682</v>
      </c>
      <c r="J2" s="3">
        <v>1194</v>
      </c>
      <c r="K2" s="3">
        <v>800</v>
      </c>
      <c r="L2" s="3">
        <v>0.44</v>
      </c>
      <c r="M2" s="3">
        <v>0.315</v>
      </c>
      <c r="N2" s="3">
        <v>0.71899999999999997</v>
      </c>
      <c r="O2" s="3">
        <v>34.299999999999997</v>
      </c>
      <c r="P2" s="3">
        <v>21.4</v>
      </c>
      <c r="Q2" s="3">
        <v>6.9</v>
      </c>
      <c r="R2" s="3">
        <v>4.7</v>
      </c>
      <c r="S2" s="3">
        <v>8.1</v>
      </c>
      <c r="T2" s="3">
        <v>6.6000000000000003E-2</v>
      </c>
      <c r="U2" s="3">
        <v>0</v>
      </c>
      <c r="V2" s="3">
        <v>3.1</v>
      </c>
    </row>
    <row r="3" spans="1:22" hidden="1">
      <c r="A3" s="1">
        <v>2</v>
      </c>
      <c r="B3" s="3">
        <v>2</v>
      </c>
      <c r="C3" s="3" t="s">
        <v>82</v>
      </c>
      <c r="D3" s="3" t="s">
        <v>443</v>
      </c>
      <c r="E3" s="3" t="s">
        <v>43</v>
      </c>
      <c r="F3" s="3">
        <v>2</v>
      </c>
      <c r="G3" s="3">
        <v>93</v>
      </c>
      <c r="H3" s="3">
        <v>2700</v>
      </c>
      <c r="I3" s="3">
        <v>1525</v>
      </c>
      <c r="J3" s="3">
        <v>740</v>
      </c>
      <c r="K3" s="3">
        <v>221</v>
      </c>
      <c r="L3" s="3">
        <v>0.52700000000000002</v>
      </c>
      <c r="M3" s="3">
        <v>0.37</v>
      </c>
      <c r="N3" s="3">
        <v>0.79</v>
      </c>
      <c r="O3" s="3">
        <v>29</v>
      </c>
      <c r="P3" s="3">
        <v>16.399999999999999</v>
      </c>
      <c r="Q3" s="3">
        <v>8</v>
      </c>
      <c r="R3" s="3">
        <v>2.4</v>
      </c>
      <c r="S3" s="3">
        <v>10.1</v>
      </c>
      <c r="T3" s="3">
        <v>0.17899999999999999</v>
      </c>
      <c r="U3" s="3">
        <v>3.6</v>
      </c>
      <c r="V3" s="3">
        <v>3.8</v>
      </c>
    </row>
    <row r="4" spans="1:22" hidden="1">
      <c r="A4" s="1">
        <v>3</v>
      </c>
      <c r="B4" s="3">
        <v>3</v>
      </c>
      <c r="C4" s="3" t="s">
        <v>52</v>
      </c>
      <c r="D4" s="3" t="s">
        <v>444</v>
      </c>
      <c r="E4" s="3" t="s">
        <v>445</v>
      </c>
      <c r="F4" s="3">
        <v>3</v>
      </c>
      <c r="G4" s="3">
        <v>188</v>
      </c>
      <c r="H4" s="3">
        <v>5896</v>
      </c>
      <c r="I4" s="3">
        <v>2447</v>
      </c>
      <c r="J4" s="3">
        <v>1400</v>
      </c>
      <c r="K4" s="3">
        <v>255</v>
      </c>
      <c r="L4" s="3">
        <v>0.43099999999999999</v>
      </c>
      <c r="M4" s="3">
        <v>0.33800000000000002</v>
      </c>
      <c r="N4" s="3">
        <v>0.80900000000000005</v>
      </c>
      <c r="O4" s="3">
        <v>31.4</v>
      </c>
      <c r="P4" s="3">
        <v>13</v>
      </c>
      <c r="Q4" s="3">
        <v>7.4</v>
      </c>
      <c r="R4" s="3">
        <v>1.4</v>
      </c>
      <c r="S4" s="3">
        <v>10.1</v>
      </c>
      <c r="T4" s="3">
        <v>8.3000000000000004E-2</v>
      </c>
      <c r="U4" s="3">
        <v>-1.7</v>
      </c>
      <c r="V4" s="3">
        <v>0.4</v>
      </c>
    </row>
    <row r="5" spans="1:22" hidden="1">
      <c r="A5" s="1">
        <v>4</v>
      </c>
      <c r="B5" s="3">
        <v>4</v>
      </c>
      <c r="C5" s="3" t="s">
        <v>36</v>
      </c>
      <c r="D5" s="3" t="s">
        <v>446</v>
      </c>
      <c r="E5" s="3" t="s">
        <v>397</v>
      </c>
      <c r="F5" s="3">
        <v>3</v>
      </c>
      <c r="G5" s="3">
        <v>206</v>
      </c>
      <c r="H5" s="3">
        <v>6691</v>
      </c>
      <c r="I5" s="3">
        <v>2742</v>
      </c>
      <c r="J5" s="3">
        <v>1138</v>
      </c>
      <c r="K5" s="3">
        <v>293</v>
      </c>
      <c r="L5" s="3">
        <v>0.45</v>
      </c>
      <c r="M5" s="3">
        <v>0.372</v>
      </c>
      <c r="N5" s="3">
        <v>0.80900000000000005</v>
      </c>
      <c r="O5" s="3">
        <v>32.5</v>
      </c>
      <c r="P5" s="3">
        <v>13.3</v>
      </c>
      <c r="Q5" s="3">
        <v>5.5</v>
      </c>
      <c r="R5" s="3">
        <v>1.4</v>
      </c>
      <c r="S5" s="3">
        <v>12.1</v>
      </c>
      <c r="T5" s="3">
        <v>8.5999999999999993E-2</v>
      </c>
      <c r="U5" s="3">
        <v>-1.2</v>
      </c>
      <c r="V5" s="3">
        <v>1.4</v>
      </c>
    </row>
    <row r="6" spans="1:22" hidden="1">
      <c r="A6" s="1">
        <v>5</v>
      </c>
      <c r="B6" s="3">
        <v>5</v>
      </c>
      <c r="C6" s="3" t="s">
        <v>34</v>
      </c>
      <c r="D6" s="3" t="s">
        <v>447</v>
      </c>
      <c r="E6" s="3" t="s">
        <v>143</v>
      </c>
      <c r="F6" s="3">
        <v>3</v>
      </c>
      <c r="G6" s="3">
        <v>181</v>
      </c>
      <c r="H6" s="3">
        <v>5419</v>
      </c>
      <c r="I6" s="3">
        <v>2917</v>
      </c>
      <c r="J6" s="3">
        <v>676</v>
      </c>
      <c r="K6" s="3">
        <v>802</v>
      </c>
      <c r="L6" s="3">
        <v>0.42899999999999999</v>
      </c>
      <c r="M6" s="3">
        <v>0.35199999999999998</v>
      </c>
      <c r="N6" s="3">
        <v>0.746</v>
      </c>
      <c r="O6" s="3">
        <v>29.9</v>
      </c>
      <c r="P6" s="3">
        <v>16.100000000000001</v>
      </c>
      <c r="Q6" s="3">
        <v>3.7</v>
      </c>
      <c r="R6" s="3">
        <v>4.4000000000000004</v>
      </c>
      <c r="S6" s="3">
        <v>1.5</v>
      </c>
      <c r="T6" s="3">
        <v>1.4E-2</v>
      </c>
      <c r="U6" s="3">
        <v>-2.7</v>
      </c>
      <c r="V6" s="3">
        <v>-1</v>
      </c>
    </row>
    <row r="7" spans="1:22" hidden="1">
      <c r="A7" s="1">
        <v>6</v>
      </c>
      <c r="B7" s="3">
        <v>6</v>
      </c>
      <c r="C7" s="3" t="s">
        <v>41</v>
      </c>
      <c r="D7" s="3" t="s">
        <v>448</v>
      </c>
      <c r="E7" s="3" t="s">
        <v>224</v>
      </c>
      <c r="F7" s="3">
        <v>3</v>
      </c>
      <c r="G7" s="3">
        <v>186</v>
      </c>
      <c r="H7" s="3">
        <v>5303</v>
      </c>
      <c r="I7" s="3">
        <v>2959</v>
      </c>
      <c r="J7" s="3">
        <v>833</v>
      </c>
      <c r="K7" s="3">
        <v>324</v>
      </c>
      <c r="L7" s="3">
        <v>0.44800000000000001</v>
      </c>
      <c r="M7" s="3">
        <v>0.34599999999999997</v>
      </c>
      <c r="N7" s="3">
        <v>0.82299999999999995</v>
      </c>
      <c r="O7" s="3">
        <v>28.5</v>
      </c>
      <c r="P7" s="3">
        <v>15.9</v>
      </c>
      <c r="Q7" s="3">
        <v>4.5</v>
      </c>
      <c r="R7" s="3">
        <v>1.7</v>
      </c>
      <c r="S7" s="3">
        <v>5.0999999999999996</v>
      </c>
      <c r="T7" s="3">
        <v>4.7E-2</v>
      </c>
      <c r="U7" s="3">
        <v>-3.5</v>
      </c>
      <c r="V7" s="3">
        <v>-2</v>
      </c>
    </row>
    <row r="8" spans="1:22" hidden="1">
      <c r="A8" s="1">
        <v>7</v>
      </c>
      <c r="B8" s="3">
        <v>7</v>
      </c>
      <c r="C8" s="3" t="s">
        <v>124</v>
      </c>
      <c r="D8" s="3" t="s">
        <v>449</v>
      </c>
      <c r="E8" s="3" t="s">
        <v>173</v>
      </c>
      <c r="F8" s="3">
        <v>3</v>
      </c>
      <c r="G8" s="3">
        <v>157</v>
      </c>
      <c r="H8" s="3">
        <v>4205</v>
      </c>
      <c r="I8" s="3">
        <v>2078</v>
      </c>
      <c r="J8" s="3">
        <v>567</v>
      </c>
      <c r="K8" s="3">
        <v>296</v>
      </c>
      <c r="L8" s="3">
        <v>0.44500000000000001</v>
      </c>
      <c r="M8" s="3">
        <v>0.33700000000000002</v>
      </c>
      <c r="N8" s="3">
        <v>0.78400000000000003</v>
      </c>
      <c r="O8" s="3">
        <v>26.8</v>
      </c>
      <c r="P8" s="3">
        <v>13.2</v>
      </c>
      <c r="Q8" s="3">
        <v>3.6</v>
      </c>
      <c r="R8" s="3">
        <v>1.9</v>
      </c>
      <c r="S8" s="3">
        <v>3</v>
      </c>
      <c r="T8" s="3">
        <v>3.4000000000000002E-2</v>
      </c>
      <c r="U8" s="3">
        <v>-2.8</v>
      </c>
      <c r="V8" s="3">
        <v>-0.9</v>
      </c>
    </row>
    <row r="9" spans="1:22" hidden="1">
      <c r="A9" s="1">
        <v>8</v>
      </c>
      <c r="B9" s="3">
        <v>8</v>
      </c>
      <c r="C9" s="3" t="s">
        <v>44</v>
      </c>
      <c r="D9" s="3" t="s">
        <v>450</v>
      </c>
      <c r="E9" s="2"/>
      <c r="F9" s="3">
        <v>3</v>
      </c>
      <c r="G9" s="3">
        <v>168</v>
      </c>
      <c r="H9" s="3">
        <v>4029</v>
      </c>
      <c r="I9" s="3">
        <v>1242</v>
      </c>
      <c r="J9" s="3">
        <v>686</v>
      </c>
      <c r="K9" s="3">
        <v>489</v>
      </c>
      <c r="L9" s="3">
        <v>0.45200000000000001</v>
      </c>
      <c r="M9" s="3">
        <v>0.31900000000000001</v>
      </c>
      <c r="N9" s="3">
        <v>0.63200000000000001</v>
      </c>
      <c r="O9" s="3">
        <v>24</v>
      </c>
      <c r="P9" s="3">
        <v>7.4</v>
      </c>
      <c r="Q9" s="3">
        <v>4.0999999999999996</v>
      </c>
      <c r="R9" s="3">
        <v>2.9</v>
      </c>
      <c r="S9" s="3">
        <v>7</v>
      </c>
      <c r="T9" s="3">
        <v>8.4000000000000005E-2</v>
      </c>
      <c r="U9" s="3">
        <v>0</v>
      </c>
      <c r="V9" s="3">
        <v>2</v>
      </c>
    </row>
    <row r="10" spans="1:22" hidden="1">
      <c r="A10" s="1">
        <v>9</v>
      </c>
      <c r="B10" s="3">
        <v>9</v>
      </c>
      <c r="C10" s="3" t="s">
        <v>79</v>
      </c>
      <c r="D10" s="3" t="s">
        <v>451</v>
      </c>
      <c r="E10" s="3" t="s">
        <v>208</v>
      </c>
      <c r="F10" s="3">
        <v>3</v>
      </c>
      <c r="G10" s="3">
        <v>161</v>
      </c>
      <c r="H10" s="3">
        <v>4478</v>
      </c>
      <c r="I10" s="3">
        <v>1842</v>
      </c>
      <c r="J10" s="3">
        <v>999</v>
      </c>
      <c r="K10" s="3">
        <v>470</v>
      </c>
      <c r="L10" s="3">
        <v>0.46</v>
      </c>
      <c r="M10" s="3">
        <v>0.28999999999999998</v>
      </c>
      <c r="N10" s="3">
        <v>0.73399999999999999</v>
      </c>
      <c r="O10" s="3">
        <v>27.8</v>
      </c>
      <c r="P10" s="3">
        <v>11.4</v>
      </c>
      <c r="Q10" s="3">
        <v>6.2</v>
      </c>
      <c r="R10" s="3">
        <v>2.9</v>
      </c>
      <c r="S10" s="3">
        <v>3.4</v>
      </c>
      <c r="T10" s="3">
        <v>3.5999999999999997E-2</v>
      </c>
      <c r="U10" s="3">
        <v>-3</v>
      </c>
      <c r="V10" s="3">
        <v>-1.1000000000000001</v>
      </c>
    </row>
    <row r="11" spans="1:22" hidden="1">
      <c r="A11" s="1">
        <v>10</v>
      </c>
      <c r="B11" s="3">
        <v>10</v>
      </c>
      <c r="C11" s="3" t="s">
        <v>69</v>
      </c>
      <c r="D11" s="3" t="s">
        <v>452</v>
      </c>
      <c r="E11" s="3" t="s">
        <v>453</v>
      </c>
      <c r="F11" s="3">
        <v>3</v>
      </c>
      <c r="G11" s="3">
        <v>112</v>
      </c>
      <c r="H11" s="3">
        <v>1278</v>
      </c>
      <c r="I11" s="3">
        <v>395</v>
      </c>
      <c r="J11" s="3">
        <v>175</v>
      </c>
      <c r="K11" s="3">
        <v>71</v>
      </c>
      <c r="L11" s="3">
        <v>0.39700000000000002</v>
      </c>
      <c r="M11" s="3">
        <v>0.27300000000000002</v>
      </c>
      <c r="N11" s="3">
        <v>0.56100000000000005</v>
      </c>
      <c r="O11" s="3">
        <v>11.4</v>
      </c>
      <c r="P11" s="3">
        <v>3.5</v>
      </c>
      <c r="Q11" s="3">
        <v>1.6</v>
      </c>
      <c r="R11" s="3">
        <v>0.6</v>
      </c>
      <c r="S11" s="3">
        <v>-0.4</v>
      </c>
      <c r="T11" s="3">
        <v>-1.4E-2</v>
      </c>
      <c r="U11" s="3">
        <v>-6.2</v>
      </c>
      <c r="V11" s="3">
        <v>-1.3</v>
      </c>
    </row>
    <row r="12" spans="1:22" hidden="1">
      <c r="A12" s="1">
        <v>11</v>
      </c>
      <c r="B12" s="3">
        <v>11</v>
      </c>
      <c r="C12" s="3" t="s">
        <v>50</v>
      </c>
      <c r="D12" s="3" t="s">
        <v>454</v>
      </c>
      <c r="E12" s="2"/>
      <c r="F12" s="3">
        <v>3</v>
      </c>
      <c r="G12" s="3">
        <v>101</v>
      </c>
      <c r="H12" s="3">
        <v>1265</v>
      </c>
      <c r="I12" s="3">
        <v>438</v>
      </c>
      <c r="J12" s="3">
        <v>224</v>
      </c>
      <c r="K12" s="3">
        <v>110</v>
      </c>
      <c r="L12" s="3">
        <v>0.41599999999999998</v>
      </c>
      <c r="M12" s="3">
        <v>0.28199999999999997</v>
      </c>
      <c r="N12" s="3">
        <v>0.72699999999999998</v>
      </c>
      <c r="O12" s="3">
        <v>12.5</v>
      </c>
      <c r="P12" s="3">
        <v>4.3</v>
      </c>
      <c r="Q12" s="3">
        <v>2.2000000000000002</v>
      </c>
      <c r="R12" s="3">
        <v>1.1000000000000001</v>
      </c>
      <c r="S12" s="3">
        <v>1.6</v>
      </c>
      <c r="T12" s="3">
        <v>5.8999999999999997E-2</v>
      </c>
      <c r="U12" s="3">
        <v>-2.8</v>
      </c>
      <c r="V12" s="3">
        <v>-0.3</v>
      </c>
    </row>
    <row r="13" spans="1:22" hidden="1">
      <c r="A13" s="1">
        <v>12</v>
      </c>
      <c r="B13" s="3">
        <v>12</v>
      </c>
      <c r="C13" s="3" t="s">
        <v>82</v>
      </c>
      <c r="D13" s="3" t="s">
        <v>455</v>
      </c>
      <c r="E13" s="3" t="s">
        <v>392</v>
      </c>
      <c r="F13" s="3">
        <v>3</v>
      </c>
      <c r="G13" s="3">
        <v>194</v>
      </c>
      <c r="H13" s="3">
        <v>6071</v>
      </c>
      <c r="I13" s="3">
        <v>3427</v>
      </c>
      <c r="J13" s="3">
        <v>884</v>
      </c>
      <c r="K13" s="3">
        <v>816</v>
      </c>
      <c r="L13" s="3">
        <v>0.51500000000000001</v>
      </c>
      <c r="M13" s="3">
        <v>0.377</v>
      </c>
      <c r="N13" s="3">
        <v>0.80300000000000005</v>
      </c>
      <c r="O13" s="3">
        <v>31.3</v>
      </c>
      <c r="P13" s="3">
        <v>17.7</v>
      </c>
      <c r="Q13" s="3">
        <v>4.5999999999999996</v>
      </c>
      <c r="R13" s="3">
        <v>4.2</v>
      </c>
      <c r="S13" s="3">
        <v>18.3</v>
      </c>
      <c r="T13" s="3">
        <v>0.14499999999999999</v>
      </c>
      <c r="U13" s="3">
        <v>2</v>
      </c>
      <c r="V13" s="3">
        <v>6.2</v>
      </c>
    </row>
    <row r="14" spans="1:22" hidden="1">
      <c r="A14" s="1">
        <v>13</v>
      </c>
      <c r="B14" s="3">
        <v>13</v>
      </c>
      <c r="C14" s="3" t="s">
        <v>119</v>
      </c>
      <c r="D14" s="3" t="s">
        <v>456</v>
      </c>
      <c r="E14" s="3" t="s">
        <v>126</v>
      </c>
      <c r="F14" s="3">
        <v>3</v>
      </c>
      <c r="G14" s="3">
        <v>178</v>
      </c>
      <c r="H14" s="3">
        <v>4731</v>
      </c>
      <c r="I14" s="3">
        <v>1995</v>
      </c>
      <c r="J14" s="3">
        <v>1808</v>
      </c>
      <c r="K14" s="3">
        <v>344</v>
      </c>
      <c r="L14" s="3">
        <v>0.64700000000000002</v>
      </c>
      <c r="M14" s="3">
        <v>0</v>
      </c>
      <c r="N14" s="3">
        <v>0.7</v>
      </c>
      <c r="O14" s="3">
        <v>26.6</v>
      </c>
      <c r="P14" s="3">
        <v>11.2</v>
      </c>
      <c r="Q14" s="3">
        <v>10.199999999999999</v>
      </c>
      <c r="R14" s="3">
        <v>1.9</v>
      </c>
      <c r="S14" s="3">
        <v>14.5</v>
      </c>
      <c r="T14" s="3">
        <v>0.14699999999999999</v>
      </c>
      <c r="U14" s="3">
        <v>0.2</v>
      </c>
      <c r="V14" s="3">
        <v>2.6</v>
      </c>
    </row>
    <row r="15" spans="1:22" hidden="1">
      <c r="A15" s="1">
        <v>14</v>
      </c>
      <c r="B15" s="3">
        <v>14</v>
      </c>
      <c r="C15" s="3" t="s">
        <v>76</v>
      </c>
      <c r="D15" s="3" t="s">
        <v>457</v>
      </c>
      <c r="E15" s="3" t="s">
        <v>138</v>
      </c>
      <c r="F15" s="3">
        <v>3</v>
      </c>
      <c r="G15" s="3">
        <v>184</v>
      </c>
      <c r="H15" s="3">
        <v>4161</v>
      </c>
      <c r="I15" s="3">
        <v>1407</v>
      </c>
      <c r="J15" s="3">
        <v>514</v>
      </c>
      <c r="K15" s="3">
        <v>227</v>
      </c>
      <c r="L15" s="3">
        <v>0.44800000000000001</v>
      </c>
      <c r="M15" s="3">
        <v>0.34499999999999997</v>
      </c>
      <c r="N15" s="3">
        <v>0.72399999999999998</v>
      </c>
      <c r="O15" s="3">
        <v>22.6</v>
      </c>
      <c r="P15" s="3">
        <v>7.6</v>
      </c>
      <c r="Q15" s="3">
        <v>2.8</v>
      </c>
      <c r="R15" s="3">
        <v>1.2</v>
      </c>
      <c r="S15" s="3">
        <v>3.7</v>
      </c>
      <c r="T15" s="3">
        <v>4.2000000000000003E-2</v>
      </c>
      <c r="U15" s="3">
        <v>-2.7</v>
      </c>
      <c r="V15" s="3">
        <v>-0.8</v>
      </c>
    </row>
    <row r="16" spans="1:22" hidden="1">
      <c r="A16" s="1">
        <v>15</v>
      </c>
      <c r="B16" s="3">
        <v>15</v>
      </c>
      <c r="C16" s="3" t="s">
        <v>119</v>
      </c>
      <c r="D16" s="3" t="s">
        <v>458</v>
      </c>
      <c r="E16" s="3" t="s">
        <v>171</v>
      </c>
      <c r="F16" s="3">
        <v>3</v>
      </c>
      <c r="G16" s="3">
        <v>85</v>
      </c>
      <c r="H16" s="3">
        <v>1911</v>
      </c>
      <c r="I16" s="3">
        <v>987</v>
      </c>
      <c r="J16" s="3">
        <v>709</v>
      </c>
      <c r="K16" s="3">
        <v>97</v>
      </c>
      <c r="L16" s="3">
        <v>0.621</v>
      </c>
      <c r="M16" s="3">
        <v>0</v>
      </c>
      <c r="N16" s="3">
        <v>0.73199999999999998</v>
      </c>
      <c r="O16" s="3">
        <v>22.5</v>
      </c>
      <c r="P16" s="3">
        <v>11.6</v>
      </c>
      <c r="Q16" s="3">
        <v>8.3000000000000007</v>
      </c>
      <c r="R16" s="3">
        <v>1.1000000000000001</v>
      </c>
      <c r="S16" s="3">
        <v>7.9</v>
      </c>
      <c r="T16" s="3">
        <v>0.19900000000000001</v>
      </c>
      <c r="U16" s="3">
        <v>1.7</v>
      </c>
      <c r="V16" s="3">
        <v>1.8</v>
      </c>
    </row>
    <row r="17" spans="1:22" hidden="1">
      <c r="A17" s="1">
        <v>16</v>
      </c>
      <c r="B17" s="3">
        <v>16</v>
      </c>
      <c r="C17" s="3" t="s">
        <v>184</v>
      </c>
      <c r="D17" s="3" t="s">
        <v>459</v>
      </c>
      <c r="E17" s="3" t="s">
        <v>171</v>
      </c>
      <c r="F17" s="3">
        <v>2</v>
      </c>
      <c r="G17" s="3">
        <v>92</v>
      </c>
      <c r="H17" s="3">
        <v>1572</v>
      </c>
      <c r="I17" s="3">
        <v>687</v>
      </c>
      <c r="J17" s="3">
        <v>171</v>
      </c>
      <c r="K17" s="3">
        <v>78</v>
      </c>
      <c r="L17" s="3">
        <v>0.44700000000000001</v>
      </c>
      <c r="M17" s="3">
        <v>0.372</v>
      </c>
      <c r="N17" s="3">
        <v>0.89800000000000002</v>
      </c>
      <c r="O17" s="3">
        <v>17.100000000000001</v>
      </c>
      <c r="P17" s="3">
        <v>7.5</v>
      </c>
      <c r="Q17" s="3">
        <v>1.9</v>
      </c>
      <c r="R17" s="3">
        <v>0.8</v>
      </c>
      <c r="S17" s="3">
        <v>1.8</v>
      </c>
      <c r="T17" s="3">
        <v>5.2999999999999999E-2</v>
      </c>
      <c r="U17" s="3">
        <v>-1.7</v>
      </c>
      <c r="V17" s="3">
        <v>0.1</v>
      </c>
    </row>
    <row r="18" spans="1:22" hidden="1">
      <c r="A18" s="1">
        <v>17</v>
      </c>
      <c r="B18" s="3">
        <v>17</v>
      </c>
      <c r="C18" s="3" t="s">
        <v>52</v>
      </c>
      <c r="D18" s="3" t="s">
        <v>460</v>
      </c>
      <c r="E18" s="3" t="s">
        <v>145</v>
      </c>
      <c r="F18" s="3">
        <v>3</v>
      </c>
      <c r="G18" s="3">
        <v>139</v>
      </c>
      <c r="H18" s="3">
        <v>3083</v>
      </c>
      <c r="I18" s="3">
        <v>1364</v>
      </c>
      <c r="J18" s="3">
        <v>868</v>
      </c>
      <c r="K18" s="3">
        <v>154</v>
      </c>
      <c r="L18" s="3">
        <v>0.45800000000000002</v>
      </c>
      <c r="M18" s="3">
        <v>0.34399999999999997</v>
      </c>
      <c r="N18" s="3">
        <v>0.73699999999999999</v>
      </c>
      <c r="O18" s="3">
        <v>22.2</v>
      </c>
      <c r="P18" s="3">
        <v>9.8000000000000007</v>
      </c>
      <c r="Q18" s="3">
        <v>6.2</v>
      </c>
      <c r="R18" s="3">
        <v>1.1000000000000001</v>
      </c>
      <c r="S18" s="3">
        <v>7</v>
      </c>
      <c r="T18" s="3">
        <v>0.108</v>
      </c>
      <c r="U18" s="3">
        <v>0.4</v>
      </c>
      <c r="V18" s="3">
        <v>1.8</v>
      </c>
    </row>
    <row r="19" spans="1:22" hidden="1">
      <c r="A19" s="1">
        <v>18</v>
      </c>
      <c r="B19" s="3">
        <v>18</v>
      </c>
      <c r="C19" s="3" t="s">
        <v>99</v>
      </c>
      <c r="D19" s="3" t="s">
        <v>461</v>
      </c>
      <c r="E19" s="3" t="s">
        <v>224</v>
      </c>
      <c r="F19" s="3">
        <v>3</v>
      </c>
      <c r="G19" s="3">
        <v>145</v>
      </c>
      <c r="H19" s="3">
        <v>1497</v>
      </c>
      <c r="I19" s="3">
        <v>450</v>
      </c>
      <c r="J19" s="3">
        <v>220</v>
      </c>
      <c r="K19" s="3">
        <v>160</v>
      </c>
      <c r="L19" s="3">
        <v>0.44800000000000001</v>
      </c>
      <c r="M19" s="3">
        <v>0.27700000000000002</v>
      </c>
      <c r="N19" s="3">
        <v>0.64</v>
      </c>
      <c r="O19" s="3">
        <v>10.3</v>
      </c>
      <c r="P19" s="3">
        <v>3.1</v>
      </c>
      <c r="Q19" s="3">
        <v>1.5</v>
      </c>
      <c r="R19" s="3">
        <v>1.1000000000000001</v>
      </c>
      <c r="S19" s="3">
        <v>1.8</v>
      </c>
      <c r="T19" s="3">
        <v>5.8000000000000003E-2</v>
      </c>
      <c r="U19" s="3">
        <v>-2.8</v>
      </c>
      <c r="V19" s="3">
        <v>-0.3</v>
      </c>
    </row>
    <row r="20" spans="1:22" hidden="1">
      <c r="A20" s="1">
        <v>19</v>
      </c>
      <c r="B20" s="3">
        <v>19</v>
      </c>
      <c r="C20" s="3" t="s">
        <v>135</v>
      </c>
      <c r="D20" s="3" t="s">
        <v>462</v>
      </c>
      <c r="E20" s="3" t="s">
        <v>463</v>
      </c>
      <c r="F20" s="3">
        <v>3</v>
      </c>
      <c r="G20" s="3">
        <v>118</v>
      </c>
      <c r="H20" s="3">
        <v>2214</v>
      </c>
      <c r="I20" s="3">
        <v>834</v>
      </c>
      <c r="J20" s="3">
        <v>398</v>
      </c>
      <c r="K20" s="3">
        <v>214</v>
      </c>
      <c r="L20" s="3">
        <v>0.42899999999999999</v>
      </c>
      <c r="M20" s="3">
        <v>0.37</v>
      </c>
      <c r="N20" s="3">
        <v>0.76600000000000001</v>
      </c>
      <c r="O20" s="3">
        <v>18.8</v>
      </c>
      <c r="P20" s="3">
        <v>7.1</v>
      </c>
      <c r="Q20" s="3">
        <v>3.4</v>
      </c>
      <c r="R20" s="3">
        <v>1.8</v>
      </c>
      <c r="S20" s="3">
        <v>4.2</v>
      </c>
      <c r="T20" s="3">
        <v>9.0999999999999998E-2</v>
      </c>
      <c r="U20" s="3">
        <v>-0.8</v>
      </c>
      <c r="V20" s="3">
        <v>0.7</v>
      </c>
    </row>
    <row r="21" spans="1:22" hidden="1">
      <c r="A21" s="1">
        <v>20</v>
      </c>
      <c r="B21" s="3">
        <v>20</v>
      </c>
      <c r="C21" s="3" t="s">
        <v>79</v>
      </c>
      <c r="D21" s="3" t="s">
        <v>464</v>
      </c>
      <c r="E21" s="3" t="s">
        <v>404</v>
      </c>
      <c r="F21" s="3">
        <v>3</v>
      </c>
      <c r="G21" s="3">
        <v>171</v>
      </c>
      <c r="H21" s="3">
        <v>3431</v>
      </c>
      <c r="I21" s="3">
        <v>1499</v>
      </c>
      <c r="J21" s="3">
        <v>362</v>
      </c>
      <c r="K21" s="3">
        <v>309</v>
      </c>
      <c r="L21" s="3">
        <v>0.436</v>
      </c>
      <c r="M21" s="3">
        <v>0.33200000000000002</v>
      </c>
      <c r="N21" s="3">
        <v>0.85</v>
      </c>
      <c r="O21" s="3">
        <v>20.100000000000001</v>
      </c>
      <c r="P21" s="3">
        <v>8.8000000000000007</v>
      </c>
      <c r="Q21" s="3">
        <v>2.1</v>
      </c>
      <c r="R21" s="3">
        <v>1.8</v>
      </c>
      <c r="S21" s="3">
        <v>-0.5</v>
      </c>
      <c r="T21" s="3">
        <v>-7.0000000000000001E-3</v>
      </c>
      <c r="U21" s="3">
        <v>-5.3</v>
      </c>
      <c r="V21" s="3">
        <v>-2.9</v>
      </c>
    </row>
    <row r="22" spans="1:22" hidden="1">
      <c r="A22" s="1">
        <v>21</v>
      </c>
      <c r="B22" s="3">
        <v>21</v>
      </c>
      <c r="C22" s="3" t="s">
        <v>23</v>
      </c>
      <c r="D22" s="3" t="s">
        <v>465</v>
      </c>
      <c r="E22" s="3" t="s">
        <v>138</v>
      </c>
      <c r="F22" s="3">
        <v>3</v>
      </c>
      <c r="G22" s="3">
        <v>210</v>
      </c>
      <c r="H22" s="3">
        <v>4538</v>
      </c>
      <c r="I22" s="3">
        <v>1723</v>
      </c>
      <c r="J22" s="3">
        <v>747</v>
      </c>
      <c r="K22" s="3">
        <v>302</v>
      </c>
      <c r="L22" s="3">
        <v>0.51200000000000001</v>
      </c>
      <c r="M22" s="3">
        <v>0.372</v>
      </c>
      <c r="N22" s="3">
        <v>0.73799999999999999</v>
      </c>
      <c r="O22" s="3">
        <v>21.6</v>
      </c>
      <c r="P22" s="3">
        <v>8.1999999999999993</v>
      </c>
      <c r="Q22" s="3">
        <v>3.6</v>
      </c>
      <c r="R22" s="3">
        <v>1.4</v>
      </c>
      <c r="S22" s="3">
        <v>10.5</v>
      </c>
      <c r="T22" s="3">
        <v>0.111</v>
      </c>
      <c r="U22" s="3">
        <v>-1.3</v>
      </c>
      <c r="V22" s="3">
        <v>0.8</v>
      </c>
    </row>
    <row r="23" spans="1:22" hidden="1">
      <c r="A23" s="1">
        <v>22</v>
      </c>
      <c r="B23" s="3">
        <v>22</v>
      </c>
      <c r="C23" s="3" t="s">
        <v>152</v>
      </c>
      <c r="D23" s="3" t="s">
        <v>466</v>
      </c>
      <c r="E23" s="3" t="s">
        <v>445</v>
      </c>
      <c r="F23" s="3">
        <v>3</v>
      </c>
      <c r="G23" s="3">
        <v>178</v>
      </c>
      <c r="H23" s="3">
        <v>4405</v>
      </c>
      <c r="I23" s="3">
        <v>1644</v>
      </c>
      <c r="J23" s="3">
        <v>1577</v>
      </c>
      <c r="K23" s="3">
        <v>191</v>
      </c>
      <c r="L23" s="3">
        <v>0.69499999999999995</v>
      </c>
      <c r="M23" s="3">
        <v>0.25</v>
      </c>
      <c r="N23" s="3">
        <v>0.54600000000000004</v>
      </c>
      <c r="O23" s="3">
        <v>24.7</v>
      </c>
      <c r="P23" s="3">
        <v>9.1999999999999993</v>
      </c>
      <c r="Q23" s="3">
        <v>8.9</v>
      </c>
      <c r="R23" s="3">
        <v>1.1000000000000001</v>
      </c>
      <c r="S23" s="3">
        <v>15.3</v>
      </c>
      <c r="T23" s="3">
        <v>0.16600000000000001</v>
      </c>
      <c r="U23" s="3">
        <v>2</v>
      </c>
      <c r="V23" s="3">
        <v>4.4000000000000004</v>
      </c>
    </row>
    <row r="24" spans="1:22" hidden="1">
      <c r="A24" s="1">
        <v>23</v>
      </c>
      <c r="B24" s="3">
        <v>23</v>
      </c>
      <c r="C24" s="3" t="s">
        <v>66</v>
      </c>
      <c r="D24" s="3" t="s">
        <v>467</v>
      </c>
      <c r="E24" s="3" t="s">
        <v>468</v>
      </c>
      <c r="F24" s="3">
        <v>3</v>
      </c>
      <c r="G24" s="3">
        <v>162</v>
      </c>
      <c r="H24" s="3">
        <v>2781</v>
      </c>
      <c r="I24" s="3">
        <v>1013</v>
      </c>
      <c r="J24" s="3">
        <v>474</v>
      </c>
      <c r="K24" s="3">
        <v>169</v>
      </c>
      <c r="L24" s="3">
        <v>0.42199999999999999</v>
      </c>
      <c r="M24" s="3">
        <v>0.308</v>
      </c>
      <c r="N24" s="3">
        <v>0.68400000000000005</v>
      </c>
      <c r="O24" s="3">
        <v>17.2</v>
      </c>
      <c r="P24" s="3">
        <v>6.3</v>
      </c>
      <c r="Q24" s="3">
        <v>2.9</v>
      </c>
      <c r="R24" s="3">
        <v>1</v>
      </c>
      <c r="S24" s="3">
        <v>1.7</v>
      </c>
      <c r="T24" s="3">
        <v>0.03</v>
      </c>
      <c r="U24" s="3">
        <v>-4.0999999999999996</v>
      </c>
      <c r="V24" s="3">
        <v>-1.4</v>
      </c>
    </row>
    <row r="25" spans="1:22" hidden="1">
      <c r="A25" s="1">
        <v>24</v>
      </c>
      <c r="B25" s="3">
        <v>24</v>
      </c>
      <c r="C25" s="3" t="s">
        <v>57</v>
      </c>
      <c r="D25" s="3" t="s">
        <v>469</v>
      </c>
      <c r="E25" s="2"/>
      <c r="F25" s="3">
        <v>3</v>
      </c>
      <c r="G25" s="3">
        <v>127</v>
      </c>
      <c r="H25" s="3">
        <v>1433</v>
      </c>
      <c r="I25" s="3">
        <v>532</v>
      </c>
      <c r="J25" s="3">
        <v>246</v>
      </c>
      <c r="K25" s="3">
        <v>75</v>
      </c>
      <c r="L25" s="3">
        <v>0.42899999999999999</v>
      </c>
      <c r="M25" s="3">
        <v>0.35599999999999998</v>
      </c>
      <c r="N25" s="3">
        <v>0.71399999999999997</v>
      </c>
      <c r="O25" s="3">
        <v>11.3</v>
      </c>
      <c r="P25" s="3">
        <v>4.2</v>
      </c>
      <c r="Q25" s="3">
        <v>1.9</v>
      </c>
      <c r="R25" s="3">
        <v>0.6</v>
      </c>
      <c r="S25" s="3">
        <v>1.1000000000000001</v>
      </c>
      <c r="T25" s="3">
        <v>3.5000000000000003E-2</v>
      </c>
      <c r="U25" s="3">
        <v>-4.2</v>
      </c>
      <c r="V25" s="3">
        <v>-0.8</v>
      </c>
    </row>
    <row r="26" spans="1:22" hidden="1">
      <c r="A26" s="1">
        <v>25</v>
      </c>
      <c r="B26" s="3">
        <v>25</v>
      </c>
      <c r="C26" s="3" t="s">
        <v>79</v>
      </c>
      <c r="D26" s="3" t="s">
        <v>470</v>
      </c>
      <c r="E26" s="3" t="s">
        <v>117</v>
      </c>
      <c r="F26" s="3">
        <v>3</v>
      </c>
      <c r="G26" s="3">
        <v>129</v>
      </c>
      <c r="H26" s="3">
        <v>1832</v>
      </c>
      <c r="I26" s="3">
        <v>549</v>
      </c>
      <c r="J26" s="3">
        <v>198</v>
      </c>
      <c r="K26" s="3">
        <v>324</v>
      </c>
      <c r="L26" s="3">
        <v>0.40799999999999997</v>
      </c>
      <c r="M26" s="3">
        <v>0.28100000000000003</v>
      </c>
      <c r="N26" s="3">
        <v>0.65500000000000003</v>
      </c>
      <c r="O26" s="3">
        <v>14.2</v>
      </c>
      <c r="P26" s="3">
        <v>4.3</v>
      </c>
      <c r="Q26" s="3">
        <v>1.5</v>
      </c>
      <c r="R26" s="3">
        <v>2.5</v>
      </c>
      <c r="S26" s="3">
        <v>-0.5</v>
      </c>
      <c r="T26" s="3">
        <v>-1.4E-2</v>
      </c>
      <c r="U26" s="3">
        <v>-6</v>
      </c>
      <c r="V26" s="3">
        <v>-1.8</v>
      </c>
    </row>
    <row r="27" spans="1:22" hidden="1">
      <c r="A27" s="1">
        <v>26</v>
      </c>
      <c r="B27" s="3">
        <v>26</v>
      </c>
      <c r="C27" s="3" t="s">
        <v>20</v>
      </c>
      <c r="D27" s="3" t="s">
        <v>471</v>
      </c>
      <c r="E27" s="3" t="s">
        <v>171</v>
      </c>
      <c r="F27" s="3">
        <v>3</v>
      </c>
      <c r="G27" s="3">
        <v>74</v>
      </c>
      <c r="H27" s="3">
        <v>447</v>
      </c>
      <c r="I27" s="3">
        <v>123</v>
      </c>
      <c r="J27" s="3">
        <v>74</v>
      </c>
      <c r="K27" s="3">
        <v>47</v>
      </c>
      <c r="L27" s="3">
        <v>0.45</v>
      </c>
      <c r="M27" s="3">
        <v>0.16200000000000001</v>
      </c>
      <c r="N27" s="3">
        <v>0.89500000000000002</v>
      </c>
      <c r="O27" s="3">
        <v>6</v>
      </c>
      <c r="P27" s="3">
        <v>1.7</v>
      </c>
      <c r="Q27" s="3">
        <v>1</v>
      </c>
      <c r="R27" s="3">
        <v>0.6</v>
      </c>
      <c r="S27" s="3">
        <v>0.7</v>
      </c>
      <c r="T27" s="3">
        <v>7.2999999999999995E-2</v>
      </c>
      <c r="U27" s="3">
        <v>-1.5</v>
      </c>
      <c r="V27" s="3">
        <v>0.1</v>
      </c>
    </row>
    <row r="28" spans="1:22" hidden="1">
      <c r="A28" s="1">
        <v>27</v>
      </c>
      <c r="B28" s="3">
        <v>27</v>
      </c>
      <c r="C28" s="3" t="s">
        <v>72</v>
      </c>
      <c r="D28" s="3" t="s">
        <v>472</v>
      </c>
      <c r="E28" s="2"/>
      <c r="F28" s="3">
        <v>3</v>
      </c>
      <c r="G28" s="3">
        <v>102</v>
      </c>
      <c r="H28" s="3">
        <v>2125</v>
      </c>
      <c r="I28" s="3">
        <v>887</v>
      </c>
      <c r="J28" s="3">
        <v>384</v>
      </c>
      <c r="K28" s="3">
        <v>221</v>
      </c>
      <c r="L28" s="3">
        <v>0.45500000000000002</v>
      </c>
      <c r="M28" s="3">
        <v>0.38100000000000001</v>
      </c>
      <c r="N28" s="3">
        <v>0.80800000000000005</v>
      </c>
      <c r="O28" s="3">
        <v>20.8</v>
      </c>
      <c r="P28" s="3">
        <v>8.6999999999999993</v>
      </c>
      <c r="Q28" s="3">
        <v>3.8</v>
      </c>
      <c r="R28" s="3">
        <v>2.2000000000000002</v>
      </c>
      <c r="S28" s="3">
        <v>4.7</v>
      </c>
      <c r="T28" s="3">
        <v>0.105</v>
      </c>
      <c r="U28" s="3">
        <v>0.2</v>
      </c>
      <c r="V28" s="3">
        <v>1.1000000000000001</v>
      </c>
    </row>
    <row r="29" spans="1:22" hidden="1">
      <c r="A29" s="1">
        <v>28</v>
      </c>
      <c r="B29" s="3">
        <v>28</v>
      </c>
      <c r="C29" s="3" t="s">
        <v>25</v>
      </c>
      <c r="D29" s="3" t="s">
        <v>473</v>
      </c>
      <c r="E29" s="3" t="s">
        <v>474</v>
      </c>
      <c r="F29" s="3">
        <v>3</v>
      </c>
      <c r="G29" s="3">
        <v>91</v>
      </c>
      <c r="H29" s="3">
        <v>820</v>
      </c>
      <c r="I29" s="3">
        <v>337</v>
      </c>
      <c r="J29" s="3">
        <v>185</v>
      </c>
      <c r="K29" s="3">
        <v>42</v>
      </c>
      <c r="L29" s="3">
        <v>0.40100000000000002</v>
      </c>
      <c r="M29" s="3">
        <v>0.36599999999999999</v>
      </c>
      <c r="N29" s="3">
        <v>0.65800000000000003</v>
      </c>
      <c r="O29" s="3">
        <v>9</v>
      </c>
      <c r="P29" s="3">
        <v>3.7</v>
      </c>
      <c r="Q29" s="3">
        <v>2</v>
      </c>
      <c r="R29" s="3">
        <v>0.5</v>
      </c>
      <c r="S29" s="3">
        <v>0.5</v>
      </c>
      <c r="T29" s="3">
        <v>2.8000000000000001E-2</v>
      </c>
      <c r="U29" s="3">
        <v>-3.4</v>
      </c>
      <c r="V29" s="3">
        <v>-0.3</v>
      </c>
    </row>
    <row r="30" spans="1:22" hidden="1">
      <c r="A30" s="1">
        <v>29</v>
      </c>
      <c r="B30" s="3">
        <v>29</v>
      </c>
      <c r="C30" s="3" t="s">
        <v>152</v>
      </c>
      <c r="D30" s="3" t="s">
        <v>475</v>
      </c>
      <c r="E30" s="3" t="s">
        <v>173</v>
      </c>
      <c r="F30" s="3">
        <v>3</v>
      </c>
      <c r="G30" s="3">
        <v>47</v>
      </c>
      <c r="H30" s="3">
        <v>537</v>
      </c>
      <c r="I30" s="3">
        <v>174</v>
      </c>
      <c r="J30" s="3">
        <v>55</v>
      </c>
      <c r="K30" s="3">
        <v>58</v>
      </c>
      <c r="L30" s="3">
        <v>0.36099999999999999</v>
      </c>
      <c r="M30" s="3">
        <v>0.25</v>
      </c>
      <c r="N30" s="3">
        <v>0.55000000000000004</v>
      </c>
      <c r="O30" s="3">
        <v>11.4</v>
      </c>
      <c r="P30" s="3">
        <v>3.7</v>
      </c>
      <c r="Q30" s="3">
        <v>1.2</v>
      </c>
      <c r="R30" s="3">
        <v>1.2</v>
      </c>
      <c r="S30" s="3">
        <v>-0.2</v>
      </c>
      <c r="T30" s="3">
        <v>-1.4999999999999999E-2</v>
      </c>
      <c r="U30" s="3">
        <v>-6.2</v>
      </c>
      <c r="V30" s="3">
        <v>-0.6</v>
      </c>
    </row>
    <row r="31" spans="1:22" hidden="1">
      <c r="A31" s="1">
        <v>30</v>
      </c>
      <c r="B31" s="3">
        <v>30</v>
      </c>
      <c r="C31" s="3" t="s">
        <v>82</v>
      </c>
      <c r="D31" s="3" t="s">
        <v>476</v>
      </c>
      <c r="E31" s="3" t="s">
        <v>63</v>
      </c>
      <c r="F31" s="3">
        <v>3</v>
      </c>
      <c r="G31" s="3">
        <v>151</v>
      </c>
      <c r="H31" s="3">
        <v>2832</v>
      </c>
      <c r="I31" s="3">
        <v>995</v>
      </c>
      <c r="J31" s="3">
        <v>460</v>
      </c>
      <c r="K31" s="3">
        <v>169</v>
      </c>
      <c r="L31" s="3">
        <v>0.46899999999999997</v>
      </c>
      <c r="M31" s="3">
        <v>0.31900000000000001</v>
      </c>
      <c r="N31" s="3">
        <v>0.69599999999999995</v>
      </c>
      <c r="O31" s="3">
        <v>18.8</v>
      </c>
      <c r="P31" s="3">
        <v>6.6</v>
      </c>
      <c r="Q31" s="3">
        <v>3</v>
      </c>
      <c r="R31" s="3">
        <v>1.1000000000000001</v>
      </c>
      <c r="S31" s="3">
        <v>4.8</v>
      </c>
      <c r="T31" s="3">
        <v>8.1000000000000003E-2</v>
      </c>
      <c r="U31" s="3">
        <v>-1.8</v>
      </c>
      <c r="V31" s="3">
        <v>0.1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>
      <c r="A33" s="1">
        <v>31</v>
      </c>
      <c r="B33" s="3">
        <v>31</v>
      </c>
      <c r="C33" s="3" t="s">
        <v>41</v>
      </c>
      <c r="D33" s="89" t="s">
        <v>42</v>
      </c>
      <c r="E33" s="3" t="s">
        <v>43</v>
      </c>
      <c r="F33" s="3">
        <v>3</v>
      </c>
      <c r="G33" s="3">
        <v>178</v>
      </c>
      <c r="H33" s="3">
        <v>4761</v>
      </c>
      <c r="I33" s="3">
        <v>1706</v>
      </c>
      <c r="J33" s="3">
        <v>457</v>
      </c>
      <c r="K33" s="3">
        <v>797</v>
      </c>
      <c r="L33" s="3">
        <v>0.46800000000000003</v>
      </c>
      <c r="M33" s="3">
        <v>0.34799999999999998</v>
      </c>
      <c r="N33" s="3">
        <v>0.78400000000000003</v>
      </c>
      <c r="O33" s="3">
        <v>26.7</v>
      </c>
      <c r="P33" s="3">
        <v>9.6</v>
      </c>
      <c r="Q33" s="3">
        <v>2.6</v>
      </c>
      <c r="R33" s="3">
        <v>4.5</v>
      </c>
      <c r="S33" s="3">
        <v>4.8</v>
      </c>
      <c r="T33" s="3">
        <v>4.9000000000000002E-2</v>
      </c>
      <c r="U33" s="3">
        <v>-2.6</v>
      </c>
      <c r="V33" s="3">
        <v>-0.7</v>
      </c>
    </row>
    <row r="34" spans="1:22">
      <c r="A34" s="1">
        <v>32</v>
      </c>
      <c r="B34" s="3">
        <v>32</v>
      </c>
      <c r="C34" s="3" t="s">
        <v>179</v>
      </c>
      <c r="D34" s="88" t="s">
        <v>477</v>
      </c>
      <c r="E34" s="3" t="s">
        <v>151</v>
      </c>
      <c r="F34" s="3">
        <v>3</v>
      </c>
      <c r="G34" s="3">
        <v>146</v>
      </c>
      <c r="H34" s="3">
        <v>2052</v>
      </c>
      <c r="I34" s="3">
        <v>547</v>
      </c>
      <c r="J34" s="3">
        <v>219</v>
      </c>
      <c r="K34" s="3">
        <v>74</v>
      </c>
      <c r="L34" s="3">
        <v>0.36299999999999999</v>
      </c>
      <c r="M34" s="3">
        <v>0.34799999999999998</v>
      </c>
      <c r="N34" s="3">
        <v>0.83599999999999997</v>
      </c>
      <c r="O34" s="3">
        <v>14.1</v>
      </c>
      <c r="P34" s="3">
        <v>3.7</v>
      </c>
      <c r="Q34" s="3">
        <v>1.5</v>
      </c>
      <c r="R34" s="3">
        <v>0.5</v>
      </c>
      <c r="S34" s="3">
        <v>2.6</v>
      </c>
      <c r="T34" s="3">
        <v>0.06</v>
      </c>
      <c r="U34" s="3">
        <v>-3.5</v>
      </c>
      <c r="V34" s="3">
        <v>-0.8</v>
      </c>
    </row>
    <row r="35" spans="1:22">
      <c r="A35" s="1">
        <v>33</v>
      </c>
      <c r="B35" s="3">
        <v>33</v>
      </c>
      <c r="C35" s="3" t="s">
        <v>163</v>
      </c>
      <c r="D35" s="88" t="s">
        <v>478</v>
      </c>
      <c r="E35" s="3" t="s">
        <v>224</v>
      </c>
      <c r="F35" s="3">
        <v>2</v>
      </c>
      <c r="G35" s="3">
        <v>86</v>
      </c>
      <c r="H35" s="3">
        <v>1039</v>
      </c>
      <c r="I35" s="3">
        <v>241</v>
      </c>
      <c r="J35" s="3">
        <v>231</v>
      </c>
      <c r="K35" s="3">
        <v>43</v>
      </c>
      <c r="L35" s="3">
        <v>0.51600000000000001</v>
      </c>
      <c r="M35" s="3">
        <v>7.0999999999999994E-2</v>
      </c>
      <c r="N35" s="3">
        <v>0.64600000000000002</v>
      </c>
      <c r="O35" s="3">
        <v>12.1</v>
      </c>
      <c r="P35" s="3">
        <v>2.8</v>
      </c>
      <c r="Q35" s="3">
        <v>2.7</v>
      </c>
      <c r="R35" s="3">
        <v>0.5</v>
      </c>
      <c r="S35" s="3">
        <v>2.4</v>
      </c>
      <c r="T35" s="3">
        <v>0.113</v>
      </c>
      <c r="U35" s="3">
        <v>-3.2</v>
      </c>
      <c r="V35" s="3">
        <v>-0.3</v>
      </c>
    </row>
    <row r="36" spans="1:22">
      <c r="A36" s="1">
        <v>34</v>
      </c>
      <c r="B36" s="3">
        <v>34</v>
      </c>
      <c r="C36" s="3" t="s">
        <v>82</v>
      </c>
      <c r="D36" s="80" t="s">
        <v>83</v>
      </c>
      <c r="E36" s="3" t="s">
        <v>84</v>
      </c>
      <c r="F36" s="3">
        <v>3</v>
      </c>
      <c r="G36" s="3">
        <v>142</v>
      </c>
      <c r="H36" s="3">
        <v>2218</v>
      </c>
      <c r="I36" s="3">
        <v>704</v>
      </c>
      <c r="J36" s="3">
        <v>613</v>
      </c>
      <c r="K36" s="3">
        <v>245</v>
      </c>
      <c r="L36" s="3">
        <v>0.41899999999999998</v>
      </c>
      <c r="M36" s="3">
        <v>0.36699999999999999</v>
      </c>
      <c r="N36" s="3">
        <v>0.77100000000000002</v>
      </c>
      <c r="O36" s="3">
        <v>15.6</v>
      </c>
      <c r="P36" s="3">
        <v>5</v>
      </c>
      <c r="Q36" s="3">
        <v>4.3</v>
      </c>
      <c r="R36" s="3">
        <v>1.7</v>
      </c>
      <c r="S36" s="3">
        <v>5.8</v>
      </c>
      <c r="T36" s="3">
        <v>0.126</v>
      </c>
      <c r="U36" s="3">
        <v>0.3</v>
      </c>
      <c r="V36" s="3">
        <v>1.3</v>
      </c>
    </row>
    <row r="37" spans="1:22">
      <c r="A37" s="1">
        <v>35</v>
      </c>
      <c r="B37" s="3">
        <v>35</v>
      </c>
      <c r="C37" s="3" t="s">
        <v>31</v>
      </c>
      <c r="D37" s="80" t="s">
        <v>85</v>
      </c>
      <c r="E37" s="3" t="s">
        <v>27</v>
      </c>
      <c r="F37" s="3">
        <v>3</v>
      </c>
      <c r="G37" s="3">
        <v>157</v>
      </c>
      <c r="H37" s="3">
        <v>2704</v>
      </c>
      <c r="I37" s="3">
        <v>855</v>
      </c>
      <c r="J37" s="3">
        <v>357</v>
      </c>
      <c r="K37" s="3">
        <v>156</v>
      </c>
      <c r="L37" s="3">
        <v>0.437</v>
      </c>
      <c r="M37" s="3">
        <v>0.38300000000000001</v>
      </c>
      <c r="N37" s="3">
        <v>0.82499999999999996</v>
      </c>
      <c r="O37" s="3">
        <v>17.2</v>
      </c>
      <c r="P37" s="3">
        <v>5.4</v>
      </c>
      <c r="Q37" s="3">
        <v>2.2999999999999998</v>
      </c>
      <c r="R37" s="3">
        <v>1</v>
      </c>
      <c r="S37" s="3">
        <v>3.6</v>
      </c>
      <c r="T37" s="3">
        <v>6.4000000000000001E-2</v>
      </c>
      <c r="U37" s="3">
        <v>-2.6</v>
      </c>
      <c r="V37" s="3">
        <v>-0.4</v>
      </c>
    </row>
    <row r="38" spans="1:22">
      <c r="A38" s="1">
        <v>36</v>
      </c>
      <c r="B38" s="3">
        <v>36</v>
      </c>
      <c r="C38" s="3" t="s">
        <v>124</v>
      </c>
      <c r="D38" s="88" t="s">
        <v>479</v>
      </c>
      <c r="E38" s="2"/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>
      <c r="A39" s="1">
        <v>37</v>
      </c>
      <c r="B39" s="3">
        <v>37</v>
      </c>
      <c r="C39" s="3" t="s">
        <v>36</v>
      </c>
      <c r="D39" s="82" t="s">
        <v>149</v>
      </c>
      <c r="E39" s="2"/>
      <c r="F39" s="3">
        <v>3</v>
      </c>
      <c r="G39" s="3">
        <v>160</v>
      </c>
      <c r="H39" s="3">
        <v>2306</v>
      </c>
      <c r="I39" s="3">
        <v>1276</v>
      </c>
      <c r="J39" s="3">
        <v>282</v>
      </c>
      <c r="K39" s="3">
        <v>228</v>
      </c>
      <c r="L39" s="3">
        <v>0.42199999999999999</v>
      </c>
      <c r="M39" s="3">
        <v>0.38100000000000001</v>
      </c>
      <c r="N39" s="3">
        <v>0.78500000000000003</v>
      </c>
      <c r="O39" s="3">
        <v>14.4</v>
      </c>
      <c r="P39" s="3">
        <v>8</v>
      </c>
      <c r="Q39" s="3">
        <v>1.8</v>
      </c>
      <c r="R39" s="3">
        <v>1.4</v>
      </c>
      <c r="S39" s="3">
        <v>0.9</v>
      </c>
      <c r="T39" s="3">
        <v>1.9E-2</v>
      </c>
      <c r="U39" s="3">
        <v>-3.7</v>
      </c>
      <c r="V39" s="3">
        <v>-1</v>
      </c>
    </row>
    <row r="40" spans="1:22">
      <c r="A40" s="1">
        <v>38</v>
      </c>
      <c r="B40" s="3">
        <v>38</v>
      </c>
      <c r="C40" s="3" t="s">
        <v>79</v>
      </c>
      <c r="D40" s="88" t="s">
        <v>480</v>
      </c>
      <c r="E40" s="3" t="s">
        <v>115</v>
      </c>
      <c r="F40" s="3">
        <v>1</v>
      </c>
      <c r="G40" s="3">
        <v>36</v>
      </c>
      <c r="H40" s="3">
        <v>281</v>
      </c>
      <c r="I40" s="3">
        <v>78</v>
      </c>
      <c r="J40" s="3">
        <v>38</v>
      </c>
      <c r="K40" s="3">
        <v>58</v>
      </c>
      <c r="L40" s="3">
        <v>0.42199999999999999</v>
      </c>
      <c r="M40" s="3">
        <v>0.13300000000000001</v>
      </c>
      <c r="N40" s="3">
        <v>0.46200000000000002</v>
      </c>
      <c r="O40" s="3">
        <v>7.8</v>
      </c>
      <c r="P40" s="3">
        <v>2.2000000000000002</v>
      </c>
      <c r="Q40" s="3">
        <v>1.1000000000000001</v>
      </c>
      <c r="R40" s="3">
        <v>1.6</v>
      </c>
      <c r="S40" s="3">
        <v>0.3</v>
      </c>
      <c r="T40" s="3">
        <v>4.3999999999999997E-2</v>
      </c>
      <c r="U40" s="3">
        <v>-2.7</v>
      </c>
      <c r="V40" s="3">
        <v>0</v>
      </c>
    </row>
    <row r="41" spans="1:22">
      <c r="A41" s="1">
        <v>39</v>
      </c>
      <c r="B41" s="3">
        <v>39</v>
      </c>
      <c r="C41" s="3" t="s">
        <v>76</v>
      </c>
      <c r="D41" s="88" t="s">
        <v>481</v>
      </c>
      <c r="E41" s="2"/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2">
      <c r="A42" s="1">
        <v>40</v>
      </c>
      <c r="B42" s="3">
        <v>40</v>
      </c>
      <c r="C42" s="3" t="s">
        <v>135</v>
      </c>
      <c r="D42" s="88" t="s">
        <v>482</v>
      </c>
      <c r="E42" s="3" t="s">
        <v>165</v>
      </c>
      <c r="F42" s="3">
        <v>3</v>
      </c>
      <c r="G42" s="3">
        <v>113</v>
      </c>
      <c r="H42" s="3">
        <v>1690</v>
      </c>
      <c r="I42" s="3">
        <v>561</v>
      </c>
      <c r="J42" s="3">
        <v>196</v>
      </c>
      <c r="K42" s="3">
        <v>106</v>
      </c>
      <c r="L42" s="3">
        <v>0.42099999999999999</v>
      </c>
      <c r="M42" s="3">
        <v>0.32600000000000001</v>
      </c>
      <c r="N42" s="3">
        <v>0.76600000000000001</v>
      </c>
      <c r="O42" s="3">
        <v>15</v>
      </c>
      <c r="P42" s="3">
        <v>5</v>
      </c>
      <c r="Q42" s="3">
        <v>1.7</v>
      </c>
      <c r="R42" s="3">
        <v>0.9</v>
      </c>
      <c r="S42" s="3">
        <v>0.7</v>
      </c>
      <c r="T42" s="3">
        <v>2.1000000000000001E-2</v>
      </c>
      <c r="U42" s="3">
        <v>-5.4</v>
      </c>
      <c r="V42" s="3">
        <v>-1.4</v>
      </c>
    </row>
    <row r="43" spans="1:22">
      <c r="A43" s="1">
        <v>41</v>
      </c>
      <c r="B43" s="3">
        <v>41</v>
      </c>
      <c r="C43" s="3" t="s">
        <v>44</v>
      </c>
      <c r="D43" s="88" t="s">
        <v>483</v>
      </c>
      <c r="E43" s="3" t="s">
        <v>404</v>
      </c>
      <c r="F43" s="3">
        <v>2</v>
      </c>
      <c r="G43" s="3">
        <v>14</v>
      </c>
      <c r="H43" s="3">
        <v>54</v>
      </c>
      <c r="I43" s="3">
        <v>19</v>
      </c>
      <c r="J43" s="3">
        <v>10</v>
      </c>
      <c r="K43" s="3">
        <v>4</v>
      </c>
      <c r="L43" s="3">
        <v>0.42899999999999999</v>
      </c>
      <c r="M43" s="3">
        <v>0.27300000000000002</v>
      </c>
      <c r="N43" s="3">
        <v>1</v>
      </c>
      <c r="O43" s="3">
        <v>3.9</v>
      </c>
      <c r="P43" s="3">
        <v>1.4</v>
      </c>
      <c r="Q43" s="3">
        <v>0.7</v>
      </c>
      <c r="R43" s="3">
        <v>0.3</v>
      </c>
      <c r="S43" s="3">
        <v>0.1</v>
      </c>
      <c r="T43" s="3">
        <v>0.06</v>
      </c>
      <c r="U43" s="3">
        <v>-1.6</v>
      </c>
      <c r="V43" s="3">
        <v>0</v>
      </c>
    </row>
    <row r="44" spans="1:22">
      <c r="A44" s="1">
        <v>42</v>
      </c>
      <c r="B44" s="3">
        <v>42</v>
      </c>
      <c r="C44" s="3" t="s">
        <v>50</v>
      </c>
      <c r="D44" s="88" t="s">
        <v>484</v>
      </c>
      <c r="E44" s="3" t="s">
        <v>171</v>
      </c>
      <c r="F44" s="3">
        <v>1</v>
      </c>
      <c r="G44" s="3">
        <v>3</v>
      </c>
      <c r="H44" s="3">
        <v>8</v>
      </c>
      <c r="I44" s="3">
        <v>3</v>
      </c>
      <c r="J44" s="3">
        <v>2</v>
      </c>
      <c r="K44" s="3">
        <v>0</v>
      </c>
      <c r="L44" s="3">
        <v>0.25</v>
      </c>
      <c r="M44" s="3">
        <v>0.25</v>
      </c>
      <c r="N44" s="2">
        <v>0</v>
      </c>
      <c r="O44" s="3">
        <v>2.7</v>
      </c>
      <c r="P44" s="3">
        <v>1</v>
      </c>
      <c r="Q44" s="3">
        <v>0.7</v>
      </c>
      <c r="R44" s="3">
        <v>0</v>
      </c>
      <c r="S44" s="3">
        <v>0</v>
      </c>
      <c r="T44" s="3">
        <v>-6.2E-2</v>
      </c>
      <c r="U44" s="3">
        <v>-13</v>
      </c>
      <c r="V44" s="3">
        <v>0</v>
      </c>
    </row>
    <row r="45" spans="1:22">
      <c r="A45" s="1">
        <v>43</v>
      </c>
      <c r="B45" s="3">
        <v>43</v>
      </c>
      <c r="C45" s="3" t="s">
        <v>28</v>
      </c>
      <c r="D45" s="82" t="s">
        <v>150</v>
      </c>
      <c r="E45" s="3" t="s">
        <v>151</v>
      </c>
      <c r="F45" s="3">
        <v>3</v>
      </c>
      <c r="G45" s="3">
        <v>76</v>
      </c>
      <c r="H45" s="3">
        <v>1065</v>
      </c>
      <c r="I45" s="3">
        <v>290</v>
      </c>
      <c r="J45" s="3">
        <v>374</v>
      </c>
      <c r="K45" s="3">
        <v>45</v>
      </c>
      <c r="L45" s="3">
        <v>0.57299999999999995</v>
      </c>
      <c r="M45" s="3">
        <v>0.25</v>
      </c>
      <c r="N45" s="3">
        <v>0.58199999999999996</v>
      </c>
      <c r="O45" s="3">
        <v>14</v>
      </c>
      <c r="P45" s="3">
        <v>3.8</v>
      </c>
      <c r="Q45" s="3">
        <v>4.9000000000000004</v>
      </c>
      <c r="R45" s="3">
        <v>0.6</v>
      </c>
      <c r="S45" s="3">
        <v>3</v>
      </c>
      <c r="T45" s="3">
        <v>0.13400000000000001</v>
      </c>
      <c r="U45" s="3">
        <v>-1.6</v>
      </c>
      <c r="V45" s="3">
        <v>0.1</v>
      </c>
    </row>
    <row r="46" spans="1:22">
      <c r="A46" s="1">
        <v>44</v>
      </c>
      <c r="B46" s="3">
        <v>44</v>
      </c>
      <c r="C46" s="3" t="s">
        <v>184</v>
      </c>
      <c r="D46" s="88" t="s">
        <v>485</v>
      </c>
      <c r="E46" s="3" t="s">
        <v>486</v>
      </c>
      <c r="F46" s="3">
        <v>3</v>
      </c>
      <c r="G46" s="3">
        <v>60</v>
      </c>
      <c r="H46" s="3">
        <v>561</v>
      </c>
      <c r="I46" s="3">
        <v>238</v>
      </c>
      <c r="J46" s="3">
        <v>79</v>
      </c>
      <c r="K46" s="3">
        <v>64</v>
      </c>
      <c r="L46" s="3">
        <v>0.46</v>
      </c>
      <c r="M46" s="3">
        <v>0.38900000000000001</v>
      </c>
      <c r="N46" s="3">
        <v>0.82599999999999996</v>
      </c>
      <c r="O46" s="3">
        <v>9.4</v>
      </c>
      <c r="P46" s="3">
        <v>4</v>
      </c>
      <c r="Q46" s="3">
        <v>1.3</v>
      </c>
      <c r="R46" s="3">
        <v>1.1000000000000001</v>
      </c>
      <c r="S46" s="3">
        <v>0.6</v>
      </c>
      <c r="T46" s="3">
        <v>0.05</v>
      </c>
      <c r="U46" s="3">
        <v>-2.1</v>
      </c>
      <c r="V46" s="3">
        <v>0</v>
      </c>
    </row>
    <row r="47" spans="1:22">
      <c r="A47" s="1">
        <v>45</v>
      </c>
      <c r="B47" s="3">
        <v>45</v>
      </c>
      <c r="C47" s="3" t="s">
        <v>119</v>
      </c>
      <c r="D47" s="88" t="s">
        <v>487</v>
      </c>
      <c r="E47" s="3" t="s">
        <v>126</v>
      </c>
      <c r="F47" s="3">
        <v>3</v>
      </c>
      <c r="G47" s="3">
        <v>78</v>
      </c>
      <c r="H47" s="3">
        <v>403</v>
      </c>
      <c r="I47" s="3">
        <v>176</v>
      </c>
      <c r="J47" s="3">
        <v>75</v>
      </c>
      <c r="K47" s="3">
        <v>26</v>
      </c>
      <c r="L47" s="3">
        <v>0.47899999999999998</v>
      </c>
      <c r="M47" s="3">
        <v>0.28899999999999998</v>
      </c>
      <c r="N47" s="3">
        <v>0.879</v>
      </c>
      <c r="O47" s="3">
        <v>5.2</v>
      </c>
      <c r="P47" s="3">
        <v>2.2999999999999998</v>
      </c>
      <c r="Q47" s="3">
        <v>1</v>
      </c>
      <c r="R47" s="3">
        <v>0.3</v>
      </c>
      <c r="S47" s="3">
        <v>1.2</v>
      </c>
      <c r="T47" s="3">
        <v>0.14799999999999999</v>
      </c>
      <c r="U47" s="3">
        <v>0.9</v>
      </c>
      <c r="V47" s="3">
        <v>0.3</v>
      </c>
    </row>
    <row r="48" spans="1:22">
      <c r="A48" s="1">
        <v>46</v>
      </c>
      <c r="B48" s="3">
        <v>46</v>
      </c>
      <c r="C48" s="3" t="s">
        <v>34</v>
      </c>
      <c r="D48" s="88" t="s">
        <v>488</v>
      </c>
      <c r="E48" s="2"/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</row>
    <row r="49" spans="1:37">
      <c r="A49" s="1">
        <v>47</v>
      </c>
      <c r="B49" s="3">
        <v>47</v>
      </c>
      <c r="C49" s="3" t="s">
        <v>152</v>
      </c>
      <c r="D49" s="82" t="s">
        <v>153</v>
      </c>
      <c r="E49" s="3" t="s">
        <v>154</v>
      </c>
      <c r="F49" s="3">
        <v>3</v>
      </c>
      <c r="G49" s="3">
        <v>72</v>
      </c>
      <c r="H49" s="3">
        <v>1613</v>
      </c>
      <c r="I49" s="3">
        <v>578</v>
      </c>
      <c r="J49" s="3">
        <v>320</v>
      </c>
      <c r="K49" s="3">
        <v>191</v>
      </c>
      <c r="L49" s="3">
        <v>0.42799999999999999</v>
      </c>
      <c r="M49" s="3">
        <v>0.34399999999999997</v>
      </c>
      <c r="N49" s="3">
        <v>0.78200000000000003</v>
      </c>
      <c r="O49" s="3">
        <v>22.4</v>
      </c>
      <c r="P49" s="3">
        <v>8</v>
      </c>
      <c r="Q49" s="3">
        <v>4.4000000000000004</v>
      </c>
      <c r="R49" s="3">
        <v>2.7</v>
      </c>
      <c r="S49" s="3">
        <v>2.7</v>
      </c>
      <c r="T49" s="3">
        <v>0.08</v>
      </c>
      <c r="U49" s="3">
        <v>-1.3</v>
      </c>
      <c r="V49" s="3">
        <v>0.3</v>
      </c>
    </row>
    <row r="50" spans="1:37">
      <c r="A50" s="1">
        <v>48</v>
      </c>
      <c r="B50" s="3">
        <v>48</v>
      </c>
      <c r="C50" s="3" t="s">
        <v>135</v>
      </c>
      <c r="D50" s="88" t="s">
        <v>489</v>
      </c>
      <c r="E50" s="3" t="s">
        <v>208</v>
      </c>
      <c r="F50" s="3">
        <v>2</v>
      </c>
      <c r="G50" s="3">
        <v>21</v>
      </c>
      <c r="H50" s="3">
        <v>103</v>
      </c>
      <c r="I50" s="3">
        <v>30</v>
      </c>
      <c r="J50" s="3">
        <v>11</v>
      </c>
      <c r="K50" s="3">
        <v>8</v>
      </c>
      <c r="L50" s="3">
        <v>0.54500000000000004</v>
      </c>
      <c r="M50" s="3">
        <v>0</v>
      </c>
      <c r="N50" s="3">
        <v>0.6</v>
      </c>
      <c r="O50" s="3">
        <v>4.9000000000000004</v>
      </c>
      <c r="P50" s="3">
        <v>1.4</v>
      </c>
      <c r="Q50" s="3">
        <v>0.5</v>
      </c>
      <c r="R50" s="3">
        <v>0.4</v>
      </c>
      <c r="S50" s="3">
        <v>0.1</v>
      </c>
      <c r="T50" s="3">
        <v>5.5E-2</v>
      </c>
      <c r="U50" s="3">
        <v>-5.3</v>
      </c>
      <c r="V50" s="3">
        <v>-0.1</v>
      </c>
    </row>
    <row r="51" spans="1:37">
      <c r="A51" s="1">
        <v>49</v>
      </c>
      <c r="B51" s="3">
        <v>49</v>
      </c>
      <c r="C51" s="3" t="s">
        <v>76</v>
      </c>
      <c r="D51" s="88" t="s">
        <v>490</v>
      </c>
      <c r="E51" s="3" t="s">
        <v>105</v>
      </c>
      <c r="F51" s="3">
        <v>2</v>
      </c>
      <c r="G51" s="3">
        <v>22</v>
      </c>
      <c r="H51" s="3">
        <v>156</v>
      </c>
      <c r="I51" s="3">
        <v>54</v>
      </c>
      <c r="J51" s="3">
        <v>30</v>
      </c>
      <c r="K51" s="3">
        <v>9</v>
      </c>
      <c r="L51" s="3">
        <v>0.42299999999999999</v>
      </c>
      <c r="M51" s="3">
        <v>0.33300000000000002</v>
      </c>
      <c r="N51" s="3">
        <v>0.8</v>
      </c>
      <c r="O51" s="3">
        <v>7.1</v>
      </c>
      <c r="P51" s="3">
        <v>2.5</v>
      </c>
      <c r="Q51" s="3">
        <v>1.4</v>
      </c>
      <c r="R51" s="3">
        <v>0.4</v>
      </c>
      <c r="S51" s="3">
        <v>0.3</v>
      </c>
      <c r="T51" s="3">
        <v>8.6999999999999994E-2</v>
      </c>
      <c r="U51" s="3">
        <v>-3.8</v>
      </c>
      <c r="V51" s="3">
        <v>-0.1</v>
      </c>
    </row>
    <row r="52" spans="1:37">
      <c r="A52" s="1">
        <v>50</v>
      </c>
      <c r="B52" s="3">
        <v>50</v>
      </c>
      <c r="C52" s="3" t="s">
        <v>135</v>
      </c>
      <c r="D52" s="88" t="s">
        <v>491</v>
      </c>
      <c r="E52" s="2"/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37">
      <c r="A53" s="1">
        <v>51</v>
      </c>
      <c r="B53" s="3">
        <v>51</v>
      </c>
      <c r="C53" s="3" t="s">
        <v>25</v>
      </c>
      <c r="D53" s="88" t="s">
        <v>492</v>
      </c>
      <c r="E53" s="3" t="s">
        <v>300</v>
      </c>
      <c r="F53" s="3">
        <v>2</v>
      </c>
      <c r="G53" s="3">
        <v>50</v>
      </c>
      <c r="H53" s="3">
        <v>787</v>
      </c>
      <c r="I53" s="3">
        <v>293</v>
      </c>
      <c r="J53" s="3">
        <v>146</v>
      </c>
      <c r="K53" s="3">
        <v>61</v>
      </c>
      <c r="L53" s="3">
        <v>0.39700000000000002</v>
      </c>
      <c r="M53" s="3">
        <v>0.33800000000000002</v>
      </c>
      <c r="N53" s="3">
        <v>0.71899999999999997</v>
      </c>
      <c r="O53" s="3">
        <v>15.7</v>
      </c>
      <c r="P53" s="3">
        <v>5.9</v>
      </c>
      <c r="Q53" s="3">
        <v>2.9</v>
      </c>
      <c r="R53" s="3">
        <v>1.2</v>
      </c>
      <c r="S53" s="3">
        <v>0.1</v>
      </c>
      <c r="T53" s="3">
        <v>8.9999999999999993E-3</v>
      </c>
      <c r="U53" s="3">
        <v>-3.7</v>
      </c>
      <c r="V53" s="3">
        <v>-0.3</v>
      </c>
    </row>
    <row r="54" spans="1:37">
      <c r="A54" s="1">
        <v>52</v>
      </c>
      <c r="B54" s="3">
        <v>52</v>
      </c>
      <c r="C54" s="3" t="s">
        <v>44</v>
      </c>
      <c r="D54" s="88" t="s">
        <v>493</v>
      </c>
      <c r="E54" s="2"/>
      <c r="F54" s="3">
        <v>1</v>
      </c>
      <c r="G54" s="3">
        <v>14</v>
      </c>
      <c r="H54" s="3">
        <v>164</v>
      </c>
      <c r="I54" s="3">
        <v>38</v>
      </c>
      <c r="J54" s="3">
        <v>46</v>
      </c>
      <c r="K54" s="3">
        <v>9</v>
      </c>
      <c r="L54" s="3">
        <v>0.46899999999999997</v>
      </c>
      <c r="M54" s="3">
        <v>0.375</v>
      </c>
      <c r="N54" s="3">
        <v>1</v>
      </c>
      <c r="O54" s="3">
        <v>11.7</v>
      </c>
      <c r="P54" s="3">
        <v>2.7</v>
      </c>
      <c r="Q54" s="3">
        <v>3.3</v>
      </c>
      <c r="R54" s="3">
        <v>0.6</v>
      </c>
      <c r="S54" s="3">
        <v>0.2</v>
      </c>
      <c r="T54" s="3">
        <v>5.6000000000000001E-2</v>
      </c>
      <c r="U54" s="3">
        <v>-3.8</v>
      </c>
      <c r="V54" s="3">
        <v>-0.1</v>
      </c>
    </row>
    <row r="55" spans="1:37">
      <c r="A55" s="1">
        <v>53</v>
      </c>
      <c r="B55" s="3">
        <v>53</v>
      </c>
      <c r="C55" s="3" t="s">
        <v>190</v>
      </c>
      <c r="D55" s="88" t="s">
        <v>494</v>
      </c>
      <c r="E55" s="3" t="s">
        <v>46</v>
      </c>
      <c r="F55" s="3">
        <v>3</v>
      </c>
      <c r="G55" s="3">
        <v>25</v>
      </c>
      <c r="H55" s="3">
        <v>129</v>
      </c>
      <c r="I55" s="3">
        <v>41</v>
      </c>
      <c r="J55" s="3">
        <v>21</v>
      </c>
      <c r="K55" s="3">
        <v>22</v>
      </c>
      <c r="L55" s="3">
        <v>0.41699999999999998</v>
      </c>
      <c r="M55" s="3">
        <v>0.35299999999999998</v>
      </c>
      <c r="N55" s="3">
        <v>0.625</v>
      </c>
      <c r="O55" s="3">
        <v>5.2</v>
      </c>
      <c r="P55" s="3">
        <v>1.6</v>
      </c>
      <c r="Q55" s="3">
        <v>0.8</v>
      </c>
      <c r="R55" s="3">
        <v>0.9</v>
      </c>
      <c r="S55" s="3">
        <v>0.1</v>
      </c>
      <c r="T55" s="3">
        <v>4.8000000000000001E-2</v>
      </c>
      <c r="U55" s="3">
        <v>-3.8</v>
      </c>
      <c r="V55" s="3">
        <v>-0.1</v>
      </c>
    </row>
    <row r="56" spans="1:37">
      <c r="A56" s="1">
        <v>54</v>
      </c>
      <c r="B56" s="3">
        <v>54</v>
      </c>
      <c r="C56" s="3" t="s">
        <v>69</v>
      </c>
      <c r="D56" s="88" t="s">
        <v>495</v>
      </c>
      <c r="E56" s="2"/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</row>
    <row r="57" spans="1:37">
      <c r="A57" s="1">
        <v>55</v>
      </c>
      <c r="B57" s="3">
        <v>55</v>
      </c>
      <c r="C57" s="3" t="s">
        <v>25</v>
      </c>
      <c r="D57" s="82" t="s">
        <v>155</v>
      </c>
      <c r="E57" s="2"/>
      <c r="F57" s="3">
        <v>2</v>
      </c>
      <c r="G57" s="3">
        <v>50</v>
      </c>
      <c r="H57" s="3">
        <v>532</v>
      </c>
      <c r="I57" s="3">
        <v>193</v>
      </c>
      <c r="J57" s="3">
        <v>124</v>
      </c>
      <c r="K57" s="3">
        <v>44</v>
      </c>
      <c r="L57" s="3">
        <v>0.496</v>
      </c>
      <c r="M57" s="3">
        <v>0.40300000000000002</v>
      </c>
      <c r="N57" s="3">
        <v>0.78900000000000003</v>
      </c>
      <c r="O57" s="3">
        <v>10.6</v>
      </c>
      <c r="P57" s="3">
        <v>3.9</v>
      </c>
      <c r="Q57" s="3">
        <v>2.5</v>
      </c>
      <c r="R57" s="3">
        <v>0.9</v>
      </c>
      <c r="S57" s="3">
        <v>1.5</v>
      </c>
      <c r="T57" s="3">
        <v>0.13800000000000001</v>
      </c>
      <c r="U57" s="3">
        <v>-1.3</v>
      </c>
      <c r="V57" s="3">
        <v>0.1</v>
      </c>
    </row>
    <row r="58" spans="1:37">
      <c r="A58" s="1">
        <v>56</v>
      </c>
      <c r="B58" s="3">
        <v>56</v>
      </c>
      <c r="C58" s="3" t="s">
        <v>76</v>
      </c>
      <c r="D58" s="88" t="s">
        <v>496</v>
      </c>
      <c r="E58" s="2"/>
      <c r="F58" s="3">
        <v>1</v>
      </c>
      <c r="G58" s="3">
        <v>6</v>
      </c>
      <c r="H58" s="3">
        <v>42</v>
      </c>
      <c r="I58" s="3">
        <v>8</v>
      </c>
      <c r="J58" s="3">
        <v>6</v>
      </c>
      <c r="K58" s="3">
        <v>5</v>
      </c>
      <c r="L58" s="3">
        <v>0.42899999999999999</v>
      </c>
      <c r="M58" s="3">
        <v>0</v>
      </c>
      <c r="N58" s="3">
        <v>1</v>
      </c>
      <c r="O58" s="3">
        <v>7</v>
      </c>
      <c r="P58" s="3">
        <v>1.3</v>
      </c>
      <c r="Q58" s="3">
        <v>1</v>
      </c>
      <c r="R58" s="3">
        <v>0.8</v>
      </c>
      <c r="S58" s="3">
        <v>0.1</v>
      </c>
      <c r="T58" s="3">
        <v>6.5000000000000002E-2</v>
      </c>
      <c r="U58" s="3">
        <v>-5.5</v>
      </c>
      <c r="V58" s="3">
        <v>0</v>
      </c>
    </row>
    <row r="59" spans="1:37">
      <c r="A59" s="1">
        <v>57</v>
      </c>
      <c r="B59" s="3">
        <v>57</v>
      </c>
      <c r="C59" s="3" t="s">
        <v>124</v>
      </c>
      <c r="D59" s="88" t="s">
        <v>497</v>
      </c>
      <c r="E59" s="3" t="s">
        <v>65</v>
      </c>
      <c r="F59" s="3">
        <v>3</v>
      </c>
      <c r="G59" s="3">
        <v>165</v>
      </c>
      <c r="H59" s="3">
        <v>2694</v>
      </c>
      <c r="I59" s="3">
        <v>973</v>
      </c>
      <c r="J59" s="3">
        <v>743</v>
      </c>
      <c r="K59" s="3">
        <v>122</v>
      </c>
      <c r="L59" s="3">
        <v>0.44900000000000001</v>
      </c>
      <c r="M59" s="3">
        <v>0.27900000000000003</v>
      </c>
      <c r="N59" s="3">
        <v>0.74</v>
      </c>
      <c r="O59" s="3">
        <v>16.3</v>
      </c>
      <c r="P59" s="3">
        <v>5.9</v>
      </c>
      <c r="Q59" s="3">
        <v>4.5</v>
      </c>
      <c r="R59" s="3">
        <v>0.7</v>
      </c>
      <c r="S59" s="3">
        <v>3.5</v>
      </c>
      <c r="T59" s="3">
        <v>6.3E-2</v>
      </c>
      <c r="U59" s="3">
        <v>-4</v>
      </c>
      <c r="V59" s="3">
        <v>-1.3</v>
      </c>
    </row>
    <row r="60" spans="1:37">
      <c r="A60" s="1">
        <v>58</v>
      </c>
      <c r="B60" s="3">
        <v>58</v>
      </c>
      <c r="C60" s="3" t="s">
        <v>41</v>
      </c>
      <c r="D60" s="88" t="s">
        <v>498</v>
      </c>
      <c r="E60" s="2"/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</row>
    <row r="61" spans="1:37">
      <c r="A61" s="1"/>
      <c r="B61" s="1"/>
      <c r="C61" s="1"/>
      <c r="D61" s="1"/>
      <c r="E61" s="1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</row>
    <row r="62" spans="1:37" ht="30">
      <c r="A62" s="1"/>
      <c r="B62" s="1"/>
      <c r="C62" s="1" t="s">
        <v>499</v>
      </c>
      <c r="D62" s="1" t="s">
        <v>3</v>
      </c>
      <c r="E62" s="1" t="s">
        <v>500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30">
      <c r="B64" s="1" t="s">
        <v>501</v>
      </c>
      <c r="C64" s="3" t="s">
        <v>152</v>
      </c>
      <c r="D64" s="3" t="s">
        <v>502</v>
      </c>
      <c r="E64" s="3" t="s">
        <v>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2:37" ht="30">
      <c r="B65" s="1" t="s">
        <v>501</v>
      </c>
      <c r="C65" s="3" t="s">
        <v>57</v>
      </c>
      <c r="D65" s="3" t="s">
        <v>503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2:37" ht="30">
      <c r="B66" s="1" t="s">
        <v>501</v>
      </c>
      <c r="C66" s="3" t="s">
        <v>36</v>
      </c>
      <c r="D66" s="3" t="s">
        <v>504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2:37" ht="30">
      <c r="B67" s="1" t="s">
        <v>501</v>
      </c>
      <c r="C67" s="3" t="s">
        <v>79</v>
      </c>
      <c r="D67" s="3" t="s">
        <v>505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ht="30">
      <c r="B68" s="1" t="s">
        <v>501</v>
      </c>
      <c r="C68" s="3" t="s">
        <v>507</v>
      </c>
      <c r="D68" s="3" t="s">
        <v>508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2:37" ht="30">
      <c r="B69" s="1" t="s">
        <v>501</v>
      </c>
      <c r="C69" s="3" t="s">
        <v>79</v>
      </c>
      <c r="D69" s="3" t="s">
        <v>505</v>
      </c>
      <c r="E69" s="3" t="s">
        <v>506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2:37" ht="30">
      <c r="B70" s="1" t="s">
        <v>501</v>
      </c>
      <c r="C70" s="3" t="s">
        <v>34</v>
      </c>
      <c r="D70" s="3" t="s">
        <v>508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2:37" ht="30">
      <c r="B71" s="1" t="s">
        <v>501</v>
      </c>
      <c r="C71" s="3" t="s">
        <v>193</v>
      </c>
      <c r="D71" s="3" t="s">
        <v>509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</sheetData>
  <mergeCells count="1">
    <mergeCell ref="F61:V61"/>
  </mergeCells>
  <conditionalFormatting sqref="G1:G60">
    <cfRule type="cellIs" dxfId="22" priority="1" operator="greaterThan">
      <formula>82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56B0-397C-D84A-B70A-5AD65C8D1866}">
  <dimension ref="A1:AK74"/>
  <sheetViews>
    <sheetView zoomScale="161" workbookViewId="0">
      <pane ySplit="1" topLeftCell="A53" activePane="bottomLeft" state="frozen"/>
      <selection pane="bottomLeft" activeCell="H69" sqref="H69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6.875" bestFit="1" customWidth="1"/>
    <col min="5" max="5" width="14.875" bestFit="1" customWidth="1"/>
    <col min="6" max="6" width="3.375" bestFit="1" customWidth="1"/>
    <col min="7" max="7" width="3.625" bestFit="1" customWidth="1"/>
    <col min="8" max="11" width="4.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4.5" bestFit="1" customWidth="1"/>
    <col min="20" max="20" width="5.875" bestFit="1" customWidth="1"/>
    <col min="21" max="22" width="5" bestFit="1" customWidth="1"/>
  </cols>
  <sheetData>
    <row r="1" spans="1:24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4" hidden="1">
      <c r="A2" s="1">
        <v>1</v>
      </c>
      <c r="B2" s="3">
        <v>1</v>
      </c>
      <c r="C2" s="3" t="s">
        <v>34</v>
      </c>
      <c r="D2" s="3" t="s">
        <v>510</v>
      </c>
      <c r="E2" s="3" t="s">
        <v>511</v>
      </c>
      <c r="F2" s="3">
        <v>4</v>
      </c>
      <c r="G2" s="3">
        <v>186</v>
      </c>
      <c r="H2" s="3">
        <v>6276</v>
      </c>
      <c r="I2" s="3">
        <v>3980</v>
      </c>
      <c r="J2" s="3">
        <v>1002</v>
      </c>
      <c r="K2" s="3">
        <v>1348</v>
      </c>
      <c r="L2" s="3">
        <v>0.438</v>
      </c>
      <c r="M2" s="3">
        <v>0.33600000000000002</v>
      </c>
      <c r="N2" s="3">
        <v>0.85399999999999998</v>
      </c>
      <c r="O2" s="3">
        <v>33.700000000000003</v>
      </c>
      <c r="P2" s="3">
        <v>21.4</v>
      </c>
      <c r="Q2" s="3">
        <v>5.4</v>
      </c>
      <c r="R2" s="3">
        <v>7.2</v>
      </c>
      <c r="S2" s="3">
        <v>4.7</v>
      </c>
      <c r="T2" s="3">
        <v>3.5999999999999997E-2</v>
      </c>
      <c r="U2" s="3">
        <v>0.4</v>
      </c>
      <c r="V2" s="3">
        <v>3.8</v>
      </c>
    </row>
    <row r="3" spans="1:24" hidden="1">
      <c r="A3" s="1">
        <v>2</v>
      </c>
      <c r="B3" s="3">
        <v>2</v>
      </c>
      <c r="C3" s="3" t="s">
        <v>52</v>
      </c>
      <c r="D3" s="3" t="s">
        <v>512</v>
      </c>
      <c r="E3" s="2"/>
      <c r="F3" s="3">
        <v>4</v>
      </c>
      <c r="G3" s="3">
        <v>278</v>
      </c>
      <c r="H3" s="3">
        <v>9110</v>
      </c>
      <c r="I3" s="3">
        <v>5586</v>
      </c>
      <c r="J3" s="3">
        <v>1167</v>
      </c>
      <c r="K3" s="3">
        <v>906</v>
      </c>
      <c r="L3" s="3">
        <v>0.42199999999999999</v>
      </c>
      <c r="M3" s="3">
        <v>0.34</v>
      </c>
      <c r="N3" s="3">
        <v>0.80400000000000005</v>
      </c>
      <c r="O3" s="3">
        <v>32.799999999999997</v>
      </c>
      <c r="P3" s="3">
        <v>20.100000000000001</v>
      </c>
      <c r="Q3" s="3">
        <v>4.2</v>
      </c>
      <c r="R3" s="3">
        <v>3.3</v>
      </c>
      <c r="S3" s="3">
        <v>9</v>
      </c>
      <c r="T3" s="3">
        <v>4.7E-2</v>
      </c>
      <c r="U3" s="3">
        <v>-1.3</v>
      </c>
      <c r="V3" s="3">
        <v>1.6</v>
      </c>
    </row>
    <row r="4" spans="1:24" hidden="1">
      <c r="A4" s="1">
        <v>3</v>
      </c>
      <c r="B4" s="3">
        <v>3</v>
      </c>
      <c r="C4" s="3" t="s">
        <v>76</v>
      </c>
      <c r="D4" s="3" t="s">
        <v>513</v>
      </c>
      <c r="E4" s="3" t="s">
        <v>105</v>
      </c>
      <c r="F4" s="3">
        <v>4</v>
      </c>
      <c r="G4" s="3">
        <v>244</v>
      </c>
      <c r="H4" s="3">
        <v>7960</v>
      </c>
      <c r="I4" s="3">
        <v>3945</v>
      </c>
      <c r="J4" s="3">
        <v>2163</v>
      </c>
      <c r="K4" s="3">
        <v>691</v>
      </c>
      <c r="L4" s="3">
        <v>0.54900000000000004</v>
      </c>
      <c r="M4" s="3">
        <v>0.30499999999999999</v>
      </c>
      <c r="N4" s="3">
        <v>0.69899999999999995</v>
      </c>
      <c r="O4" s="3">
        <v>32.6</v>
      </c>
      <c r="P4" s="3">
        <v>16.2</v>
      </c>
      <c r="Q4" s="3">
        <v>8.9</v>
      </c>
      <c r="R4" s="3">
        <v>2.8</v>
      </c>
      <c r="S4" s="3">
        <v>25.2</v>
      </c>
      <c r="T4" s="3">
        <v>0.152</v>
      </c>
      <c r="U4" s="3">
        <v>2</v>
      </c>
      <c r="V4" s="3">
        <v>8.1</v>
      </c>
    </row>
    <row r="5" spans="1:24" hidden="1">
      <c r="A5" s="1">
        <v>4</v>
      </c>
      <c r="B5" s="3">
        <v>4</v>
      </c>
      <c r="C5" s="3" t="s">
        <v>163</v>
      </c>
      <c r="D5" s="3" t="s">
        <v>514</v>
      </c>
      <c r="E5" s="3" t="s">
        <v>182</v>
      </c>
      <c r="F5" s="3">
        <v>4</v>
      </c>
      <c r="G5" s="3">
        <v>251</v>
      </c>
      <c r="H5" s="3">
        <v>8771</v>
      </c>
      <c r="I5" s="3">
        <v>4298</v>
      </c>
      <c r="J5" s="3">
        <v>1874</v>
      </c>
      <c r="K5" s="3">
        <v>1246</v>
      </c>
      <c r="L5" s="3">
        <v>0.46800000000000003</v>
      </c>
      <c r="M5" s="3">
        <v>0.30099999999999999</v>
      </c>
      <c r="N5" s="3">
        <v>0.76500000000000001</v>
      </c>
      <c r="O5" s="3">
        <v>34.9</v>
      </c>
      <c r="P5" s="3">
        <v>17.100000000000001</v>
      </c>
      <c r="Q5" s="3">
        <v>7.5</v>
      </c>
      <c r="R5" s="3">
        <v>5</v>
      </c>
      <c r="S5" s="3">
        <v>17.8</v>
      </c>
      <c r="T5" s="3">
        <v>9.7000000000000003E-2</v>
      </c>
      <c r="U5" s="3">
        <v>1.6</v>
      </c>
      <c r="V5" s="3">
        <v>8</v>
      </c>
    </row>
    <row r="6" spans="1:24" hidden="1">
      <c r="A6" s="1">
        <v>5</v>
      </c>
      <c r="B6" s="3">
        <v>5</v>
      </c>
      <c r="C6" s="3" t="s">
        <v>179</v>
      </c>
      <c r="D6" s="3" t="s">
        <v>515</v>
      </c>
      <c r="E6" s="3" t="s">
        <v>43</v>
      </c>
      <c r="F6" s="3">
        <v>4</v>
      </c>
      <c r="G6" s="3">
        <v>211</v>
      </c>
      <c r="H6" s="3">
        <v>5580</v>
      </c>
      <c r="I6" s="3">
        <v>2598</v>
      </c>
      <c r="J6" s="3">
        <v>702</v>
      </c>
      <c r="K6" s="3">
        <v>698</v>
      </c>
      <c r="L6" s="3">
        <v>0.41899999999999998</v>
      </c>
      <c r="M6" s="3">
        <v>0.32900000000000001</v>
      </c>
      <c r="N6" s="3">
        <v>0.77900000000000003</v>
      </c>
      <c r="O6" s="3">
        <v>26.4</v>
      </c>
      <c r="P6" s="3">
        <v>12.3</v>
      </c>
      <c r="Q6" s="3">
        <v>3.3</v>
      </c>
      <c r="R6" s="3">
        <v>3.3</v>
      </c>
      <c r="S6" s="3">
        <v>5.6</v>
      </c>
      <c r="T6" s="3">
        <v>4.8000000000000001E-2</v>
      </c>
      <c r="U6" s="3">
        <v>-1.1000000000000001</v>
      </c>
      <c r="V6" s="3">
        <v>1.3</v>
      </c>
    </row>
    <row r="7" spans="1:24" hidden="1">
      <c r="A7" s="1">
        <v>6</v>
      </c>
      <c r="B7" s="3">
        <v>6</v>
      </c>
      <c r="C7" s="3" t="s">
        <v>82</v>
      </c>
      <c r="D7" s="3" t="s">
        <v>516</v>
      </c>
      <c r="E7" s="2"/>
      <c r="F7" s="3">
        <v>4</v>
      </c>
      <c r="G7" s="3">
        <v>259</v>
      </c>
      <c r="H7" s="3">
        <v>7491</v>
      </c>
      <c r="I7" s="3">
        <v>3512</v>
      </c>
      <c r="J7" s="3">
        <v>1888</v>
      </c>
      <c r="K7" s="3">
        <v>1519</v>
      </c>
      <c r="L7" s="3">
        <v>0.46100000000000002</v>
      </c>
      <c r="M7" s="3">
        <v>0.316</v>
      </c>
      <c r="N7" s="3">
        <v>0.753</v>
      </c>
      <c r="O7" s="3">
        <v>28.9</v>
      </c>
      <c r="P7" s="3">
        <v>13.6</v>
      </c>
      <c r="Q7" s="3">
        <v>7.3</v>
      </c>
      <c r="R7" s="3">
        <v>5.9</v>
      </c>
      <c r="S7" s="3">
        <v>10.9</v>
      </c>
      <c r="T7" s="3">
        <v>7.0000000000000007E-2</v>
      </c>
      <c r="U7" s="3">
        <v>0.7</v>
      </c>
      <c r="V7" s="3">
        <v>5</v>
      </c>
    </row>
    <row r="8" spans="1:24" hidden="1">
      <c r="A8" s="1">
        <v>7</v>
      </c>
      <c r="B8" s="3">
        <v>7</v>
      </c>
      <c r="C8" s="3" t="s">
        <v>25</v>
      </c>
      <c r="D8" s="3" t="s">
        <v>517</v>
      </c>
      <c r="E8" s="2"/>
      <c r="F8" s="3">
        <v>4</v>
      </c>
      <c r="G8" s="3">
        <v>243</v>
      </c>
      <c r="H8" s="3">
        <v>5360</v>
      </c>
      <c r="I8" s="3">
        <v>3042</v>
      </c>
      <c r="J8" s="3">
        <v>979</v>
      </c>
      <c r="K8" s="3">
        <v>422</v>
      </c>
      <c r="L8" s="3">
        <v>0.51200000000000001</v>
      </c>
      <c r="M8" s="3">
        <v>0.34200000000000003</v>
      </c>
      <c r="N8" s="3">
        <v>0.69199999999999995</v>
      </c>
      <c r="O8" s="3">
        <v>22.1</v>
      </c>
      <c r="P8" s="3">
        <v>12.5</v>
      </c>
      <c r="Q8" s="3">
        <v>4</v>
      </c>
      <c r="R8" s="3">
        <v>1.7</v>
      </c>
      <c r="S8" s="3">
        <v>11.4</v>
      </c>
      <c r="T8" s="3">
        <v>0.10199999999999999</v>
      </c>
      <c r="U8" s="3">
        <v>-0.9</v>
      </c>
      <c r="V8" s="3">
        <v>1.5</v>
      </c>
    </row>
    <row r="9" spans="1:24" hidden="1">
      <c r="A9" s="1">
        <v>8</v>
      </c>
      <c r="B9" s="3">
        <v>8</v>
      </c>
      <c r="C9" s="3" t="s">
        <v>179</v>
      </c>
      <c r="D9" s="3" t="s">
        <v>518</v>
      </c>
      <c r="E9" s="3" t="s">
        <v>151</v>
      </c>
      <c r="F9" s="3">
        <v>4</v>
      </c>
      <c r="G9" s="3">
        <v>265</v>
      </c>
      <c r="H9" s="3">
        <v>8495</v>
      </c>
      <c r="I9" s="3">
        <v>4954</v>
      </c>
      <c r="J9" s="3">
        <v>1255</v>
      </c>
      <c r="K9" s="3">
        <v>956</v>
      </c>
      <c r="L9" s="3">
        <v>0.47599999999999998</v>
      </c>
      <c r="M9" s="3">
        <v>0.32900000000000001</v>
      </c>
      <c r="N9" s="3">
        <v>0.85199999999999998</v>
      </c>
      <c r="O9" s="3">
        <v>32.1</v>
      </c>
      <c r="P9" s="3">
        <v>18.7</v>
      </c>
      <c r="Q9" s="3">
        <v>4.7</v>
      </c>
      <c r="R9" s="3">
        <v>3.6</v>
      </c>
      <c r="S9" s="3">
        <v>19.5</v>
      </c>
      <c r="T9" s="3">
        <v>0.11</v>
      </c>
      <c r="U9" s="3">
        <v>0.8</v>
      </c>
      <c r="V9" s="3">
        <v>6.1</v>
      </c>
    </row>
    <row r="10" spans="1:24" hidden="1">
      <c r="A10" s="1">
        <v>9</v>
      </c>
      <c r="B10" s="3">
        <v>9</v>
      </c>
      <c r="C10" s="3" t="s">
        <v>36</v>
      </c>
      <c r="D10" s="3" t="s">
        <v>519</v>
      </c>
      <c r="E10" s="3" t="s">
        <v>208</v>
      </c>
      <c r="F10" s="3">
        <v>4</v>
      </c>
      <c r="G10" s="3">
        <v>271</v>
      </c>
      <c r="H10" s="3">
        <v>5704</v>
      </c>
      <c r="I10" s="3">
        <v>1969</v>
      </c>
      <c r="J10" s="3">
        <v>451</v>
      </c>
      <c r="K10" s="3">
        <v>835</v>
      </c>
      <c r="L10" s="3">
        <v>0.434</v>
      </c>
      <c r="M10" s="3">
        <v>0.33200000000000002</v>
      </c>
      <c r="N10" s="3">
        <v>0.69699999999999995</v>
      </c>
      <c r="O10" s="3">
        <v>21</v>
      </c>
      <c r="P10" s="3">
        <v>7.3</v>
      </c>
      <c r="Q10" s="3">
        <v>1.7</v>
      </c>
      <c r="R10" s="3">
        <v>3.1</v>
      </c>
      <c r="S10" s="3">
        <v>3.4</v>
      </c>
      <c r="T10" s="3">
        <v>2.9000000000000001E-2</v>
      </c>
      <c r="U10" s="3">
        <v>-3.6</v>
      </c>
      <c r="V10" s="3">
        <v>-2.2999999999999998</v>
      </c>
    </row>
    <row r="11" spans="1:24" hidden="1">
      <c r="A11" s="1">
        <v>10</v>
      </c>
      <c r="B11" s="3">
        <v>10</v>
      </c>
      <c r="C11" s="3" t="s">
        <v>44</v>
      </c>
      <c r="D11" s="3" t="s">
        <v>520</v>
      </c>
      <c r="E11" s="3" t="s">
        <v>121</v>
      </c>
      <c r="F11" s="3">
        <v>4</v>
      </c>
      <c r="G11" s="3">
        <v>188</v>
      </c>
      <c r="H11" s="3">
        <v>3842</v>
      </c>
      <c r="I11" s="3">
        <v>1488</v>
      </c>
      <c r="J11" s="3">
        <v>570</v>
      </c>
      <c r="K11" s="3">
        <v>229</v>
      </c>
      <c r="L11" s="3">
        <v>0.42</v>
      </c>
      <c r="M11" s="3">
        <v>0.30599999999999999</v>
      </c>
      <c r="N11" s="3">
        <v>0.80900000000000005</v>
      </c>
      <c r="O11" s="3">
        <v>20.399999999999999</v>
      </c>
      <c r="P11" s="3">
        <v>7.9</v>
      </c>
      <c r="Q11" s="3">
        <v>3</v>
      </c>
      <c r="R11" s="3">
        <v>1.2</v>
      </c>
      <c r="S11" s="3">
        <v>3.8</v>
      </c>
      <c r="T11" s="3">
        <v>4.7E-2</v>
      </c>
      <c r="U11" s="3">
        <v>-3.7</v>
      </c>
      <c r="V11" s="3">
        <v>-1.7</v>
      </c>
    </row>
    <row r="12" spans="1:24" hidden="1">
      <c r="A12" s="1">
        <v>11</v>
      </c>
      <c r="B12" s="3">
        <v>11</v>
      </c>
      <c r="C12" s="3" t="s">
        <v>119</v>
      </c>
      <c r="D12" s="3" t="s">
        <v>521</v>
      </c>
      <c r="E12" s="3" t="s">
        <v>300</v>
      </c>
      <c r="F12" s="3">
        <v>3</v>
      </c>
      <c r="G12" s="3">
        <v>79</v>
      </c>
      <c r="H12" s="3">
        <v>900</v>
      </c>
      <c r="I12" s="3">
        <v>383</v>
      </c>
      <c r="J12" s="3">
        <v>133</v>
      </c>
      <c r="K12" s="3">
        <v>73</v>
      </c>
      <c r="L12" s="3">
        <v>0.36299999999999999</v>
      </c>
      <c r="M12" s="3">
        <v>0.33500000000000002</v>
      </c>
      <c r="N12" s="3">
        <v>0.76200000000000001</v>
      </c>
      <c r="O12" s="3">
        <v>11.4</v>
      </c>
      <c r="P12" s="3">
        <v>4.8</v>
      </c>
      <c r="Q12" s="3">
        <v>1.7</v>
      </c>
      <c r="R12" s="3">
        <v>0.9</v>
      </c>
      <c r="S12" s="3">
        <v>-0.3</v>
      </c>
      <c r="T12" s="3">
        <v>-1.7000000000000001E-2</v>
      </c>
      <c r="U12" s="3">
        <v>-5.9</v>
      </c>
      <c r="V12" s="3">
        <v>-0.9</v>
      </c>
    </row>
    <row r="13" spans="1:24" hidden="1">
      <c r="A13" s="1">
        <v>12</v>
      </c>
      <c r="B13" s="3">
        <v>12</v>
      </c>
      <c r="C13" s="3" t="s">
        <v>79</v>
      </c>
      <c r="D13" s="3" t="s">
        <v>522</v>
      </c>
      <c r="E13" s="3" t="s">
        <v>46</v>
      </c>
      <c r="F13" s="3">
        <v>3</v>
      </c>
      <c r="G13" s="3">
        <v>56</v>
      </c>
      <c r="H13" s="3">
        <v>1068</v>
      </c>
      <c r="I13" s="3">
        <v>318</v>
      </c>
      <c r="J13" s="3">
        <v>127</v>
      </c>
      <c r="K13" s="3">
        <v>99</v>
      </c>
      <c r="L13" s="3">
        <v>0.371</v>
      </c>
      <c r="M13" s="3">
        <v>0.3</v>
      </c>
      <c r="N13" s="3">
        <v>0.75</v>
      </c>
      <c r="O13" s="3">
        <v>19.100000000000001</v>
      </c>
      <c r="P13" s="3">
        <v>5.7</v>
      </c>
      <c r="Q13" s="3">
        <v>2.2999999999999998</v>
      </c>
      <c r="R13" s="3">
        <v>1.8</v>
      </c>
      <c r="S13" s="3">
        <v>-0.3</v>
      </c>
      <c r="T13" s="3">
        <v>-1.0999999999999999E-2</v>
      </c>
      <c r="U13" s="3">
        <v>-5.3</v>
      </c>
      <c r="V13" s="3">
        <v>-0.9</v>
      </c>
    </row>
    <row r="14" spans="1:24" hidden="1">
      <c r="A14" s="1">
        <v>13</v>
      </c>
      <c r="B14" s="3">
        <v>13</v>
      </c>
      <c r="C14" s="3" t="s">
        <v>41</v>
      </c>
      <c r="D14" s="3" t="s">
        <v>523</v>
      </c>
      <c r="E14" s="3" t="s">
        <v>55</v>
      </c>
      <c r="F14" s="3">
        <v>4</v>
      </c>
      <c r="G14" s="3">
        <v>177</v>
      </c>
      <c r="H14" s="3">
        <v>3231</v>
      </c>
      <c r="I14" s="3">
        <v>1348</v>
      </c>
      <c r="J14" s="3">
        <v>467</v>
      </c>
      <c r="K14" s="3">
        <v>231</v>
      </c>
      <c r="L14" s="3">
        <v>0.40600000000000003</v>
      </c>
      <c r="M14" s="3">
        <v>0.34899999999999998</v>
      </c>
      <c r="N14" s="3">
        <v>0.81299999999999994</v>
      </c>
      <c r="O14" s="3">
        <v>18.3</v>
      </c>
      <c r="P14" s="3">
        <v>7.6</v>
      </c>
      <c r="Q14" s="3">
        <v>2.6</v>
      </c>
      <c r="R14" s="3">
        <v>1.3</v>
      </c>
      <c r="S14" s="3">
        <v>1.8</v>
      </c>
      <c r="T14" s="3">
        <v>2.7E-2</v>
      </c>
      <c r="U14" s="3">
        <v>-3</v>
      </c>
      <c r="V14" s="3">
        <v>-0.8</v>
      </c>
      <c r="X14">
        <f>1.02/3</f>
        <v>0.34</v>
      </c>
    </row>
    <row r="15" spans="1:24" hidden="1">
      <c r="A15" s="1">
        <v>14</v>
      </c>
      <c r="B15" s="3">
        <v>14</v>
      </c>
      <c r="C15" s="3" t="s">
        <v>25</v>
      </c>
      <c r="D15" s="3" t="s">
        <v>524</v>
      </c>
      <c r="E15" s="3" t="s">
        <v>84</v>
      </c>
      <c r="F15" s="3">
        <v>4</v>
      </c>
      <c r="G15" s="3">
        <v>225</v>
      </c>
      <c r="H15" s="3">
        <v>3399</v>
      </c>
      <c r="I15" s="3">
        <v>1457</v>
      </c>
      <c r="J15" s="3">
        <v>474</v>
      </c>
      <c r="K15" s="3">
        <v>181</v>
      </c>
      <c r="L15" s="3">
        <v>0.45300000000000001</v>
      </c>
      <c r="M15" s="3">
        <v>0.36899999999999999</v>
      </c>
      <c r="N15" s="3">
        <v>0.749</v>
      </c>
      <c r="O15" s="3">
        <v>15.1</v>
      </c>
      <c r="P15" s="3">
        <v>6.5</v>
      </c>
      <c r="Q15" s="3">
        <v>2.1</v>
      </c>
      <c r="R15" s="3">
        <v>0.8</v>
      </c>
      <c r="S15" s="3">
        <v>6.4</v>
      </c>
      <c r="T15" s="3">
        <v>0.09</v>
      </c>
      <c r="U15" s="3">
        <v>-1.5</v>
      </c>
      <c r="V15" s="3">
        <v>0.5</v>
      </c>
    </row>
    <row r="16" spans="1:24" hidden="1">
      <c r="A16" s="1">
        <v>15</v>
      </c>
      <c r="B16" s="3">
        <v>15</v>
      </c>
      <c r="C16" s="3" t="s">
        <v>69</v>
      </c>
      <c r="D16" s="3" t="s">
        <v>525</v>
      </c>
      <c r="E16" s="3" t="s">
        <v>43</v>
      </c>
      <c r="F16" s="3">
        <v>4</v>
      </c>
      <c r="G16" s="3">
        <v>278</v>
      </c>
      <c r="H16" s="3">
        <v>7223</v>
      </c>
      <c r="I16" s="3">
        <v>3065</v>
      </c>
      <c r="J16" s="3">
        <v>785</v>
      </c>
      <c r="K16" s="3">
        <v>406</v>
      </c>
      <c r="L16" s="3">
        <v>0.47499999999999998</v>
      </c>
      <c r="M16" s="3">
        <v>0.38100000000000001</v>
      </c>
      <c r="N16" s="3">
        <v>0.80400000000000005</v>
      </c>
      <c r="O16" s="3">
        <v>26</v>
      </c>
      <c r="P16" s="3">
        <v>11</v>
      </c>
      <c r="Q16" s="3">
        <v>2.8</v>
      </c>
      <c r="R16" s="3">
        <v>1.5</v>
      </c>
      <c r="S16" s="3">
        <v>8.9</v>
      </c>
      <c r="T16" s="3">
        <v>5.8999999999999997E-2</v>
      </c>
      <c r="U16" s="3">
        <v>-2.2999999999999998</v>
      </c>
      <c r="V16" s="3">
        <v>-0.5</v>
      </c>
    </row>
    <row r="17" spans="1:22" hidden="1">
      <c r="A17" s="1">
        <v>16</v>
      </c>
      <c r="B17" s="3">
        <v>16</v>
      </c>
      <c r="C17" s="3" t="s">
        <v>82</v>
      </c>
      <c r="D17" s="3" t="s">
        <v>526</v>
      </c>
      <c r="E17" s="2"/>
      <c r="F17" s="3">
        <v>4</v>
      </c>
      <c r="G17" s="3">
        <v>260</v>
      </c>
      <c r="H17" s="3">
        <v>7256</v>
      </c>
      <c r="I17" s="3">
        <v>4082</v>
      </c>
      <c r="J17" s="3">
        <v>2178</v>
      </c>
      <c r="K17" s="3">
        <v>1033</v>
      </c>
      <c r="L17" s="3">
        <v>0.51900000000000002</v>
      </c>
      <c r="M17" s="3">
        <v>0.27500000000000002</v>
      </c>
      <c r="N17" s="3">
        <v>0.70399999999999996</v>
      </c>
      <c r="O17" s="3">
        <v>27.9</v>
      </c>
      <c r="P17" s="3">
        <v>15.7</v>
      </c>
      <c r="Q17" s="3">
        <v>8.4</v>
      </c>
      <c r="R17" s="3">
        <v>4</v>
      </c>
      <c r="S17" s="3">
        <v>20</v>
      </c>
      <c r="T17" s="3">
        <v>0.13200000000000001</v>
      </c>
      <c r="U17" s="3">
        <v>2.7</v>
      </c>
      <c r="V17" s="3">
        <v>8.6</v>
      </c>
    </row>
    <row r="18" spans="1:22" hidden="1">
      <c r="A18" s="1">
        <v>17</v>
      </c>
      <c r="B18" s="3">
        <v>17</v>
      </c>
      <c r="C18" s="3" t="s">
        <v>152</v>
      </c>
      <c r="D18" s="3" t="s">
        <v>527</v>
      </c>
      <c r="E18" s="3" t="s">
        <v>59</v>
      </c>
      <c r="F18" s="3">
        <v>4</v>
      </c>
      <c r="G18" s="3">
        <v>234</v>
      </c>
      <c r="H18" s="3">
        <v>6277</v>
      </c>
      <c r="I18" s="3">
        <v>3138</v>
      </c>
      <c r="J18" s="3">
        <v>890</v>
      </c>
      <c r="K18" s="3">
        <v>394</v>
      </c>
      <c r="L18" s="3">
        <v>0.45900000000000002</v>
      </c>
      <c r="M18" s="3">
        <v>0.39</v>
      </c>
      <c r="N18" s="3">
        <v>0.874</v>
      </c>
      <c r="O18" s="3">
        <v>26.8</v>
      </c>
      <c r="P18" s="3">
        <v>13.4</v>
      </c>
      <c r="Q18" s="3">
        <v>3.8</v>
      </c>
      <c r="R18" s="3">
        <v>1.7</v>
      </c>
      <c r="S18" s="3">
        <v>18.3</v>
      </c>
      <c r="T18" s="3">
        <v>0.14000000000000001</v>
      </c>
      <c r="U18" s="3">
        <v>1.6</v>
      </c>
      <c r="V18" s="3">
        <v>5.8</v>
      </c>
    </row>
    <row r="19" spans="1:22" hidden="1">
      <c r="A19" s="1">
        <v>18</v>
      </c>
      <c r="B19" s="3">
        <v>18</v>
      </c>
      <c r="C19" s="3" t="s">
        <v>82</v>
      </c>
      <c r="D19" s="3" t="s">
        <v>528</v>
      </c>
      <c r="E19" s="3" t="s">
        <v>128</v>
      </c>
      <c r="F19" s="3">
        <v>4</v>
      </c>
      <c r="G19" s="3">
        <v>181</v>
      </c>
      <c r="H19" s="3">
        <v>3856</v>
      </c>
      <c r="I19" s="3">
        <v>1707</v>
      </c>
      <c r="J19" s="3">
        <v>513</v>
      </c>
      <c r="K19" s="3">
        <v>415</v>
      </c>
      <c r="L19" s="3">
        <v>0.41099999999999998</v>
      </c>
      <c r="M19" s="3">
        <v>0.35</v>
      </c>
      <c r="N19" s="3">
        <v>0.78800000000000003</v>
      </c>
      <c r="O19" s="3">
        <v>21.3</v>
      </c>
      <c r="P19" s="3">
        <v>9.4</v>
      </c>
      <c r="Q19" s="3">
        <v>2.8</v>
      </c>
      <c r="R19" s="3">
        <v>2.2999999999999998</v>
      </c>
      <c r="S19" s="3">
        <v>2</v>
      </c>
      <c r="T19" s="3">
        <v>2.5000000000000001E-2</v>
      </c>
      <c r="U19" s="3">
        <v>-3.3</v>
      </c>
      <c r="V19" s="3">
        <v>-1.2</v>
      </c>
    </row>
    <row r="20" spans="1:22" hidden="1">
      <c r="A20" s="1">
        <v>19</v>
      </c>
      <c r="B20" s="3">
        <v>19</v>
      </c>
      <c r="C20" s="3" t="s">
        <v>50</v>
      </c>
      <c r="D20" s="3" t="s">
        <v>529</v>
      </c>
      <c r="E20" s="3" t="s">
        <v>530</v>
      </c>
      <c r="F20" s="3">
        <v>3</v>
      </c>
      <c r="G20" s="3">
        <v>94</v>
      </c>
      <c r="H20" s="3">
        <v>818</v>
      </c>
      <c r="I20" s="3">
        <v>238</v>
      </c>
      <c r="J20" s="3">
        <v>179</v>
      </c>
      <c r="K20" s="3">
        <v>29</v>
      </c>
      <c r="L20" s="3">
        <v>0.59799999999999998</v>
      </c>
      <c r="M20" s="3">
        <v>0.217</v>
      </c>
      <c r="N20" s="3">
        <v>0.67400000000000004</v>
      </c>
      <c r="O20" s="3">
        <v>8.6999999999999993</v>
      </c>
      <c r="P20" s="3">
        <v>2.5</v>
      </c>
      <c r="Q20" s="3">
        <v>1.9</v>
      </c>
      <c r="R20" s="3">
        <v>0.3</v>
      </c>
      <c r="S20" s="3">
        <v>1.4</v>
      </c>
      <c r="T20" s="3">
        <v>8.2000000000000003E-2</v>
      </c>
      <c r="U20" s="3">
        <v>-3.1</v>
      </c>
      <c r="V20" s="3">
        <v>-0.2</v>
      </c>
    </row>
    <row r="21" spans="1:22" hidden="1">
      <c r="A21" s="1">
        <v>20</v>
      </c>
      <c r="B21" s="3">
        <v>20</v>
      </c>
      <c r="C21" s="3" t="s">
        <v>184</v>
      </c>
      <c r="D21" s="3" t="s">
        <v>531</v>
      </c>
      <c r="E21" s="3" t="s">
        <v>171</v>
      </c>
      <c r="F21" s="3">
        <v>4</v>
      </c>
      <c r="G21" s="3">
        <v>184</v>
      </c>
      <c r="H21" s="3">
        <v>4335</v>
      </c>
      <c r="I21" s="3">
        <v>2023</v>
      </c>
      <c r="J21" s="3">
        <v>1155</v>
      </c>
      <c r="K21" s="3">
        <v>470</v>
      </c>
      <c r="L21" s="3">
        <v>0.504</v>
      </c>
      <c r="M21" s="3">
        <v>0.32300000000000001</v>
      </c>
      <c r="N21" s="3">
        <v>0.71199999999999997</v>
      </c>
      <c r="O21" s="3">
        <v>23.6</v>
      </c>
      <c r="P21" s="3">
        <v>11</v>
      </c>
      <c r="Q21" s="3">
        <v>6.3</v>
      </c>
      <c r="R21" s="3">
        <v>2.6</v>
      </c>
      <c r="S21" s="3">
        <v>8.5</v>
      </c>
      <c r="T21" s="3">
        <v>9.4E-2</v>
      </c>
      <c r="U21" s="3">
        <v>0.9</v>
      </c>
      <c r="V21" s="3">
        <v>3.2</v>
      </c>
    </row>
    <row r="22" spans="1:22" hidden="1">
      <c r="A22" s="1">
        <v>21</v>
      </c>
      <c r="B22" s="3">
        <v>21</v>
      </c>
      <c r="C22" s="3" t="s">
        <v>50</v>
      </c>
      <c r="D22" s="3" t="s">
        <v>532</v>
      </c>
      <c r="E22" s="3" t="s">
        <v>115</v>
      </c>
      <c r="F22" s="3">
        <v>4</v>
      </c>
      <c r="G22" s="3">
        <v>132</v>
      </c>
      <c r="H22" s="3">
        <v>2327</v>
      </c>
      <c r="I22" s="3">
        <v>989</v>
      </c>
      <c r="J22" s="3">
        <v>307</v>
      </c>
      <c r="K22" s="3">
        <v>233</v>
      </c>
      <c r="L22" s="3">
        <v>0.371</v>
      </c>
      <c r="M22" s="3">
        <v>0.32</v>
      </c>
      <c r="N22" s="3">
        <v>0.77</v>
      </c>
      <c r="O22" s="3">
        <v>17.600000000000001</v>
      </c>
      <c r="P22" s="3">
        <v>7.5</v>
      </c>
      <c r="Q22" s="3">
        <v>2.2999999999999998</v>
      </c>
      <c r="R22" s="3">
        <v>1.8</v>
      </c>
      <c r="S22" s="3">
        <v>-0.7</v>
      </c>
      <c r="T22" s="3">
        <v>-1.4E-2</v>
      </c>
      <c r="U22" s="3">
        <v>-4.7</v>
      </c>
      <c r="V22" s="3">
        <v>-1.6</v>
      </c>
    </row>
    <row r="23" spans="1:22" hidden="1">
      <c r="A23" s="1">
        <v>22</v>
      </c>
      <c r="B23" s="3">
        <v>22</v>
      </c>
      <c r="C23" s="3" t="s">
        <v>31</v>
      </c>
      <c r="D23" s="3" t="s">
        <v>533</v>
      </c>
      <c r="E23" s="3" t="s">
        <v>173</v>
      </c>
      <c r="F23" s="3">
        <v>4</v>
      </c>
      <c r="G23" s="3">
        <v>163</v>
      </c>
      <c r="H23" s="3">
        <v>2438</v>
      </c>
      <c r="I23" s="3">
        <v>1170</v>
      </c>
      <c r="J23" s="3">
        <v>697</v>
      </c>
      <c r="K23" s="3">
        <v>116</v>
      </c>
      <c r="L23" s="3">
        <v>0.59499999999999997</v>
      </c>
      <c r="M23" s="3">
        <v>0.20599999999999999</v>
      </c>
      <c r="N23" s="3">
        <v>0.67100000000000004</v>
      </c>
      <c r="O23" s="3">
        <v>15</v>
      </c>
      <c r="P23" s="3">
        <v>7.2</v>
      </c>
      <c r="Q23" s="3">
        <v>4.3</v>
      </c>
      <c r="R23" s="3">
        <v>0.7</v>
      </c>
      <c r="S23" s="3">
        <v>7.7</v>
      </c>
      <c r="T23" s="3">
        <v>0.151</v>
      </c>
      <c r="U23" s="3">
        <v>-0.1</v>
      </c>
      <c r="V23" s="3">
        <v>1.1000000000000001</v>
      </c>
    </row>
    <row r="24" spans="1:22" hidden="1">
      <c r="A24" s="1">
        <v>23</v>
      </c>
      <c r="B24" s="3">
        <v>23</v>
      </c>
      <c r="C24" s="3" t="s">
        <v>52</v>
      </c>
      <c r="D24" s="3" t="s">
        <v>534</v>
      </c>
      <c r="E24" s="2"/>
      <c r="F24" s="3">
        <v>3</v>
      </c>
      <c r="G24" s="3">
        <v>105</v>
      </c>
      <c r="H24" s="3">
        <v>1228</v>
      </c>
      <c r="I24" s="3">
        <v>276</v>
      </c>
      <c r="J24" s="3">
        <v>397</v>
      </c>
      <c r="K24" s="3">
        <v>82</v>
      </c>
      <c r="L24" s="3">
        <v>0.46700000000000003</v>
      </c>
      <c r="M24" s="3">
        <v>0.36299999999999999</v>
      </c>
      <c r="N24" s="3">
        <v>0.625</v>
      </c>
      <c r="O24" s="3">
        <v>11.7</v>
      </c>
      <c r="P24" s="3">
        <v>2.6</v>
      </c>
      <c r="Q24" s="3">
        <v>3.8</v>
      </c>
      <c r="R24" s="3">
        <v>0.8</v>
      </c>
      <c r="S24" s="3">
        <v>2.2999999999999998</v>
      </c>
      <c r="T24" s="3">
        <v>0.09</v>
      </c>
      <c r="U24" s="3">
        <v>-1.4</v>
      </c>
      <c r="V24" s="3">
        <v>0.2</v>
      </c>
    </row>
    <row r="25" spans="1:22" hidden="1">
      <c r="A25" s="1">
        <v>24</v>
      </c>
      <c r="B25" s="3">
        <v>24</v>
      </c>
      <c r="C25" s="3" t="s">
        <v>52</v>
      </c>
      <c r="D25" s="3" t="s">
        <v>535</v>
      </c>
      <c r="E25" s="3" t="s">
        <v>536</v>
      </c>
      <c r="F25" s="3">
        <v>3</v>
      </c>
      <c r="G25" s="3">
        <v>146</v>
      </c>
      <c r="H25" s="3">
        <v>2148</v>
      </c>
      <c r="I25" s="3">
        <v>965</v>
      </c>
      <c r="J25" s="3">
        <v>260</v>
      </c>
      <c r="K25" s="3">
        <v>227</v>
      </c>
      <c r="L25" s="3">
        <v>0.45300000000000001</v>
      </c>
      <c r="M25" s="3">
        <v>0.27600000000000002</v>
      </c>
      <c r="N25" s="3">
        <v>0.73399999999999999</v>
      </c>
      <c r="O25" s="3">
        <v>14.7</v>
      </c>
      <c r="P25" s="3">
        <v>6.6</v>
      </c>
      <c r="Q25" s="3">
        <v>1.8</v>
      </c>
      <c r="R25" s="3">
        <v>1.6</v>
      </c>
      <c r="S25" s="3">
        <v>0.1</v>
      </c>
      <c r="T25" s="3">
        <v>3.0000000000000001E-3</v>
      </c>
      <c r="U25" s="3">
        <v>-4</v>
      </c>
      <c r="V25" s="3">
        <v>-1.1000000000000001</v>
      </c>
    </row>
    <row r="26" spans="1:22" hidden="1">
      <c r="A26" s="1">
        <v>25</v>
      </c>
      <c r="B26" s="3">
        <v>25</v>
      </c>
      <c r="C26" s="3" t="s">
        <v>28</v>
      </c>
      <c r="D26" s="3" t="s">
        <v>537</v>
      </c>
      <c r="E26" s="3" t="s">
        <v>354</v>
      </c>
      <c r="F26" s="3">
        <v>4</v>
      </c>
      <c r="G26" s="3">
        <v>217</v>
      </c>
      <c r="H26" s="3">
        <v>5061</v>
      </c>
      <c r="I26" s="3">
        <v>1937</v>
      </c>
      <c r="J26" s="3">
        <v>611</v>
      </c>
      <c r="K26" s="3">
        <v>368</v>
      </c>
      <c r="L26" s="3">
        <v>0.437</v>
      </c>
      <c r="M26" s="3">
        <v>0.376</v>
      </c>
      <c r="N26" s="3">
        <v>0.77100000000000002</v>
      </c>
      <c r="O26" s="3">
        <v>23.3</v>
      </c>
      <c r="P26" s="3">
        <v>8.9</v>
      </c>
      <c r="Q26" s="3">
        <v>2.8</v>
      </c>
      <c r="R26" s="3">
        <v>1.7</v>
      </c>
      <c r="S26" s="3">
        <v>9.6</v>
      </c>
      <c r="T26" s="3">
        <v>9.0999999999999998E-2</v>
      </c>
      <c r="U26" s="3">
        <v>-0.6</v>
      </c>
      <c r="V26" s="3">
        <v>1.8</v>
      </c>
    </row>
    <row r="27" spans="1:22" hidden="1">
      <c r="A27" s="1">
        <v>26</v>
      </c>
      <c r="B27" s="3">
        <v>26</v>
      </c>
      <c r="C27" s="3" t="s">
        <v>23</v>
      </c>
      <c r="D27" s="3" t="s">
        <v>538</v>
      </c>
      <c r="E27" s="3" t="s">
        <v>154</v>
      </c>
      <c r="F27" s="3">
        <v>4</v>
      </c>
      <c r="G27" s="3">
        <v>182</v>
      </c>
      <c r="H27" s="3">
        <v>3157</v>
      </c>
      <c r="I27" s="3">
        <v>1757</v>
      </c>
      <c r="J27" s="3">
        <v>402</v>
      </c>
      <c r="K27" s="3">
        <v>484</v>
      </c>
      <c r="L27" s="3">
        <v>0.39800000000000002</v>
      </c>
      <c r="M27" s="3">
        <v>0.36399999999999999</v>
      </c>
      <c r="N27" s="3">
        <v>0.84799999999999998</v>
      </c>
      <c r="O27" s="3">
        <v>17.3</v>
      </c>
      <c r="P27" s="3">
        <v>9.6999999999999993</v>
      </c>
      <c r="Q27" s="3">
        <v>2.2000000000000002</v>
      </c>
      <c r="R27" s="3">
        <v>2.7</v>
      </c>
      <c r="S27" s="3">
        <v>4.3</v>
      </c>
      <c r="T27" s="3">
        <v>6.5000000000000002E-2</v>
      </c>
      <c r="U27" s="3">
        <v>-0.8</v>
      </c>
      <c r="V27" s="3">
        <v>0.9</v>
      </c>
    </row>
    <row r="28" spans="1:22" hidden="1">
      <c r="A28" s="1">
        <v>27</v>
      </c>
      <c r="B28" s="3">
        <v>27</v>
      </c>
      <c r="C28" s="3" t="s">
        <v>47</v>
      </c>
      <c r="D28" s="3" t="s">
        <v>539</v>
      </c>
      <c r="E28" s="3" t="s">
        <v>145</v>
      </c>
      <c r="F28" s="3">
        <v>4</v>
      </c>
      <c r="G28" s="3">
        <v>209</v>
      </c>
      <c r="H28" s="3">
        <v>4813</v>
      </c>
      <c r="I28" s="3">
        <v>3125</v>
      </c>
      <c r="J28" s="3">
        <v>538</v>
      </c>
      <c r="K28" s="3">
        <v>412</v>
      </c>
      <c r="L28" s="3">
        <v>0.441</v>
      </c>
      <c r="M28" s="3">
        <v>0.34899999999999998</v>
      </c>
      <c r="N28" s="3">
        <v>0.85799999999999998</v>
      </c>
      <c r="O28" s="3">
        <v>23</v>
      </c>
      <c r="P28" s="3">
        <v>15</v>
      </c>
      <c r="Q28" s="3">
        <v>2.6</v>
      </c>
      <c r="R28" s="3">
        <v>2</v>
      </c>
      <c r="S28" s="3">
        <v>5.4</v>
      </c>
      <c r="T28" s="3">
        <v>5.3999999999999999E-2</v>
      </c>
      <c r="U28" s="3">
        <v>-1.8</v>
      </c>
      <c r="V28" s="3">
        <v>0.3</v>
      </c>
    </row>
    <row r="29" spans="1:22" hidden="1">
      <c r="A29" s="1">
        <v>28</v>
      </c>
      <c r="B29" s="3">
        <v>28</v>
      </c>
      <c r="C29" s="3" t="s">
        <v>66</v>
      </c>
      <c r="D29" s="3" t="s">
        <v>540</v>
      </c>
      <c r="E29" s="3" t="s">
        <v>115</v>
      </c>
      <c r="F29" s="3">
        <v>4</v>
      </c>
      <c r="G29" s="3">
        <v>93</v>
      </c>
      <c r="H29" s="3">
        <v>743</v>
      </c>
      <c r="I29" s="3">
        <v>252</v>
      </c>
      <c r="J29" s="3">
        <v>118</v>
      </c>
      <c r="K29" s="3">
        <v>62</v>
      </c>
      <c r="L29" s="3">
        <v>0.40799999999999997</v>
      </c>
      <c r="M29" s="3">
        <v>0.25</v>
      </c>
      <c r="N29" s="3">
        <v>0.78900000000000003</v>
      </c>
      <c r="O29" s="3">
        <v>8</v>
      </c>
      <c r="P29" s="3">
        <v>2.7</v>
      </c>
      <c r="Q29" s="3">
        <v>1.3</v>
      </c>
      <c r="R29" s="3">
        <v>0.7</v>
      </c>
      <c r="S29" s="3">
        <v>1.2</v>
      </c>
      <c r="T29" s="3">
        <v>7.9000000000000001E-2</v>
      </c>
      <c r="U29" s="3">
        <v>-2.2000000000000002</v>
      </c>
      <c r="V29" s="3">
        <v>0</v>
      </c>
    </row>
    <row r="30" spans="1:22" hidden="1">
      <c r="A30" s="1">
        <v>29</v>
      </c>
      <c r="B30" s="3">
        <v>29</v>
      </c>
      <c r="C30" s="3" t="s">
        <v>323</v>
      </c>
      <c r="D30" s="3" t="s">
        <v>541</v>
      </c>
      <c r="E30" s="3" t="s">
        <v>78</v>
      </c>
      <c r="F30" s="3">
        <v>4</v>
      </c>
      <c r="G30" s="3">
        <v>171</v>
      </c>
      <c r="H30" s="3">
        <v>2384</v>
      </c>
      <c r="I30" s="3">
        <v>1081</v>
      </c>
      <c r="J30" s="3">
        <v>930</v>
      </c>
      <c r="K30" s="3">
        <v>185</v>
      </c>
      <c r="L30" s="3">
        <v>0.55300000000000005</v>
      </c>
      <c r="M30" s="3">
        <v>0.28599999999999998</v>
      </c>
      <c r="N30" s="3">
        <v>0.64300000000000002</v>
      </c>
      <c r="O30" s="3">
        <v>13.9</v>
      </c>
      <c r="P30" s="3">
        <v>6.3</v>
      </c>
      <c r="Q30" s="3">
        <v>5.4</v>
      </c>
      <c r="R30" s="3">
        <v>1.1000000000000001</v>
      </c>
      <c r="S30" s="3">
        <v>7.2</v>
      </c>
      <c r="T30" s="3">
        <v>0.14599999999999999</v>
      </c>
      <c r="U30" s="3">
        <v>-1</v>
      </c>
      <c r="V30" s="3">
        <v>0.6</v>
      </c>
    </row>
    <row r="31" spans="1:22" hidden="1">
      <c r="A31" s="1">
        <v>30</v>
      </c>
      <c r="B31" s="3">
        <v>30</v>
      </c>
      <c r="C31" s="3" t="s">
        <v>193</v>
      </c>
      <c r="D31" s="3" t="s">
        <v>542</v>
      </c>
      <c r="E31" s="3" t="s">
        <v>543</v>
      </c>
      <c r="F31" s="3">
        <v>4</v>
      </c>
      <c r="G31" s="3">
        <v>214</v>
      </c>
      <c r="H31" s="3">
        <v>4742</v>
      </c>
      <c r="I31" s="3">
        <v>2044</v>
      </c>
      <c r="J31" s="3">
        <v>1106</v>
      </c>
      <c r="K31" s="3">
        <v>369</v>
      </c>
      <c r="L31" s="3">
        <v>0.45900000000000002</v>
      </c>
      <c r="M31" s="3">
        <v>0.34200000000000003</v>
      </c>
      <c r="N31" s="3">
        <v>0.69799999999999995</v>
      </c>
      <c r="O31" s="3">
        <v>22.2</v>
      </c>
      <c r="P31" s="3">
        <v>9.6</v>
      </c>
      <c r="Q31" s="3">
        <v>5.2</v>
      </c>
      <c r="R31" s="3">
        <v>1.7</v>
      </c>
      <c r="S31" s="3">
        <v>11</v>
      </c>
      <c r="T31" s="3">
        <v>0.111</v>
      </c>
      <c r="U31" s="3">
        <v>0.5</v>
      </c>
      <c r="V31" s="3">
        <v>3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>
      <c r="A33" s="1">
        <v>31</v>
      </c>
      <c r="B33" s="3">
        <v>31</v>
      </c>
      <c r="C33" s="3" t="s">
        <v>57</v>
      </c>
      <c r="D33" s="67" t="s">
        <v>544</v>
      </c>
      <c r="E33" s="2"/>
      <c r="F33" s="3">
        <v>2</v>
      </c>
      <c r="G33" s="3">
        <v>18</v>
      </c>
      <c r="H33" s="3">
        <v>135</v>
      </c>
      <c r="I33" s="3">
        <v>29</v>
      </c>
      <c r="J33" s="3">
        <v>24</v>
      </c>
      <c r="K33" s="3">
        <v>8</v>
      </c>
      <c r="L33" s="3">
        <v>0.222</v>
      </c>
      <c r="M33" s="3">
        <v>0.192</v>
      </c>
      <c r="N33" s="3">
        <v>0.5</v>
      </c>
      <c r="O33" s="3">
        <v>7.5</v>
      </c>
      <c r="P33" s="3">
        <v>1.6</v>
      </c>
      <c r="Q33" s="3">
        <v>1.3</v>
      </c>
      <c r="R33" s="3">
        <v>0.4</v>
      </c>
      <c r="S33" s="3">
        <v>-0.3</v>
      </c>
      <c r="T33" s="3">
        <v>-0.124</v>
      </c>
      <c r="U33" s="3">
        <v>-10.199999999999999</v>
      </c>
      <c r="V33" s="3">
        <v>-0.3</v>
      </c>
    </row>
    <row r="34" spans="1:22">
      <c r="A34" s="1">
        <v>32</v>
      </c>
      <c r="B34" s="3">
        <v>32</v>
      </c>
      <c r="C34" s="3" t="s">
        <v>50</v>
      </c>
      <c r="D34" s="82" t="s">
        <v>156</v>
      </c>
      <c r="E34" s="3" t="s">
        <v>22</v>
      </c>
      <c r="F34" s="3">
        <v>4</v>
      </c>
      <c r="G34" s="3">
        <v>173</v>
      </c>
      <c r="H34" s="3">
        <v>2985</v>
      </c>
      <c r="I34" s="3">
        <v>1004</v>
      </c>
      <c r="J34" s="3">
        <v>728</v>
      </c>
      <c r="K34" s="3">
        <v>164</v>
      </c>
      <c r="L34" s="3">
        <v>0.435</v>
      </c>
      <c r="M34" s="3">
        <v>0.33300000000000002</v>
      </c>
      <c r="N34" s="3">
        <v>0.79400000000000004</v>
      </c>
      <c r="O34" s="3">
        <v>17.3</v>
      </c>
      <c r="P34" s="3">
        <v>5.8</v>
      </c>
      <c r="Q34" s="3">
        <v>4.2</v>
      </c>
      <c r="R34" s="3">
        <v>0.9</v>
      </c>
      <c r="S34" s="3">
        <v>5</v>
      </c>
      <c r="T34" s="3">
        <v>0.08</v>
      </c>
      <c r="U34" s="3">
        <v>-2.1</v>
      </c>
      <c r="V34" s="3">
        <v>-0.1</v>
      </c>
    </row>
    <row r="35" spans="1:22">
      <c r="A35" s="1">
        <v>33</v>
      </c>
      <c r="B35" s="3">
        <v>33</v>
      </c>
      <c r="C35" s="3" t="s">
        <v>179</v>
      </c>
      <c r="D35" s="67" t="s">
        <v>545</v>
      </c>
      <c r="E35" s="3" t="s">
        <v>546</v>
      </c>
      <c r="F35" s="3">
        <v>2</v>
      </c>
      <c r="G35" s="3">
        <v>21</v>
      </c>
      <c r="H35" s="3">
        <v>195</v>
      </c>
      <c r="I35" s="3">
        <v>53</v>
      </c>
      <c r="J35" s="3">
        <v>39</v>
      </c>
      <c r="K35" s="3">
        <v>43</v>
      </c>
      <c r="L35" s="3">
        <v>0.4</v>
      </c>
      <c r="M35" s="3">
        <v>0.23799999999999999</v>
      </c>
      <c r="N35" s="3">
        <v>0</v>
      </c>
      <c r="O35" s="3">
        <v>9.3000000000000007</v>
      </c>
      <c r="P35" s="3">
        <v>2.5</v>
      </c>
      <c r="Q35" s="3">
        <v>1.9</v>
      </c>
      <c r="R35" s="3">
        <v>2</v>
      </c>
      <c r="S35" s="3">
        <v>0.1</v>
      </c>
      <c r="T35" s="3">
        <v>2.3E-2</v>
      </c>
      <c r="U35" s="3">
        <v>-2.6</v>
      </c>
      <c r="V35" s="3">
        <v>0</v>
      </c>
    </row>
    <row r="36" spans="1:22">
      <c r="A36" s="1">
        <v>34</v>
      </c>
      <c r="B36" s="3">
        <v>34</v>
      </c>
      <c r="C36" s="3" t="s">
        <v>82</v>
      </c>
      <c r="D36" s="67" t="s">
        <v>547</v>
      </c>
      <c r="E36" s="2"/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</row>
    <row r="37" spans="1:22">
      <c r="A37" s="1">
        <v>35</v>
      </c>
      <c r="B37" s="3">
        <v>35</v>
      </c>
      <c r="C37" s="3" t="s">
        <v>44</v>
      </c>
      <c r="D37" s="89" t="s">
        <v>45</v>
      </c>
      <c r="E37" s="3" t="s">
        <v>46</v>
      </c>
      <c r="F37" s="3">
        <v>4</v>
      </c>
      <c r="G37" s="3">
        <v>240</v>
      </c>
      <c r="H37" s="3">
        <v>7255</v>
      </c>
      <c r="I37" s="3">
        <v>2433</v>
      </c>
      <c r="J37" s="3">
        <v>915</v>
      </c>
      <c r="K37" s="3">
        <v>593</v>
      </c>
      <c r="L37" s="3">
        <v>0.47699999999999998</v>
      </c>
      <c r="M37" s="3">
        <v>0.36599999999999999</v>
      </c>
      <c r="N37" s="3">
        <v>0.82399999999999995</v>
      </c>
      <c r="O37" s="3">
        <v>30.2</v>
      </c>
      <c r="P37" s="3">
        <v>10.1</v>
      </c>
      <c r="Q37" s="3">
        <v>3.8</v>
      </c>
      <c r="R37" s="3">
        <v>2.5</v>
      </c>
      <c r="S37" s="3">
        <v>15.7</v>
      </c>
      <c r="T37" s="3">
        <v>0.104</v>
      </c>
      <c r="U37" s="3">
        <v>-0.4</v>
      </c>
      <c r="V37" s="3">
        <v>3</v>
      </c>
    </row>
    <row r="38" spans="1:22">
      <c r="A38" s="1">
        <v>36</v>
      </c>
      <c r="B38" s="3">
        <v>36</v>
      </c>
      <c r="C38" s="3" t="s">
        <v>82</v>
      </c>
      <c r="D38" s="80" t="s">
        <v>86</v>
      </c>
      <c r="E38" s="3" t="s">
        <v>87</v>
      </c>
      <c r="F38" s="3">
        <v>4</v>
      </c>
      <c r="G38" s="3">
        <v>214</v>
      </c>
      <c r="H38" s="3">
        <v>3449</v>
      </c>
      <c r="I38" s="3">
        <v>1256</v>
      </c>
      <c r="J38" s="3">
        <v>291</v>
      </c>
      <c r="K38" s="3">
        <v>340</v>
      </c>
      <c r="L38" s="3">
        <v>0.40699999999999997</v>
      </c>
      <c r="M38" s="3">
        <v>0.35699999999999998</v>
      </c>
      <c r="N38" s="3">
        <v>0.78700000000000003</v>
      </c>
      <c r="O38" s="3">
        <v>16.100000000000001</v>
      </c>
      <c r="P38" s="3">
        <v>5.9</v>
      </c>
      <c r="Q38" s="3">
        <v>1.4</v>
      </c>
      <c r="R38" s="3">
        <v>1.6</v>
      </c>
      <c r="S38" s="3">
        <v>6.7</v>
      </c>
      <c r="T38" s="3">
        <v>9.2999999999999999E-2</v>
      </c>
      <c r="U38" s="3">
        <v>-1.1000000000000001</v>
      </c>
      <c r="V38" s="3">
        <v>0.8</v>
      </c>
    </row>
    <row r="39" spans="1:22">
      <c r="A39" s="1">
        <v>37</v>
      </c>
      <c r="B39" s="3">
        <v>37</v>
      </c>
      <c r="C39" s="3" t="s">
        <v>34</v>
      </c>
      <c r="D39" s="88" t="s">
        <v>548</v>
      </c>
      <c r="E39" s="3" t="s">
        <v>445</v>
      </c>
      <c r="F39" s="3">
        <v>4</v>
      </c>
      <c r="G39" s="3">
        <v>174</v>
      </c>
      <c r="H39" s="3">
        <v>2054</v>
      </c>
      <c r="I39" s="3">
        <v>556</v>
      </c>
      <c r="J39" s="3">
        <v>347</v>
      </c>
      <c r="K39" s="3">
        <v>85</v>
      </c>
      <c r="L39" s="3">
        <v>0.42399999999999999</v>
      </c>
      <c r="M39" s="3">
        <v>0.32500000000000001</v>
      </c>
      <c r="N39" s="3">
        <v>0.66300000000000003</v>
      </c>
      <c r="O39" s="3">
        <v>11.8</v>
      </c>
      <c r="P39" s="3">
        <v>3.2</v>
      </c>
      <c r="Q39" s="3">
        <v>2</v>
      </c>
      <c r="R39" s="3">
        <v>0.5</v>
      </c>
      <c r="S39" s="3">
        <v>1.2</v>
      </c>
      <c r="T39" s="3">
        <v>2.7E-2</v>
      </c>
      <c r="U39" s="3">
        <v>-4.3</v>
      </c>
      <c r="V39" s="3">
        <v>-1.2</v>
      </c>
    </row>
    <row r="40" spans="1:22">
      <c r="A40" s="1">
        <v>38</v>
      </c>
      <c r="B40" s="3">
        <v>38</v>
      </c>
      <c r="C40" s="3" t="s">
        <v>99</v>
      </c>
      <c r="D40" s="82" t="s">
        <v>157</v>
      </c>
      <c r="E40" s="3" t="s">
        <v>158</v>
      </c>
      <c r="F40" s="3">
        <v>4</v>
      </c>
      <c r="G40" s="3">
        <v>275</v>
      </c>
      <c r="H40" s="3">
        <v>7708</v>
      </c>
      <c r="I40" s="3">
        <v>2809</v>
      </c>
      <c r="J40" s="3">
        <v>797</v>
      </c>
      <c r="K40" s="3">
        <v>899</v>
      </c>
      <c r="L40" s="3">
        <v>0.502</v>
      </c>
      <c r="M40" s="3">
        <v>0.36499999999999999</v>
      </c>
      <c r="N40" s="3">
        <v>0.77500000000000002</v>
      </c>
      <c r="O40" s="3">
        <v>28</v>
      </c>
      <c r="P40" s="3">
        <v>10.199999999999999</v>
      </c>
      <c r="Q40" s="3">
        <v>2.9</v>
      </c>
      <c r="R40" s="3">
        <v>3.3</v>
      </c>
      <c r="S40" s="3">
        <v>12.4</v>
      </c>
      <c r="T40" s="3">
        <v>7.6999999999999999E-2</v>
      </c>
      <c r="U40" s="3">
        <v>-1.8</v>
      </c>
      <c r="V40" s="3">
        <v>0.5</v>
      </c>
    </row>
    <row r="41" spans="1:22">
      <c r="A41" s="1">
        <v>39</v>
      </c>
      <c r="B41" s="3">
        <v>39</v>
      </c>
      <c r="C41" s="3" t="s">
        <v>36</v>
      </c>
      <c r="D41" s="82" t="s">
        <v>159</v>
      </c>
      <c r="E41" s="3" t="s">
        <v>160</v>
      </c>
      <c r="F41" s="3">
        <v>4</v>
      </c>
      <c r="G41" s="3">
        <v>89</v>
      </c>
      <c r="H41" s="3">
        <v>1088</v>
      </c>
      <c r="I41" s="3">
        <v>428</v>
      </c>
      <c r="J41" s="3">
        <v>320</v>
      </c>
      <c r="K41" s="3">
        <v>54</v>
      </c>
      <c r="L41" s="3">
        <v>0.624</v>
      </c>
      <c r="M41" s="3">
        <v>0</v>
      </c>
      <c r="N41" s="3">
        <v>0.69499999999999995</v>
      </c>
      <c r="O41" s="3">
        <v>12.2</v>
      </c>
      <c r="P41" s="3">
        <v>4.8</v>
      </c>
      <c r="Q41" s="3">
        <v>3.6</v>
      </c>
      <c r="R41" s="3">
        <v>0.6</v>
      </c>
      <c r="S41" s="3">
        <v>4.2</v>
      </c>
      <c r="T41" s="3">
        <v>0.187</v>
      </c>
      <c r="U41" s="3">
        <v>-0.6</v>
      </c>
      <c r="V41" s="3">
        <v>0.4</v>
      </c>
    </row>
    <row r="42" spans="1:22">
      <c r="A42" s="1">
        <v>40</v>
      </c>
      <c r="B42" s="3">
        <v>40</v>
      </c>
      <c r="C42" s="3" t="s">
        <v>44</v>
      </c>
      <c r="D42" s="88" t="s">
        <v>549</v>
      </c>
      <c r="E42" s="3" t="s">
        <v>208</v>
      </c>
      <c r="F42" s="3">
        <v>4</v>
      </c>
      <c r="G42" s="3">
        <v>121</v>
      </c>
      <c r="H42" s="3">
        <v>1376</v>
      </c>
      <c r="I42" s="3">
        <v>676</v>
      </c>
      <c r="J42" s="3">
        <v>150</v>
      </c>
      <c r="K42" s="3">
        <v>280</v>
      </c>
      <c r="L42" s="3">
        <v>0.46200000000000002</v>
      </c>
      <c r="M42" s="3">
        <v>0.33600000000000002</v>
      </c>
      <c r="N42" s="3">
        <v>0.79400000000000004</v>
      </c>
      <c r="O42" s="3">
        <v>11.4</v>
      </c>
      <c r="P42" s="3">
        <v>5.6</v>
      </c>
      <c r="Q42" s="3">
        <v>1.2</v>
      </c>
      <c r="R42" s="3">
        <v>2.2999999999999998</v>
      </c>
      <c r="S42" s="3">
        <v>1.7</v>
      </c>
      <c r="T42" s="3">
        <v>0.06</v>
      </c>
      <c r="U42" s="3">
        <v>-1.3</v>
      </c>
      <c r="V42" s="3">
        <v>0.3</v>
      </c>
    </row>
    <row r="43" spans="1:22">
      <c r="A43" s="1">
        <v>41</v>
      </c>
      <c r="B43" s="3">
        <v>41</v>
      </c>
      <c r="C43" s="3" t="s">
        <v>79</v>
      </c>
      <c r="D43" s="67" t="s">
        <v>550</v>
      </c>
      <c r="E43" s="3" t="s">
        <v>397</v>
      </c>
      <c r="F43" s="3">
        <v>2</v>
      </c>
      <c r="G43" s="3">
        <v>38</v>
      </c>
      <c r="H43" s="3">
        <v>255</v>
      </c>
      <c r="I43" s="3">
        <v>70</v>
      </c>
      <c r="J43" s="3">
        <v>18</v>
      </c>
      <c r="K43" s="3">
        <v>12</v>
      </c>
      <c r="L43" s="3">
        <v>0.32900000000000001</v>
      </c>
      <c r="M43" s="3">
        <v>0.309</v>
      </c>
      <c r="N43" s="3">
        <v>0.53800000000000003</v>
      </c>
      <c r="O43" s="3">
        <v>6.7</v>
      </c>
      <c r="P43" s="3">
        <v>1.8</v>
      </c>
      <c r="Q43" s="3">
        <v>0.5</v>
      </c>
      <c r="R43" s="3">
        <v>0.3</v>
      </c>
      <c r="S43" s="3">
        <v>0.1</v>
      </c>
      <c r="T43" s="3">
        <v>1.2999999999999999E-2</v>
      </c>
      <c r="U43" s="3">
        <v>-5.3</v>
      </c>
      <c r="V43" s="3">
        <v>-0.2</v>
      </c>
    </row>
    <row r="44" spans="1:22">
      <c r="A44" s="1">
        <v>42</v>
      </c>
      <c r="B44" s="3">
        <v>42</v>
      </c>
      <c r="C44" s="3" t="s">
        <v>34</v>
      </c>
      <c r="D44" s="88" t="s">
        <v>551</v>
      </c>
      <c r="E44" s="3" t="s">
        <v>151</v>
      </c>
      <c r="F44" s="3">
        <v>3</v>
      </c>
      <c r="G44" s="3">
        <v>94</v>
      </c>
      <c r="H44" s="3">
        <v>2051</v>
      </c>
      <c r="I44" s="3">
        <v>581</v>
      </c>
      <c r="J44" s="3">
        <v>248</v>
      </c>
      <c r="K44" s="3">
        <v>87</v>
      </c>
      <c r="L44" s="3">
        <v>0.40699999999999997</v>
      </c>
      <c r="M44" s="3">
        <v>0.35799999999999998</v>
      </c>
      <c r="N44" s="3">
        <v>0.78900000000000003</v>
      </c>
      <c r="O44" s="3">
        <v>21.8</v>
      </c>
      <c r="P44" s="3">
        <v>6.2</v>
      </c>
      <c r="Q44" s="3">
        <v>2.6</v>
      </c>
      <c r="R44" s="3">
        <v>0.9</v>
      </c>
      <c r="S44" s="3">
        <v>1.6</v>
      </c>
      <c r="T44" s="3">
        <v>3.6999999999999998E-2</v>
      </c>
      <c r="U44" s="3">
        <v>-3.2</v>
      </c>
      <c r="V44" s="3">
        <v>-0.6</v>
      </c>
    </row>
    <row r="45" spans="1:22">
      <c r="A45" s="1">
        <v>43</v>
      </c>
      <c r="B45" s="3">
        <v>43</v>
      </c>
      <c r="C45" s="3" t="s">
        <v>44</v>
      </c>
      <c r="D45" s="67" t="s">
        <v>552</v>
      </c>
      <c r="E45" s="3" t="s">
        <v>530</v>
      </c>
      <c r="F45" s="3">
        <v>3</v>
      </c>
      <c r="G45" s="3">
        <v>70</v>
      </c>
      <c r="H45" s="3">
        <v>773</v>
      </c>
      <c r="I45" s="3">
        <v>268</v>
      </c>
      <c r="J45" s="3">
        <v>163</v>
      </c>
      <c r="K45" s="3">
        <v>42</v>
      </c>
      <c r="L45" s="3">
        <v>0.42399999999999999</v>
      </c>
      <c r="M45" s="3">
        <v>0.29599999999999999</v>
      </c>
      <c r="N45" s="3">
        <v>0.61599999999999999</v>
      </c>
      <c r="O45" s="3">
        <v>11</v>
      </c>
      <c r="P45" s="3">
        <v>3.8</v>
      </c>
      <c r="Q45" s="3">
        <v>2.2999999999999998</v>
      </c>
      <c r="R45" s="3">
        <v>0.6</v>
      </c>
      <c r="S45" s="3">
        <v>0.2</v>
      </c>
      <c r="T45" s="3">
        <v>1.4999999999999999E-2</v>
      </c>
      <c r="U45" s="3">
        <v>-5.0999999999999996</v>
      </c>
      <c r="V45" s="3">
        <v>-0.6</v>
      </c>
    </row>
    <row r="46" spans="1:22">
      <c r="A46" s="1">
        <v>44</v>
      </c>
      <c r="B46" s="3">
        <v>44</v>
      </c>
      <c r="C46" s="3" t="s">
        <v>47</v>
      </c>
      <c r="D46" s="82" t="s">
        <v>161</v>
      </c>
      <c r="E46" s="3" t="s">
        <v>162</v>
      </c>
      <c r="F46" s="3">
        <v>4</v>
      </c>
      <c r="G46" s="3">
        <v>161</v>
      </c>
      <c r="H46" s="3">
        <v>1841</v>
      </c>
      <c r="I46" s="3">
        <v>506</v>
      </c>
      <c r="J46" s="3">
        <v>313</v>
      </c>
      <c r="K46" s="3">
        <v>82</v>
      </c>
      <c r="L46" s="3">
        <v>0.40400000000000003</v>
      </c>
      <c r="M46" s="3">
        <v>0.34200000000000003</v>
      </c>
      <c r="N46" s="3">
        <v>0.76100000000000001</v>
      </c>
      <c r="O46" s="3">
        <v>11.4</v>
      </c>
      <c r="P46" s="3">
        <v>3.1</v>
      </c>
      <c r="Q46" s="3">
        <v>1.9</v>
      </c>
      <c r="R46" s="3">
        <v>0.5</v>
      </c>
      <c r="S46" s="3">
        <v>1.7</v>
      </c>
      <c r="T46" s="3">
        <v>4.3999999999999997E-2</v>
      </c>
      <c r="U46" s="3">
        <v>-3.4</v>
      </c>
      <c r="V46" s="3">
        <v>-0.7</v>
      </c>
    </row>
    <row r="47" spans="1:22">
      <c r="A47" s="1">
        <v>45</v>
      </c>
      <c r="B47" s="3">
        <v>45</v>
      </c>
      <c r="C47" s="3" t="s">
        <v>190</v>
      </c>
      <c r="D47" s="67" t="s">
        <v>553</v>
      </c>
      <c r="E47" s="2"/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spans="1:22">
      <c r="A48" s="1">
        <v>46</v>
      </c>
      <c r="B48" s="3">
        <v>46</v>
      </c>
      <c r="C48" s="3" t="s">
        <v>163</v>
      </c>
      <c r="D48" s="82" t="s">
        <v>164</v>
      </c>
      <c r="E48" s="3" t="s">
        <v>165</v>
      </c>
      <c r="F48" s="3">
        <v>4</v>
      </c>
      <c r="G48" s="3">
        <v>189</v>
      </c>
      <c r="H48" s="3">
        <v>2630</v>
      </c>
      <c r="I48" s="3">
        <v>1241</v>
      </c>
      <c r="J48" s="3">
        <v>425</v>
      </c>
      <c r="K48" s="3">
        <v>345</v>
      </c>
      <c r="L48" s="3">
        <v>0.41</v>
      </c>
      <c r="M48" s="3">
        <v>0.309</v>
      </c>
      <c r="N48" s="3">
        <v>0.72099999999999997</v>
      </c>
      <c r="O48" s="3">
        <v>13.9</v>
      </c>
      <c r="P48" s="3">
        <v>6.6</v>
      </c>
      <c r="Q48" s="3">
        <v>2.2000000000000002</v>
      </c>
      <c r="R48" s="3">
        <v>1.8</v>
      </c>
      <c r="S48" s="3">
        <v>1.9</v>
      </c>
      <c r="T48" s="3">
        <v>3.5000000000000003E-2</v>
      </c>
      <c r="U48" s="3">
        <v>-1.2</v>
      </c>
      <c r="V48" s="3">
        <v>0.5</v>
      </c>
    </row>
    <row r="49" spans="1:37">
      <c r="A49" s="1">
        <v>47</v>
      </c>
      <c r="B49" s="3">
        <v>47</v>
      </c>
      <c r="C49" s="3" t="s">
        <v>163</v>
      </c>
      <c r="D49" s="67" t="s">
        <v>554</v>
      </c>
      <c r="E49" s="3" t="s">
        <v>61</v>
      </c>
      <c r="F49" s="3">
        <v>1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2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-0.495</v>
      </c>
      <c r="U49" s="3">
        <v>-27.7</v>
      </c>
      <c r="V49" s="3">
        <v>0</v>
      </c>
    </row>
    <row r="50" spans="1:37">
      <c r="A50" s="1">
        <v>48</v>
      </c>
      <c r="B50" s="3">
        <v>48</v>
      </c>
      <c r="C50" s="3" t="s">
        <v>184</v>
      </c>
      <c r="D50" s="67" t="s">
        <v>555</v>
      </c>
      <c r="E50" s="3" t="s">
        <v>445</v>
      </c>
      <c r="F50" s="3">
        <v>1</v>
      </c>
      <c r="G50" s="3">
        <v>13</v>
      </c>
      <c r="H50" s="3">
        <v>39</v>
      </c>
      <c r="I50" s="3">
        <v>7</v>
      </c>
      <c r="J50" s="3">
        <v>5</v>
      </c>
      <c r="K50" s="3">
        <v>5</v>
      </c>
      <c r="L50" s="3">
        <v>0.214</v>
      </c>
      <c r="M50" s="3">
        <v>0.16700000000000001</v>
      </c>
      <c r="N50" s="2">
        <v>0</v>
      </c>
      <c r="O50" s="3">
        <v>3</v>
      </c>
      <c r="P50" s="3">
        <v>0.5</v>
      </c>
      <c r="Q50" s="3">
        <v>0.4</v>
      </c>
      <c r="R50" s="3">
        <v>0.4</v>
      </c>
      <c r="S50" s="3">
        <v>-0.2</v>
      </c>
      <c r="T50" s="3">
        <v>-0.29699999999999999</v>
      </c>
      <c r="U50" s="3">
        <v>-16.3</v>
      </c>
      <c r="V50" s="3">
        <v>-0.1</v>
      </c>
    </row>
    <row r="51" spans="1:37">
      <c r="A51" s="1">
        <v>49</v>
      </c>
      <c r="B51" s="3">
        <v>49</v>
      </c>
      <c r="C51" s="3" t="s">
        <v>47</v>
      </c>
      <c r="D51" s="67" t="s">
        <v>556</v>
      </c>
      <c r="E51" s="3" t="s">
        <v>335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37">
      <c r="A52" s="1">
        <v>50</v>
      </c>
      <c r="B52" s="3">
        <v>50</v>
      </c>
      <c r="C52" s="3" t="s">
        <v>66</v>
      </c>
      <c r="D52" s="67" t="s">
        <v>557</v>
      </c>
      <c r="E52" s="3" t="s">
        <v>43</v>
      </c>
      <c r="F52" s="3">
        <v>1</v>
      </c>
      <c r="G52" s="3">
        <v>3</v>
      </c>
      <c r="H52" s="3">
        <v>10</v>
      </c>
      <c r="I52" s="3">
        <v>3</v>
      </c>
      <c r="J52" s="3">
        <v>1</v>
      </c>
      <c r="K52" s="3">
        <v>0</v>
      </c>
      <c r="L52" s="3">
        <v>0.5</v>
      </c>
      <c r="M52" s="2">
        <v>0</v>
      </c>
      <c r="N52" s="3">
        <v>0.5</v>
      </c>
      <c r="O52" s="3">
        <v>3.3</v>
      </c>
      <c r="P52" s="3">
        <v>1</v>
      </c>
      <c r="Q52" s="3">
        <v>0.3</v>
      </c>
      <c r="R52" s="3">
        <v>0</v>
      </c>
      <c r="S52" s="3">
        <v>0</v>
      </c>
      <c r="T52" s="3">
        <v>2.9000000000000001E-2</v>
      </c>
      <c r="U52" s="3">
        <v>-8</v>
      </c>
      <c r="V52" s="3">
        <v>0</v>
      </c>
    </row>
    <row r="53" spans="1:37">
      <c r="A53" s="1">
        <v>51</v>
      </c>
      <c r="B53" s="3">
        <v>51</v>
      </c>
      <c r="C53" s="3" t="s">
        <v>152</v>
      </c>
      <c r="D53" s="88" t="s">
        <v>558</v>
      </c>
      <c r="E53" s="3" t="s">
        <v>173</v>
      </c>
      <c r="F53" s="3">
        <v>4</v>
      </c>
      <c r="G53" s="3">
        <v>147</v>
      </c>
      <c r="H53" s="3">
        <v>2346</v>
      </c>
      <c r="I53" s="3">
        <v>1101</v>
      </c>
      <c r="J53" s="3">
        <v>327</v>
      </c>
      <c r="K53" s="3">
        <v>176</v>
      </c>
      <c r="L53" s="3">
        <v>0.41199999999999998</v>
      </c>
      <c r="M53" s="3">
        <v>0.32800000000000001</v>
      </c>
      <c r="N53" s="3">
        <v>0.78100000000000003</v>
      </c>
      <c r="O53" s="3">
        <v>16</v>
      </c>
      <c r="P53" s="3">
        <v>7.5</v>
      </c>
      <c r="Q53" s="3">
        <v>2.2000000000000002</v>
      </c>
      <c r="R53" s="3">
        <v>1.2</v>
      </c>
      <c r="S53" s="3">
        <v>1</v>
      </c>
      <c r="T53" s="3">
        <v>2.1000000000000001E-2</v>
      </c>
      <c r="U53" s="3">
        <v>-3.7</v>
      </c>
      <c r="V53" s="3">
        <v>-1</v>
      </c>
    </row>
    <row r="54" spans="1:37">
      <c r="A54" s="1">
        <v>52</v>
      </c>
      <c r="B54" s="3">
        <v>52</v>
      </c>
      <c r="C54" s="3" t="s">
        <v>34</v>
      </c>
      <c r="D54" s="88" t="s">
        <v>559</v>
      </c>
      <c r="E54" s="3" t="s">
        <v>397</v>
      </c>
      <c r="F54" s="3">
        <v>4</v>
      </c>
      <c r="G54" s="3">
        <v>106</v>
      </c>
      <c r="H54" s="3">
        <v>865</v>
      </c>
      <c r="I54" s="3">
        <v>534</v>
      </c>
      <c r="J54" s="3">
        <v>224</v>
      </c>
      <c r="K54" s="3">
        <v>46</v>
      </c>
      <c r="L54" s="3">
        <v>0.48399999999999999</v>
      </c>
      <c r="M54" s="3">
        <v>0.312</v>
      </c>
      <c r="N54" s="3">
        <v>0.70699999999999996</v>
      </c>
      <c r="O54" s="3">
        <v>8.1999999999999993</v>
      </c>
      <c r="P54" s="3">
        <v>5</v>
      </c>
      <c r="Q54" s="3">
        <v>2.1</v>
      </c>
      <c r="R54" s="3">
        <v>0.4</v>
      </c>
      <c r="S54" s="3">
        <v>2.4</v>
      </c>
      <c r="T54" s="3">
        <v>0.13400000000000001</v>
      </c>
      <c r="U54" s="3">
        <v>-2.4</v>
      </c>
      <c r="V54" s="3">
        <v>-0.1</v>
      </c>
    </row>
    <row r="55" spans="1:37">
      <c r="A55" s="1">
        <v>53</v>
      </c>
      <c r="B55" s="3">
        <v>53</v>
      </c>
      <c r="C55" s="3" t="s">
        <v>66</v>
      </c>
      <c r="D55" s="88" t="s">
        <v>560</v>
      </c>
      <c r="E55" s="3" t="s">
        <v>561</v>
      </c>
      <c r="F55" s="3">
        <v>4</v>
      </c>
      <c r="G55" s="3">
        <v>109</v>
      </c>
      <c r="H55" s="3">
        <v>1227</v>
      </c>
      <c r="I55" s="3">
        <v>478</v>
      </c>
      <c r="J55" s="3">
        <v>477</v>
      </c>
      <c r="K55" s="3">
        <v>90</v>
      </c>
      <c r="L55" s="3">
        <v>0.63</v>
      </c>
      <c r="M55" s="3">
        <v>0.23100000000000001</v>
      </c>
      <c r="N55" s="3">
        <v>0.64800000000000002</v>
      </c>
      <c r="O55" s="3">
        <v>11.3</v>
      </c>
      <c r="P55" s="3">
        <v>4.4000000000000004</v>
      </c>
      <c r="Q55" s="3">
        <v>4.4000000000000004</v>
      </c>
      <c r="R55" s="3">
        <v>0.8</v>
      </c>
      <c r="S55" s="3">
        <v>3.8</v>
      </c>
      <c r="T55" s="3">
        <v>0.14699999999999999</v>
      </c>
      <c r="U55" s="3">
        <v>0.4</v>
      </c>
      <c r="V55" s="3">
        <v>0.7</v>
      </c>
    </row>
    <row r="56" spans="1:37">
      <c r="A56" s="1">
        <v>54</v>
      </c>
      <c r="B56" s="3">
        <v>54</v>
      </c>
      <c r="C56" s="3" t="s">
        <v>41</v>
      </c>
      <c r="D56" s="82" t="s">
        <v>166</v>
      </c>
      <c r="E56" s="3" t="s">
        <v>167</v>
      </c>
      <c r="F56" s="3">
        <v>4</v>
      </c>
      <c r="G56" s="3">
        <v>161</v>
      </c>
      <c r="H56" s="3">
        <v>1776</v>
      </c>
      <c r="I56" s="3">
        <v>753</v>
      </c>
      <c r="J56" s="3">
        <v>489</v>
      </c>
      <c r="K56" s="3">
        <v>148</v>
      </c>
      <c r="L56" s="3">
        <v>0.47099999999999997</v>
      </c>
      <c r="M56" s="3">
        <v>0.34899999999999998</v>
      </c>
      <c r="N56" s="3">
        <v>0.72099999999999997</v>
      </c>
      <c r="O56" s="3">
        <v>11</v>
      </c>
      <c r="P56" s="3">
        <v>4.7</v>
      </c>
      <c r="Q56" s="3">
        <v>3</v>
      </c>
      <c r="R56" s="3">
        <v>0.9</v>
      </c>
      <c r="S56" s="3">
        <v>4</v>
      </c>
      <c r="T56" s="3">
        <v>0.107</v>
      </c>
      <c r="U56" s="3">
        <v>-0.5</v>
      </c>
      <c r="V56" s="3">
        <v>0.7</v>
      </c>
    </row>
    <row r="57" spans="1:37">
      <c r="A57" s="1">
        <v>55</v>
      </c>
      <c r="B57" s="3">
        <v>55</v>
      </c>
      <c r="C57" s="3" t="s">
        <v>82</v>
      </c>
      <c r="D57" s="80" t="s">
        <v>88</v>
      </c>
      <c r="E57" s="3" t="s">
        <v>89</v>
      </c>
      <c r="F57" s="3">
        <v>4</v>
      </c>
      <c r="G57" s="3">
        <v>249</v>
      </c>
      <c r="H57" s="3">
        <v>4853</v>
      </c>
      <c r="I57" s="3">
        <v>1980</v>
      </c>
      <c r="J57" s="3">
        <v>764</v>
      </c>
      <c r="K57" s="3">
        <v>316</v>
      </c>
      <c r="L57" s="3">
        <v>0.50900000000000001</v>
      </c>
      <c r="M57" s="3">
        <v>0.38800000000000001</v>
      </c>
      <c r="N57" s="3">
        <v>0.79100000000000004</v>
      </c>
      <c r="O57" s="3">
        <v>19.5</v>
      </c>
      <c r="P57" s="3">
        <v>8</v>
      </c>
      <c r="Q57" s="3">
        <v>3.1</v>
      </c>
      <c r="R57" s="3">
        <v>1.3</v>
      </c>
      <c r="S57" s="3">
        <v>11.2</v>
      </c>
      <c r="T57" s="3">
        <v>0.111</v>
      </c>
      <c r="U57" s="3">
        <v>-1.1000000000000001</v>
      </c>
      <c r="V57" s="3">
        <v>1.1000000000000001</v>
      </c>
    </row>
    <row r="58" spans="1:37">
      <c r="A58" s="1">
        <v>56</v>
      </c>
      <c r="B58" s="3">
        <v>56</v>
      </c>
      <c r="C58" s="3" t="s">
        <v>119</v>
      </c>
      <c r="D58" s="67" t="s">
        <v>562</v>
      </c>
      <c r="E58" s="3" t="s">
        <v>128</v>
      </c>
      <c r="F58" s="3">
        <v>1</v>
      </c>
      <c r="G58" s="3">
        <v>2</v>
      </c>
      <c r="H58" s="3">
        <v>7</v>
      </c>
      <c r="I58" s="3">
        <v>1</v>
      </c>
      <c r="J58" s="3">
        <v>0</v>
      </c>
      <c r="K58" s="3">
        <v>1</v>
      </c>
      <c r="L58" s="2">
        <v>0</v>
      </c>
      <c r="M58" s="2">
        <v>0</v>
      </c>
      <c r="N58" s="3">
        <v>0.5</v>
      </c>
      <c r="O58" s="3">
        <v>3.5</v>
      </c>
      <c r="P58" s="3">
        <v>0.5</v>
      </c>
      <c r="Q58" s="3">
        <v>0</v>
      </c>
      <c r="R58" s="3">
        <v>0.5</v>
      </c>
      <c r="S58" s="3">
        <v>0</v>
      </c>
      <c r="T58" s="3">
        <v>0.16400000000000001</v>
      </c>
      <c r="U58" s="3">
        <v>6</v>
      </c>
      <c r="V58" s="3">
        <v>0</v>
      </c>
    </row>
    <row r="59" spans="1:37">
      <c r="A59" s="1">
        <v>57</v>
      </c>
      <c r="B59" s="3">
        <v>57</v>
      </c>
      <c r="C59" s="3" t="s">
        <v>119</v>
      </c>
      <c r="D59" s="67" t="s">
        <v>563</v>
      </c>
      <c r="E59" s="3" t="s">
        <v>182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37">
      <c r="A60" s="1">
        <v>58</v>
      </c>
      <c r="B60" s="3">
        <v>58</v>
      </c>
      <c r="C60" s="3" t="s">
        <v>50</v>
      </c>
      <c r="D60" s="88" t="s">
        <v>564</v>
      </c>
      <c r="E60" s="3" t="s">
        <v>530</v>
      </c>
      <c r="F60" s="3">
        <v>4</v>
      </c>
      <c r="G60" s="3">
        <v>177</v>
      </c>
      <c r="H60" s="3">
        <v>2374</v>
      </c>
      <c r="I60" s="3">
        <v>424</v>
      </c>
      <c r="J60" s="3">
        <v>687</v>
      </c>
      <c r="K60" s="3">
        <v>93</v>
      </c>
      <c r="L60" s="3">
        <v>0.71799999999999997</v>
      </c>
      <c r="M60" s="3">
        <v>0</v>
      </c>
      <c r="N60" s="3">
        <v>0.58499999999999996</v>
      </c>
      <c r="O60" s="3">
        <v>13.4</v>
      </c>
      <c r="P60" s="3">
        <v>2.4</v>
      </c>
      <c r="Q60" s="3">
        <v>3.9</v>
      </c>
      <c r="R60" s="3">
        <v>0.5</v>
      </c>
      <c r="S60" s="3">
        <v>6.4</v>
      </c>
      <c r="T60" s="3">
        <v>0.13</v>
      </c>
      <c r="U60" s="3">
        <v>-1.6</v>
      </c>
      <c r="V60" s="3">
        <v>0.2</v>
      </c>
    </row>
    <row r="61" spans="1:37">
      <c r="A61" s="1">
        <v>59</v>
      </c>
      <c r="B61" s="3">
        <v>59</v>
      </c>
      <c r="C61" s="3" t="s">
        <v>47</v>
      </c>
      <c r="D61" s="67" t="s">
        <v>565</v>
      </c>
      <c r="E61" s="3" t="s">
        <v>182</v>
      </c>
      <c r="F61" s="3">
        <v>2</v>
      </c>
      <c r="G61" s="3">
        <v>4</v>
      </c>
      <c r="H61" s="3">
        <v>74</v>
      </c>
      <c r="I61" s="3">
        <v>39</v>
      </c>
      <c r="J61" s="3">
        <v>16</v>
      </c>
      <c r="K61" s="3">
        <v>13</v>
      </c>
      <c r="L61" s="3">
        <v>0.55200000000000005</v>
      </c>
      <c r="M61" s="3">
        <v>0.41699999999999998</v>
      </c>
      <c r="N61" s="3">
        <v>1</v>
      </c>
      <c r="O61" s="3">
        <v>18.5</v>
      </c>
      <c r="P61" s="3">
        <v>9.8000000000000007</v>
      </c>
      <c r="Q61" s="3">
        <v>4</v>
      </c>
      <c r="R61" s="3">
        <v>3.3</v>
      </c>
      <c r="S61" s="3">
        <v>0.2</v>
      </c>
      <c r="T61" s="3">
        <v>0.14899999999999999</v>
      </c>
      <c r="U61" s="3">
        <v>2.9</v>
      </c>
      <c r="V61" s="3">
        <v>0.1</v>
      </c>
    </row>
    <row r="62" spans="1:37">
      <c r="A62" s="1">
        <v>60</v>
      </c>
      <c r="B62" s="3">
        <v>60</v>
      </c>
      <c r="C62" s="3" t="s">
        <v>41</v>
      </c>
      <c r="D62" s="67" t="s">
        <v>566</v>
      </c>
      <c r="E62" s="2"/>
      <c r="F62" s="3">
        <v>1</v>
      </c>
      <c r="G62" s="3">
        <v>13</v>
      </c>
      <c r="H62" s="3">
        <v>213</v>
      </c>
      <c r="I62" s="3">
        <v>86</v>
      </c>
      <c r="J62" s="3">
        <v>21</v>
      </c>
      <c r="K62" s="3">
        <v>12</v>
      </c>
      <c r="L62" s="3">
        <v>0.46300000000000002</v>
      </c>
      <c r="M62" s="3">
        <v>0.38500000000000001</v>
      </c>
      <c r="N62" s="3">
        <v>0.46700000000000003</v>
      </c>
      <c r="O62" s="3">
        <v>16.399999999999999</v>
      </c>
      <c r="P62" s="3">
        <v>6.6</v>
      </c>
      <c r="Q62" s="3">
        <v>1.6</v>
      </c>
      <c r="R62" s="3">
        <v>0.9</v>
      </c>
      <c r="S62" s="3">
        <v>-0.1</v>
      </c>
      <c r="T62" s="3">
        <v>-2.4E-2</v>
      </c>
      <c r="U62" s="3">
        <v>-7</v>
      </c>
      <c r="V62" s="3">
        <v>-0.3</v>
      </c>
    </row>
    <row r="64" spans="1:37">
      <c r="C64" s="1"/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>
      <c r="C65" s="3"/>
      <c r="D65" s="3" t="s">
        <v>567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3:37">
      <c r="C66" s="3"/>
      <c r="D66" s="3" t="s">
        <v>568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3:37">
      <c r="C67" s="3"/>
      <c r="D67" s="3" t="s">
        <v>569</v>
      </c>
      <c r="E67" s="3" t="s">
        <v>570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3:37">
      <c r="C68" s="3"/>
      <c r="D68" s="3" t="s">
        <v>571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3:37">
      <c r="C69" s="3"/>
      <c r="D69" s="3" t="s">
        <v>572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3:37">
      <c r="C70" s="3"/>
      <c r="D70" s="3" t="s">
        <v>573</v>
      </c>
      <c r="E70" s="3" t="s"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3:37">
      <c r="C71" s="3"/>
      <c r="D71" s="3" t="s">
        <v>574</v>
      </c>
      <c r="E71" s="3" t="s">
        <v>506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3:37">
      <c r="C72" s="3"/>
      <c r="D72" s="3" t="s">
        <v>575</v>
      </c>
      <c r="E72" s="3" t="s">
        <v>506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3:37">
      <c r="C73" s="3"/>
      <c r="D73" s="3" t="s">
        <v>576</v>
      </c>
      <c r="E73" s="3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3:37">
      <c r="C74" s="3"/>
      <c r="D74" s="3" t="s">
        <v>577</v>
      </c>
      <c r="E74" s="3" t="s">
        <v>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</sheetData>
  <conditionalFormatting sqref="G1:G62">
    <cfRule type="cellIs" dxfId="21" priority="1" operator="greaterThan">
      <formula>82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BDCC-FBE9-C047-A559-0C7F3B9881F3}">
  <dimension ref="A1:AK68"/>
  <sheetViews>
    <sheetView zoomScale="117" workbookViewId="0">
      <pane ySplit="1" topLeftCell="A33" activePane="bottomLeft" state="frozen"/>
      <selection pane="bottomLeft" activeCell="B62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3.875" bestFit="1" customWidth="1"/>
    <col min="5" max="5" width="15.375" bestFit="1" customWidth="1"/>
    <col min="6" max="6" width="3.375" bestFit="1" customWidth="1"/>
    <col min="7" max="7" width="3.625" bestFit="1" customWidth="1"/>
    <col min="8" max="8" width="5.375" bestFit="1" customWidth="1"/>
    <col min="9" max="11" width="4.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4.5" bestFit="1" customWidth="1"/>
    <col min="20" max="20" width="5.875" bestFit="1" customWidth="1"/>
    <col min="21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135</v>
      </c>
      <c r="D2" s="3" t="s">
        <v>578</v>
      </c>
      <c r="E2" s="3" t="s">
        <v>49</v>
      </c>
      <c r="F2" s="3">
        <v>5</v>
      </c>
      <c r="G2" s="3">
        <v>353</v>
      </c>
      <c r="H2" s="3">
        <v>12265</v>
      </c>
      <c r="I2" s="3">
        <v>8308</v>
      </c>
      <c r="J2" s="3">
        <v>1862</v>
      </c>
      <c r="K2" s="3">
        <v>1472</v>
      </c>
      <c r="L2" s="3">
        <v>0.44600000000000001</v>
      </c>
      <c r="M2" s="3">
        <v>0.36599999999999999</v>
      </c>
      <c r="N2" s="3">
        <v>0.80100000000000005</v>
      </c>
      <c r="O2" s="3">
        <v>34.700000000000003</v>
      </c>
      <c r="P2" s="3">
        <v>23.5</v>
      </c>
      <c r="Q2" s="3">
        <v>5.3</v>
      </c>
      <c r="R2" s="3">
        <v>4.2</v>
      </c>
      <c r="S2" s="3">
        <v>21.5</v>
      </c>
      <c r="T2" s="3">
        <v>8.4000000000000005E-2</v>
      </c>
      <c r="U2" s="3">
        <v>1.4</v>
      </c>
      <c r="V2" s="3">
        <v>10.5</v>
      </c>
    </row>
    <row r="3" spans="1:22" hidden="1">
      <c r="A3" s="1">
        <v>2</v>
      </c>
      <c r="B3" s="3">
        <v>2</v>
      </c>
      <c r="C3" s="3" t="s">
        <v>25</v>
      </c>
      <c r="D3" s="3" t="s">
        <v>579</v>
      </c>
      <c r="E3" s="3" t="s">
        <v>126</v>
      </c>
      <c r="F3" s="3">
        <v>4</v>
      </c>
      <c r="G3" s="3">
        <v>148</v>
      </c>
      <c r="H3" s="3">
        <v>2799</v>
      </c>
      <c r="I3" s="3">
        <v>1350</v>
      </c>
      <c r="J3" s="3">
        <v>830</v>
      </c>
      <c r="K3" s="3">
        <v>110</v>
      </c>
      <c r="L3" s="3">
        <v>0.56000000000000005</v>
      </c>
      <c r="M3" s="3">
        <v>0.26200000000000001</v>
      </c>
      <c r="N3" s="3">
        <v>0.68300000000000005</v>
      </c>
      <c r="O3" s="3">
        <v>18.899999999999999</v>
      </c>
      <c r="P3" s="3">
        <v>9.1</v>
      </c>
      <c r="Q3" s="3">
        <v>5.6</v>
      </c>
      <c r="R3" s="3">
        <v>0.7</v>
      </c>
      <c r="S3" s="3">
        <v>4.3</v>
      </c>
      <c r="T3" s="3">
        <v>7.3999999999999996E-2</v>
      </c>
      <c r="U3" s="3">
        <v>-3.9</v>
      </c>
      <c r="V3" s="3">
        <v>-1.4</v>
      </c>
    </row>
    <row r="4" spans="1:22" hidden="1">
      <c r="A4" s="1">
        <v>3</v>
      </c>
      <c r="B4" s="3">
        <v>3</v>
      </c>
      <c r="C4" s="3" t="s">
        <v>119</v>
      </c>
      <c r="D4" s="3" t="s">
        <v>580</v>
      </c>
      <c r="E4" s="2"/>
      <c r="F4" s="3">
        <v>5</v>
      </c>
      <c r="G4" s="3">
        <v>216</v>
      </c>
      <c r="H4" s="3">
        <v>6938</v>
      </c>
      <c r="I4" s="3">
        <v>4572</v>
      </c>
      <c r="J4" s="3">
        <v>1314</v>
      </c>
      <c r="K4" s="3">
        <v>1600</v>
      </c>
      <c r="L4" s="3">
        <v>0.42499999999999999</v>
      </c>
      <c r="M4" s="3">
        <v>0.36599999999999999</v>
      </c>
      <c r="N4" s="3">
        <v>0.83199999999999996</v>
      </c>
      <c r="O4" s="3">
        <v>32.1</v>
      </c>
      <c r="P4" s="3">
        <v>21.2</v>
      </c>
      <c r="Q4" s="3">
        <v>6.1</v>
      </c>
      <c r="R4" s="3">
        <v>7.4</v>
      </c>
      <c r="S4" s="3">
        <v>13.8</v>
      </c>
      <c r="T4" s="3">
        <v>9.6000000000000002E-2</v>
      </c>
      <c r="U4" s="3">
        <v>3.1</v>
      </c>
      <c r="V4" s="3">
        <v>8.9</v>
      </c>
    </row>
    <row r="5" spans="1:22" hidden="1">
      <c r="A5" s="1">
        <v>4</v>
      </c>
      <c r="B5" s="3">
        <v>4</v>
      </c>
      <c r="C5" s="3" t="s">
        <v>99</v>
      </c>
      <c r="D5" s="3" t="s">
        <v>581</v>
      </c>
      <c r="E5" s="3" t="s">
        <v>182</v>
      </c>
      <c r="F5" s="3">
        <v>5</v>
      </c>
      <c r="G5" s="3">
        <v>256</v>
      </c>
      <c r="H5" s="3">
        <v>7043</v>
      </c>
      <c r="I5" s="3">
        <v>2473</v>
      </c>
      <c r="J5" s="3">
        <v>1066</v>
      </c>
      <c r="K5" s="3">
        <v>371</v>
      </c>
      <c r="L5" s="3">
        <v>0.45200000000000001</v>
      </c>
      <c r="M5" s="3">
        <v>0.39500000000000002</v>
      </c>
      <c r="N5" s="3">
        <v>0.77900000000000003</v>
      </c>
      <c r="O5" s="3">
        <v>27.5</v>
      </c>
      <c r="P5" s="3">
        <v>9.6999999999999993</v>
      </c>
      <c r="Q5" s="3">
        <v>4.2</v>
      </c>
      <c r="R5" s="3">
        <v>1.4</v>
      </c>
      <c r="S5" s="3">
        <v>8</v>
      </c>
      <c r="T5" s="3">
        <v>5.5E-2</v>
      </c>
      <c r="U5" s="3">
        <v>-2.2000000000000002</v>
      </c>
      <c r="V5" s="3">
        <v>-0.4</v>
      </c>
    </row>
    <row r="6" spans="1:22" hidden="1">
      <c r="A6" s="1">
        <v>5</v>
      </c>
      <c r="B6" s="3">
        <v>5</v>
      </c>
      <c r="C6" s="3" t="s">
        <v>76</v>
      </c>
      <c r="D6" s="3" t="s">
        <v>582</v>
      </c>
      <c r="E6" s="3" t="s">
        <v>445</v>
      </c>
      <c r="F6" s="3">
        <v>5</v>
      </c>
      <c r="G6" s="3">
        <v>307</v>
      </c>
      <c r="H6" s="3">
        <v>8244</v>
      </c>
      <c r="I6" s="3">
        <v>2532</v>
      </c>
      <c r="J6" s="3">
        <v>858</v>
      </c>
      <c r="K6" s="3">
        <v>514</v>
      </c>
      <c r="L6" s="3">
        <v>0.46400000000000002</v>
      </c>
      <c r="M6" s="3">
        <v>0.35199999999999998</v>
      </c>
      <c r="N6" s="3">
        <v>0.73099999999999998</v>
      </c>
      <c r="O6" s="3">
        <v>26.9</v>
      </c>
      <c r="P6" s="3">
        <v>8.1999999999999993</v>
      </c>
      <c r="Q6" s="3">
        <v>2.8</v>
      </c>
      <c r="R6" s="3">
        <v>1.7</v>
      </c>
      <c r="S6" s="3">
        <v>14.8</v>
      </c>
      <c r="T6" s="3">
        <v>8.5999999999999993E-2</v>
      </c>
      <c r="U6" s="3">
        <v>-2.1</v>
      </c>
      <c r="V6" s="3">
        <v>-0.2</v>
      </c>
    </row>
    <row r="7" spans="1:22" hidden="1">
      <c r="A7" s="1">
        <v>6</v>
      </c>
      <c r="B7" s="3">
        <v>6</v>
      </c>
      <c r="C7" s="3" t="s">
        <v>184</v>
      </c>
      <c r="D7" s="3" t="s">
        <v>583</v>
      </c>
      <c r="E7" s="3" t="s">
        <v>105</v>
      </c>
      <c r="F7" s="3">
        <v>5</v>
      </c>
      <c r="G7" s="3">
        <v>279</v>
      </c>
      <c r="H7" s="3">
        <v>6003</v>
      </c>
      <c r="I7" s="3">
        <v>2525</v>
      </c>
      <c r="J7" s="3">
        <v>1762</v>
      </c>
      <c r="K7" s="3">
        <v>320</v>
      </c>
      <c r="L7" s="3">
        <v>0.623</v>
      </c>
      <c r="M7" s="3">
        <v>0.3</v>
      </c>
      <c r="N7" s="3">
        <v>0.752</v>
      </c>
      <c r="O7" s="3">
        <v>21.5</v>
      </c>
      <c r="P7" s="3">
        <v>9.1</v>
      </c>
      <c r="Q7" s="3">
        <v>6.3</v>
      </c>
      <c r="R7" s="3">
        <v>1.1000000000000001</v>
      </c>
      <c r="S7" s="3">
        <v>21.8</v>
      </c>
      <c r="T7" s="3">
        <v>0.17399999999999999</v>
      </c>
      <c r="U7" s="3">
        <v>0.4</v>
      </c>
      <c r="V7" s="3">
        <v>3.6</v>
      </c>
    </row>
    <row r="8" spans="1:22" hidden="1">
      <c r="A8" s="1">
        <v>7</v>
      </c>
      <c r="B8" s="3">
        <v>7</v>
      </c>
      <c r="C8" s="3" t="s">
        <v>34</v>
      </c>
      <c r="D8" s="3" t="s">
        <v>584</v>
      </c>
      <c r="E8" s="2"/>
      <c r="F8" s="3">
        <v>4</v>
      </c>
      <c r="G8" s="3">
        <v>210</v>
      </c>
      <c r="H8" s="3">
        <v>5479</v>
      </c>
      <c r="I8" s="3">
        <v>1704</v>
      </c>
      <c r="J8" s="3">
        <v>619</v>
      </c>
      <c r="K8" s="3">
        <v>1090</v>
      </c>
      <c r="L8" s="3">
        <v>0.38200000000000001</v>
      </c>
      <c r="M8" s="3">
        <v>0.27700000000000002</v>
      </c>
      <c r="N8" s="3">
        <v>0.77500000000000002</v>
      </c>
      <c r="O8" s="3">
        <v>26.1</v>
      </c>
      <c r="P8" s="3">
        <v>8.1</v>
      </c>
      <c r="Q8" s="3">
        <v>2.9</v>
      </c>
      <c r="R8" s="3">
        <v>5.2</v>
      </c>
      <c r="S8" s="3">
        <v>-0.5</v>
      </c>
      <c r="T8" s="3">
        <v>-4.0000000000000001E-3</v>
      </c>
      <c r="U8" s="3">
        <v>-3.9</v>
      </c>
      <c r="V8" s="3">
        <v>-2.7</v>
      </c>
    </row>
    <row r="9" spans="1:22" hidden="1">
      <c r="A9" s="1">
        <v>8</v>
      </c>
      <c r="B9" s="3">
        <v>8</v>
      </c>
      <c r="C9" s="3" t="s">
        <v>50</v>
      </c>
      <c r="D9" s="3" t="s">
        <v>585</v>
      </c>
      <c r="E9" s="3" t="s">
        <v>325</v>
      </c>
      <c r="F9" s="3">
        <v>5</v>
      </c>
      <c r="G9" s="3">
        <v>331</v>
      </c>
      <c r="H9" s="3">
        <v>5610</v>
      </c>
      <c r="I9" s="3">
        <v>2718</v>
      </c>
      <c r="J9" s="3">
        <v>1106</v>
      </c>
      <c r="K9" s="3">
        <v>374</v>
      </c>
      <c r="L9" s="3">
        <v>0.52300000000000002</v>
      </c>
      <c r="M9" s="3">
        <v>0.35099999999999998</v>
      </c>
      <c r="N9" s="3">
        <v>0.77300000000000002</v>
      </c>
      <c r="O9" s="3">
        <v>16.899999999999999</v>
      </c>
      <c r="P9" s="3">
        <v>8.1999999999999993</v>
      </c>
      <c r="Q9" s="3">
        <v>3.3</v>
      </c>
      <c r="R9" s="3">
        <v>1.1000000000000001</v>
      </c>
      <c r="S9" s="3">
        <v>15</v>
      </c>
      <c r="T9" s="3">
        <v>0.128</v>
      </c>
      <c r="U9" s="3">
        <v>1</v>
      </c>
      <c r="V9" s="3">
        <v>4.3</v>
      </c>
    </row>
    <row r="10" spans="1:22" hidden="1">
      <c r="A10" s="1">
        <v>9</v>
      </c>
      <c r="B10" s="3">
        <v>9</v>
      </c>
      <c r="C10" s="3" t="s">
        <v>69</v>
      </c>
      <c r="D10" s="3" t="s">
        <v>586</v>
      </c>
      <c r="E10" s="2"/>
      <c r="F10" s="3">
        <v>5</v>
      </c>
      <c r="G10" s="3">
        <v>337</v>
      </c>
      <c r="H10" s="3">
        <v>8946</v>
      </c>
      <c r="I10" s="3">
        <v>3550</v>
      </c>
      <c r="J10" s="3">
        <v>2032</v>
      </c>
      <c r="K10" s="3">
        <v>896</v>
      </c>
      <c r="L10" s="3">
        <v>0.45800000000000002</v>
      </c>
      <c r="M10" s="3">
        <v>0.32900000000000001</v>
      </c>
      <c r="N10" s="3">
        <v>0.749</v>
      </c>
      <c r="O10" s="3">
        <v>26.5</v>
      </c>
      <c r="P10" s="3">
        <v>10.5</v>
      </c>
      <c r="Q10" s="3">
        <v>6</v>
      </c>
      <c r="R10" s="3">
        <v>2.7</v>
      </c>
      <c r="S10" s="3">
        <v>11.8</v>
      </c>
      <c r="T10" s="3">
        <v>6.3E-2</v>
      </c>
      <c r="U10" s="3">
        <v>-1.5</v>
      </c>
      <c r="V10" s="3">
        <v>1.2</v>
      </c>
    </row>
    <row r="11" spans="1:22" hidden="1">
      <c r="A11" s="1">
        <v>10</v>
      </c>
      <c r="B11" s="3">
        <v>10</v>
      </c>
      <c r="C11" s="3" t="s">
        <v>323</v>
      </c>
      <c r="D11" s="3" t="s">
        <v>587</v>
      </c>
      <c r="E11" s="3" t="s">
        <v>89</v>
      </c>
      <c r="F11" s="3">
        <v>5</v>
      </c>
      <c r="G11" s="3">
        <v>255</v>
      </c>
      <c r="H11" s="3">
        <v>4146</v>
      </c>
      <c r="I11" s="3">
        <v>2178</v>
      </c>
      <c r="J11" s="3">
        <v>1342</v>
      </c>
      <c r="K11" s="3">
        <v>200</v>
      </c>
      <c r="L11" s="3">
        <v>0.51</v>
      </c>
      <c r="M11" s="3">
        <v>0.34300000000000003</v>
      </c>
      <c r="N11" s="3">
        <v>0.754</v>
      </c>
      <c r="O11" s="3">
        <v>16.3</v>
      </c>
      <c r="P11" s="3">
        <v>8.5</v>
      </c>
      <c r="Q11" s="3">
        <v>5.3</v>
      </c>
      <c r="R11" s="3">
        <v>0.8</v>
      </c>
      <c r="S11" s="3">
        <v>11.4</v>
      </c>
      <c r="T11" s="3">
        <v>0.13200000000000001</v>
      </c>
      <c r="U11" s="3">
        <v>-0.2</v>
      </c>
      <c r="V11" s="3">
        <v>1.9</v>
      </c>
    </row>
    <row r="12" spans="1:22" hidden="1">
      <c r="A12" s="1">
        <v>11</v>
      </c>
      <c r="B12" s="3">
        <v>11</v>
      </c>
      <c r="C12" s="3" t="s">
        <v>79</v>
      </c>
      <c r="D12" s="3" t="s">
        <v>588</v>
      </c>
      <c r="E12" s="3" t="s">
        <v>182</v>
      </c>
      <c r="F12" s="3">
        <v>5</v>
      </c>
      <c r="G12" s="3">
        <v>274</v>
      </c>
      <c r="H12" s="3">
        <v>7485</v>
      </c>
      <c r="I12" s="3">
        <v>3813</v>
      </c>
      <c r="J12" s="3">
        <v>1014</v>
      </c>
      <c r="K12" s="3">
        <v>710</v>
      </c>
      <c r="L12" s="3">
        <v>0.44400000000000001</v>
      </c>
      <c r="M12" s="3">
        <v>0.36799999999999999</v>
      </c>
      <c r="N12" s="3">
        <v>0.80100000000000005</v>
      </c>
      <c r="O12" s="3">
        <v>27.3</v>
      </c>
      <c r="P12" s="3">
        <v>13.9</v>
      </c>
      <c r="Q12" s="3">
        <v>3.7</v>
      </c>
      <c r="R12" s="3">
        <v>2.6</v>
      </c>
      <c r="S12" s="3">
        <v>10.8</v>
      </c>
      <c r="T12" s="3">
        <v>6.9000000000000006E-2</v>
      </c>
      <c r="U12" s="3">
        <v>-0.5</v>
      </c>
      <c r="V12" s="3">
        <v>2.9</v>
      </c>
    </row>
    <row r="13" spans="1:22" hidden="1">
      <c r="A13" s="1">
        <v>12</v>
      </c>
      <c r="B13" s="3">
        <v>12</v>
      </c>
      <c r="C13" s="3" t="s">
        <v>36</v>
      </c>
      <c r="D13" s="3" t="s">
        <v>589</v>
      </c>
      <c r="E13" s="3" t="s">
        <v>108</v>
      </c>
      <c r="F13" s="3">
        <v>5</v>
      </c>
      <c r="G13" s="3">
        <v>310</v>
      </c>
      <c r="H13" s="3">
        <v>10251</v>
      </c>
      <c r="I13" s="3">
        <v>5373</v>
      </c>
      <c r="J13" s="3">
        <v>1138</v>
      </c>
      <c r="K13" s="3">
        <v>2701</v>
      </c>
      <c r="L13" s="3">
        <v>0.47299999999999998</v>
      </c>
      <c r="M13" s="3">
        <v>0.38800000000000001</v>
      </c>
      <c r="N13" s="3">
        <v>0.85399999999999998</v>
      </c>
      <c r="O13" s="3">
        <v>33.1</v>
      </c>
      <c r="P13" s="3">
        <v>17.3</v>
      </c>
      <c r="Q13" s="3">
        <v>3.7</v>
      </c>
      <c r="R13" s="3">
        <v>8.6999999999999993</v>
      </c>
      <c r="S13" s="3">
        <v>33</v>
      </c>
      <c r="T13" s="3">
        <v>0.154</v>
      </c>
      <c r="U13" s="3">
        <v>4.4000000000000004</v>
      </c>
      <c r="V13" s="3">
        <v>16.600000000000001</v>
      </c>
    </row>
    <row r="14" spans="1:22" hidden="1">
      <c r="A14" s="1">
        <v>13</v>
      </c>
      <c r="B14" s="3">
        <v>13</v>
      </c>
      <c r="C14" s="3" t="s">
        <v>44</v>
      </c>
      <c r="D14" s="3" t="s">
        <v>590</v>
      </c>
      <c r="E14" s="3" t="s">
        <v>46</v>
      </c>
      <c r="F14" s="3">
        <v>4</v>
      </c>
      <c r="G14" s="3">
        <v>131</v>
      </c>
      <c r="H14" s="3">
        <v>1745</v>
      </c>
      <c r="I14" s="3">
        <v>687</v>
      </c>
      <c r="J14" s="3">
        <v>169</v>
      </c>
      <c r="K14" s="3">
        <v>233</v>
      </c>
      <c r="L14" s="3">
        <v>0.39700000000000002</v>
      </c>
      <c r="M14" s="3">
        <v>0.29399999999999998</v>
      </c>
      <c r="N14" s="3">
        <v>0.84799999999999998</v>
      </c>
      <c r="O14" s="3">
        <v>13.3</v>
      </c>
      <c r="P14" s="3">
        <v>5.2</v>
      </c>
      <c r="Q14" s="3">
        <v>1.3</v>
      </c>
      <c r="R14" s="3">
        <v>1.8</v>
      </c>
      <c r="S14" s="3">
        <v>1.3</v>
      </c>
      <c r="T14" s="3">
        <v>3.5999999999999997E-2</v>
      </c>
      <c r="U14" s="3">
        <v>-3.5</v>
      </c>
      <c r="V14" s="3">
        <v>-0.6</v>
      </c>
    </row>
    <row r="15" spans="1:22" hidden="1">
      <c r="A15" s="1">
        <v>14</v>
      </c>
      <c r="B15" s="3">
        <v>14</v>
      </c>
      <c r="C15" s="3" t="s">
        <v>190</v>
      </c>
      <c r="D15" s="3" t="s">
        <v>591</v>
      </c>
      <c r="E15" s="3" t="s">
        <v>592</v>
      </c>
      <c r="F15" s="3">
        <v>5</v>
      </c>
      <c r="G15" s="3">
        <v>259</v>
      </c>
      <c r="H15" s="3">
        <v>5390</v>
      </c>
      <c r="I15" s="3">
        <v>2158</v>
      </c>
      <c r="J15" s="3">
        <v>823</v>
      </c>
      <c r="K15" s="3">
        <v>272</v>
      </c>
      <c r="L15" s="3">
        <v>0.45400000000000001</v>
      </c>
      <c r="M15" s="3">
        <v>0.373</v>
      </c>
      <c r="N15" s="3">
        <v>0.81499999999999995</v>
      </c>
      <c r="O15" s="3">
        <v>20.8</v>
      </c>
      <c r="P15" s="3">
        <v>8.3000000000000007</v>
      </c>
      <c r="Q15" s="3">
        <v>3.2</v>
      </c>
      <c r="R15" s="3">
        <v>1.1000000000000001</v>
      </c>
      <c r="S15" s="3">
        <v>8.1999999999999993</v>
      </c>
      <c r="T15" s="3">
        <v>7.2999999999999995E-2</v>
      </c>
      <c r="U15" s="3">
        <v>-2.2000000000000002</v>
      </c>
      <c r="V15" s="3">
        <v>-0.3</v>
      </c>
    </row>
    <row r="16" spans="1:22" hidden="1">
      <c r="A16" s="1">
        <v>15</v>
      </c>
      <c r="B16" s="3">
        <v>15</v>
      </c>
      <c r="C16" s="3" t="s">
        <v>179</v>
      </c>
      <c r="D16" s="3" t="s">
        <v>593</v>
      </c>
      <c r="E16" s="3" t="s">
        <v>78</v>
      </c>
      <c r="F16" s="3">
        <v>5</v>
      </c>
      <c r="G16" s="3">
        <v>302</v>
      </c>
      <c r="H16" s="3">
        <v>7548</v>
      </c>
      <c r="I16" s="3">
        <v>3834</v>
      </c>
      <c r="J16" s="3">
        <v>1306</v>
      </c>
      <c r="K16" s="3">
        <v>1167</v>
      </c>
      <c r="L16" s="3">
        <v>0.41799999999999998</v>
      </c>
      <c r="M16" s="3">
        <v>0.33900000000000002</v>
      </c>
      <c r="N16" s="3">
        <v>0.84499999999999997</v>
      </c>
      <c r="O16" s="3">
        <v>25</v>
      </c>
      <c r="P16" s="3">
        <v>12.7</v>
      </c>
      <c r="Q16" s="3">
        <v>4.3</v>
      </c>
      <c r="R16" s="3">
        <v>3.9</v>
      </c>
      <c r="S16" s="3">
        <v>9.9</v>
      </c>
      <c r="T16" s="3">
        <v>6.3E-2</v>
      </c>
      <c r="U16" s="3">
        <v>-0.7</v>
      </c>
      <c r="V16" s="3">
        <v>2.4</v>
      </c>
    </row>
    <row r="17" spans="1:22" hidden="1">
      <c r="A17" s="1">
        <v>16</v>
      </c>
      <c r="B17" s="3">
        <v>16</v>
      </c>
      <c r="C17" s="3" t="s">
        <v>124</v>
      </c>
      <c r="D17" s="3" t="s">
        <v>594</v>
      </c>
      <c r="E17" s="3" t="s">
        <v>38</v>
      </c>
      <c r="F17" s="3">
        <v>5</v>
      </c>
      <c r="G17" s="3">
        <v>283</v>
      </c>
      <c r="H17" s="3">
        <v>7075</v>
      </c>
      <c r="I17" s="3">
        <v>2464</v>
      </c>
      <c r="J17" s="3">
        <v>2054</v>
      </c>
      <c r="K17" s="3">
        <v>365</v>
      </c>
      <c r="L17" s="3">
        <v>0.501</v>
      </c>
      <c r="M17" s="3">
        <v>0.34100000000000003</v>
      </c>
      <c r="N17" s="3">
        <v>0.73699999999999999</v>
      </c>
      <c r="O17" s="3">
        <v>25</v>
      </c>
      <c r="P17" s="3">
        <v>8.6999999999999993</v>
      </c>
      <c r="Q17" s="3">
        <v>7.3</v>
      </c>
      <c r="R17" s="3">
        <v>1.3</v>
      </c>
      <c r="S17" s="3">
        <v>13.8</v>
      </c>
      <c r="T17" s="3">
        <v>9.2999999999999999E-2</v>
      </c>
      <c r="U17" s="3">
        <v>-2</v>
      </c>
      <c r="V17" s="3">
        <v>0</v>
      </c>
    </row>
    <row r="18" spans="1:22" hidden="1">
      <c r="A18" s="1">
        <v>17</v>
      </c>
      <c r="B18" s="3">
        <v>17</v>
      </c>
      <c r="C18" s="3" t="s">
        <v>135</v>
      </c>
      <c r="D18" s="3" t="s">
        <v>595</v>
      </c>
      <c r="E18" s="2"/>
      <c r="F18" s="3">
        <v>4</v>
      </c>
      <c r="G18" s="3">
        <v>168</v>
      </c>
      <c r="H18" s="3">
        <v>3429</v>
      </c>
      <c r="I18" s="3">
        <v>1253</v>
      </c>
      <c r="J18" s="3">
        <v>778</v>
      </c>
      <c r="K18" s="3">
        <v>327</v>
      </c>
      <c r="L18" s="3">
        <v>0.39100000000000001</v>
      </c>
      <c r="M18" s="3">
        <v>0.30399999999999999</v>
      </c>
      <c r="N18" s="3">
        <v>0.70199999999999996</v>
      </c>
      <c r="O18" s="3">
        <v>20.399999999999999</v>
      </c>
      <c r="P18" s="3">
        <v>7.5</v>
      </c>
      <c r="Q18" s="3">
        <v>4.5999999999999996</v>
      </c>
      <c r="R18" s="3">
        <v>1.9</v>
      </c>
      <c r="S18" s="3">
        <v>-0.2</v>
      </c>
      <c r="T18" s="3">
        <v>-2E-3</v>
      </c>
      <c r="U18" s="3">
        <v>-3.1</v>
      </c>
      <c r="V18" s="3">
        <v>-1</v>
      </c>
    </row>
    <row r="19" spans="1:22" hidden="1">
      <c r="A19" s="1">
        <v>18</v>
      </c>
      <c r="B19" s="3">
        <v>18</v>
      </c>
      <c r="C19" s="3" t="s">
        <v>20</v>
      </c>
      <c r="D19" s="3" t="s">
        <v>596</v>
      </c>
      <c r="E19" s="3" t="s">
        <v>224</v>
      </c>
      <c r="F19" s="3">
        <v>5</v>
      </c>
      <c r="G19" s="3">
        <v>268</v>
      </c>
      <c r="H19" s="3">
        <v>5816</v>
      </c>
      <c r="I19" s="3">
        <v>1772</v>
      </c>
      <c r="J19" s="3">
        <v>733</v>
      </c>
      <c r="K19" s="3">
        <v>406</v>
      </c>
      <c r="L19" s="3">
        <v>0.49</v>
      </c>
      <c r="M19" s="3">
        <v>0.38400000000000001</v>
      </c>
      <c r="N19" s="3">
        <v>0.69099999999999995</v>
      </c>
      <c r="O19" s="3">
        <v>21.7</v>
      </c>
      <c r="P19" s="3">
        <v>6.6</v>
      </c>
      <c r="Q19" s="3">
        <v>2.7</v>
      </c>
      <c r="R19" s="3">
        <v>1.5</v>
      </c>
      <c r="S19" s="3">
        <v>9.4</v>
      </c>
      <c r="T19" s="3">
        <v>7.8E-2</v>
      </c>
      <c r="U19" s="3">
        <v>-2.6</v>
      </c>
      <c r="V19" s="3">
        <v>-0.9</v>
      </c>
    </row>
    <row r="20" spans="1:22" hidden="1">
      <c r="A20" s="1">
        <v>19</v>
      </c>
      <c r="B20" s="3">
        <v>19</v>
      </c>
      <c r="C20" s="3" t="s">
        <v>47</v>
      </c>
      <c r="D20" s="3" t="s">
        <v>597</v>
      </c>
      <c r="E20" s="3" t="s">
        <v>22</v>
      </c>
      <c r="F20" s="3">
        <v>4</v>
      </c>
      <c r="G20" s="3">
        <v>292</v>
      </c>
      <c r="H20" s="3">
        <v>8804</v>
      </c>
      <c r="I20" s="3">
        <v>4103</v>
      </c>
      <c r="J20" s="3">
        <v>1532</v>
      </c>
      <c r="K20" s="3">
        <v>538</v>
      </c>
      <c r="L20" s="3">
        <v>0.40799999999999997</v>
      </c>
      <c r="M20" s="3">
        <v>0.35199999999999998</v>
      </c>
      <c r="N20" s="3">
        <v>0.84199999999999997</v>
      </c>
      <c r="O20" s="3">
        <v>30.2</v>
      </c>
      <c r="P20" s="3">
        <v>14.1</v>
      </c>
      <c r="Q20" s="3">
        <v>5.2</v>
      </c>
      <c r="R20" s="3">
        <v>1.8</v>
      </c>
      <c r="S20" s="3">
        <v>14.6</v>
      </c>
      <c r="T20" s="3">
        <v>7.9000000000000001E-2</v>
      </c>
      <c r="U20" s="3">
        <v>-0.7</v>
      </c>
      <c r="V20" s="3">
        <v>2.9</v>
      </c>
    </row>
    <row r="21" spans="1:22" hidden="1">
      <c r="A21" s="1">
        <v>20</v>
      </c>
      <c r="B21" s="3">
        <v>20</v>
      </c>
      <c r="C21" s="3" t="s">
        <v>72</v>
      </c>
      <c r="D21" s="3" t="s">
        <v>598</v>
      </c>
      <c r="E21" s="3" t="s">
        <v>126</v>
      </c>
      <c r="F21" s="3">
        <v>5</v>
      </c>
      <c r="G21" s="3">
        <v>294</v>
      </c>
      <c r="H21" s="3">
        <v>5873</v>
      </c>
      <c r="I21" s="3">
        <v>2240</v>
      </c>
      <c r="J21" s="3">
        <v>1675</v>
      </c>
      <c r="K21" s="3">
        <v>291</v>
      </c>
      <c r="L21" s="3">
        <v>0.48599999999999999</v>
      </c>
      <c r="M21" s="3">
        <v>0.31</v>
      </c>
      <c r="N21" s="3">
        <v>0.60799999999999998</v>
      </c>
      <c r="O21" s="3">
        <v>20</v>
      </c>
      <c r="P21" s="3">
        <v>7.6</v>
      </c>
      <c r="Q21" s="3">
        <v>5.7</v>
      </c>
      <c r="R21" s="3">
        <v>1</v>
      </c>
      <c r="S21" s="3">
        <v>11.2</v>
      </c>
      <c r="T21" s="3">
        <v>9.1999999999999998E-2</v>
      </c>
      <c r="U21" s="3">
        <v>-2.2000000000000002</v>
      </c>
      <c r="V21" s="3">
        <v>-0.2</v>
      </c>
    </row>
    <row r="22" spans="1:22" hidden="1">
      <c r="A22" s="1">
        <v>21</v>
      </c>
      <c r="B22" s="3">
        <v>21</v>
      </c>
      <c r="C22" s="3" t="s">
        <v>66</v>
      </c>
      <c r="D22" s="3" t="s">
        <v>599</v>
      </c>
      <c r="E22" s="3" t="s">
        <v>173</v>
      </c>
      <c r="F22" s="3">
        <v>5</v>
      </c>
      <c r="G22" s="3">
        <v>311</v>
      </c>
      <c r="H22" s="3">
        <v>9941</v>
      </c>
      <c r="I22" s="3">
        <v>6097</v>
      </c>
      <c r="J22" s="3">
        <v>933</v>
      </c>
      <c r="K22" s="3">
        <v>1364</v>
      </c>
      <c r="L22" s="3">
        <v>0.46400000000000002</v>
      </c>
      <c r="M22" s="3">
        <v>0.38500000000000001</v>
      </c>
      <c r="N22" s="3">
        <v>0.86399999999999999</v>
      </c>
      <c r="O22" s="3">
        <v>32</v>
      </c>
      <c r="P22" s="3">
        <v>19.600000000000001</v>
      </c>
      <c r="Q22" s="3">
        <v>3</v>
      </c>
      <c r="R22" s="3">
        <v>4.4000000000000004</v>
      </c>
      <c r="S22" s="3">
        <v>27.2</v>
      </c>
      <c r="T22" s="3">
        <v>0.13100000000000001</v>
      </c>
      <c r="U22" s="3">
        <v>1.5</v>
      </c>
      <c r="V22" s="3">
        <v>8.9</v>
      </c>
    </row>
    <row r="23" spans="1:22" hidden="1">
      <c r="A23" s="1">
        <v>22</v>
      </c>
      <c r="B23" s="3">
        <v>22</v>
      </c>
      <c r="C23" s="3" t="s">
        <v>23</v>
      </c>
      <c r="D23" s="3" t="s">
        <v>600</v>
      </c>
      <c r="E23" s="3" t="s">
        <v>224</v>
      </c>
      <c r="F23" s="3">
        <v>5</v>
      </c>
      <c r="G23" s="3">
        <v>226</v>
      </c>
      <c r="H23" s="3">
        <v>2624</v>
      </c>
      <c r="I23" s="3">
        <v>931</v>
      </c>
      <c r="J23" s="3">
        <v>513</v>
      </c>
      <c r="K23" s="3">
        <v>82</v>
      </c>
      <c r="L23" s="3">
        <v>0.50600000000000001</v>
      </c>
      <c r="M23" s="3">
        <v>0.34899999999999998</v>
      </c>
      <c r="N23" s="3">
        <v>0.65700000000000003</v>
      </c>
      <c r="O23" s="3">
        <v>11.6</v>
      </c>
      <c r="P23" s="3">
        <v>4.0999999999999996</v>
      </c>
      <c r="Q23" s="3">
        <v>2.2999999999999998</v>
      </c>
      <c r="R23" s="3">
        <v>0.4</v>
      </c>
      <c r="S23" s="3">
        <v>5.6</v>
      </c>
      <c r="T23" s="3">
        <v>0.10199999999999999</v>
      </c>
      <c r="U23" s="3">
        <v>-3.2</v>
      </c>
      <c r="V23" s="3">
        <v>-0.8</v>
      </c>
    </row>
    <row r="24" spans="1:22" hidden="1">
      <c r="A24" s="1">
        <v>23</v>
      </c>
      <c r="B24" s="3">
        <v>23</v>
      </c>
      <c r="C24" s="3" t="s">
        <v>50</v>
      </c>
      <c r="D24" s="3" t="s">
        <v>601</v>
      </c>
      <c r="E24" s="2"/>
      <c r="F24" s="3">
        <v>2</v>
      </c>
      <c r="G24" s="3">
        <v>49</v>
      </c>
      <c r="H24" s="3">
        <v>309</v>
      </c>
      <c r="I24" s="3">
        <v>56</v>
      </c>
      <c r="J24" s="3">
        <v>50</v>
      </c>
      <c r="K24" s="3">
        <v>28</v>
      </c>
      <c r="L24" s="3">
        <v>0.27</v>
      </c>
      <c r="M24" s="3">
        <v>0.22700000000000001</v>
      </c>
      <c r="N24" s="3">
        <v>0.84599999999999997</v>
      </c>
      <c r="O24" s="3">
        <v>6.3</v>
      </c>
      <c r="P24" s="3">
        <v>1.1000000000000001</v>
      </c>
      <c r="Q24" s="3">
        <v>1</v>
      </c>
      <c r="R24" s="3">
        <v>0.6</v>
      </c>
      <c r="S24" s="3">
        <v>-0.3</v>
      </c>
      <c r="T24" s="3">
        <v>-4.8000000000000001E-2</v>
      </c>
      <c r="U24" s="3">
        <v>-7.8</v>
      </c>
      <c r="V24" s="3">
        <v>-0.5</v>
      </c>
    </row>
    <row r="25" spans="1:22" hidden="1">
      <c r="A25" s="1">
        <v>24</v>
      </c>
      <c r="B25" s="3">
        <v>24</v>
      </c>
      <c r="C25" s="3" t="s">
        <v>57</v>
      </c>
      <c r="D25" s="3" t="s">
        <v>602</v>
      </c>
      <c r="E25" s="2"/>
      <c r="F25" s="3">
        <v>4</v>
      </c>
      <c r="G25" s="3">
        <v>170</v>
      </c>
      <c r="H25" s="3">
        <v>3116</v>
      </c>
      <c r="I25" s="3">
        <v>1155</v>
      </c>
      <c r="J25" s="3">
        <v>466</v>
      </c>
      <c r="K25" s="3">
        <v>307</v>
      </c>
      <c r="L25" s="3">
        <v>0.40799999999999997</v>
      </c>
      <c r="M25" s="3">
        <v>0.33800000000000002</v>
      </c>
      <c r="N25" s="3">
        <v>0.67900000000000005</v>
      </c>
      <c r="O25" s="3">
        <v>18.3</v>
      </c>
      <c r="P25" s="3">
        <v>6.8</v>
      </c>
      <c r="Q25" s="3">
        <v>2.7</v>
      </c>
      <c r="R25" s="3">
        <v>1.8</v>
      </c>
      <c r="S25" s="3">
        <v>0.8</v>
      </c>
      <c r="T25" s="3">
        <v>1.2999999999999999E-2</v>
      </c>
      <c r="U25" s="3">
        <v>-3.8</v>
      </c>
      <c r="V25" s="3">
        <v>-1.4</v>
      </c>
    </row>
    <row r="26" spans="1:22" hidden="1">
      <c r="A26" s="1">
        <v>25</v>
      </c>
      <c r="B26" s="3">
        <v>25</v>
      </c>
      <c r="C26" s="3" t="s">
        <v>82</v>
      </c>
      <c r="D26" s="3" t="s">
        <v>603</v>
      </c>
      <c r="E26" s="3" t="s">
        <v>173</v>
      </c>
      <c r="F26" s="3">
        <v>5</v>
      </c>
      <c r="G26" s="3">
        <v>305</v>
      </c>
      <c r="H26" s="3">
        <v>7742</v>
      </c>
      <c r="I26" s="3">
        <v>4184</v>
      </c>
      <c r="J26" s="3">
        <v>1017</v>
      </c>
      <c r="K26" s="3">
        <v>1093</v>
      </c>
      <c r="L26" s="3">
        <v>0.42</v>
      </c>
      <c r="M26" s="3">
        <v>0.374</v>
      </c>
      <c r="N26" s="3">
        <v>0.85899999999999999</v>
      </c>
      <c r="O26" s="3">
        <v>25.4</v>
      </c>
      <c r="P26" s="3">
        <v>13.7</v>
      </c>
      <c r="Q26" s="3">
        <v>3.3</v>
      </c>
      <c r="R26" s="3">
        <v>3.6</v>
      </c>
      <c r="S26" s="3">
        <v>19.600000000000001</v>
      </c>
      <c r="T26" s="3">
        <v>0.121</v>
      </c>
      <c r="U26" s="3">
        <v>1</v>
      </c>
      <c r="V26" s="3">
        <v>5.9</v>
      </c>
    </row>
    <row r="27" spans="1:22" hidden="1">
      <c r="A27" s="1">
        <v>26</v>
      </c>
      <c r="B27" s="3">
        <v>26</v>
      </c>
      <c r="C27" s="3" t="s">
        <v>190</v>
      </c>
      <c r="D27" s="3" t="s">
        <v>604</v>
      </c>
      <c r="E27" s="3" t="s">
        <v>55</v>
      </c>
      <c r="F27" s="3">
        <v>5</v>
      </c>
      <c r="G27" s="3">
        <v>319</v>
      </c>
      <c r="H27" s="3">
        <v>6176</v>
      </c>
      <c r="I27" s="3">
        <v>2741</v>
      </c>
      <c r="J27" s="3">
        <v>836</v>
      </c>
      <c r="K27" s="3">
        <v>783</v>
      </c>
      <c r="L27" s="3">
        <v>0.45200000000000001</v>
      </c>
      <c r="M27" s="3">
        <v>0.40200000000000002</v>
      </c>
      <c r="N27" s="3">
        <v>0.85399999999999998</v>
      </c>
      <c r="O27" s="3">
        <v>19.399999999999999</v>
      </c>
      <c r="P27" s="3">
        <v>8.6</v>
      </c>
      <c r="Q27" s="3">
        <v>2.6</v>
      </c>
      <c r="R27" s="3">
        <v>2.5</v>
      </c>
      <c r="S27" s="3">
        <v>18</v>
      </c>
      <c r="T27" s="3">
        <v>0.14000000000000001</v>
      </c>
      <c r="U27" s="3">
        <v>1</v>
      </c>
      <c r="V27" s="3">
        <v>4.7</v>
      </c>
    </row>
    <row r="28" spans="1:22" hidden="1">
      <c r="A28" s="1">
        <v>27</v>
      </c>
      <c r="B28" s="3">
        <v>27</v>
      </c>
      <c r="C28" s="3" t="s">
        <v>193</v>
      </c>
      <c r="D28" s="3" t="s">
        <v>605</v>
      </c>
      <c r="E28" s="3" t="s">
        <v>138</v>
      </c>
      <c r="F28" s="3">
        <v>4</v>
      </c>
      <c r="G28" s="3">
        <v>84</v>
      </c>
      <c r="H28" s="3">
        <v>724</v>
      </c>
      <c r="I28" s="3">
        <v>256</v>
      </c>
      <c r="J28" s="3">
        <v>235</v>
      </c>
      <c r="K28" s="3">
        <v>14</v>
      </c>
      <c r="L28" s="3">
        <v>0.75800000000000001</v>
      </c>
      <c r="M28" s="2">
        <v>0</v>
      </c>
      <c r="N28" s="3">
        <v>0.44400000000000001</v>
      </c>
      <c r="O28" s="3">
        <v>8.6</v>
      </c>
      <c r="P28" s="3">
        <v>3</v>
      </c>
      <c r="Q28" s="3">
        <v>2.8</v>
      </c>
      <c r="R28" s="3">
        <v>0.2</v>
      </c>
      <c r="S28" s="3">
        <v>2</v>
      </c>
      <c r="T28" s="3">
        <v>0.13300000000000001</v>
      </c>
      <c r="U28" s="3">
        <v>-1.5</v>
      </c>
      <c r="V28" s="3">
        <v>0.1</v>
      </c>
    </row>
    <row r="29" spans="1:22" hidden="1">
      <c r="A29" s="1">
        <v>28</v>
      </c>
      <c r="B29" s="3">
        <v>28</v>
      </c>
      <c r="C29" s="3" t="s">
        <v>31</v>
      </c>
      <c r="D29" s="3" t="s">
        <v>606</v>
      </c>
      <c r="E29" s="3" t="s">
        <v>38</v>
      </c>
      <c r="F29" s="3">
        <v>5</v>
      </c>
      <c r="G29" s="3">
        <v>337</v>
      </c>
      <c r="H29" s="3">
        <v>9507</v>
      </c>
      <c r="I29" s="3">
        <v>3385</v>
      </c>
      <c r="J29" s="3">
        <v>1351</v>
      </c>
      <c r="K29" s="3">
        <v>492</v>
      </c>
      <c r="L29" s="3">
        <v>0.48099999999999998</v>
      </c>
      <c r="M29" s="3">
        <v>0.35099999999999998</v>
      </c>
      <c r="N29" s="3">
        <v>0.74299999999999999</v>
      </c>
      <c r="O29" s="3">
        <v>28.2</v>
      </c>
      <c r="P29" s="3">
        <v>10</v>
      </c>
      <c r="Q29" s="3">
        <v>4</v>
      </c>
      <c r="R29" s="3">
        <v>1.5</v>
      </c>
      <c r="S29" s="3">
        <v>15.5</v>
      </c>
      <c r="T29" s="3">
        <v>7.8E-2</v>
      </c>
      <c r="U29" s="3">
        <v>-2</v>
      </c>
      <c r="V29" s="3">
        <v>0</v>
      </c>
    </row>
    <row r="30" spans="1:22" hidden="1">
      <c r="A30" s="1">
        <v>29</v>
      </c>
      <c r="B30" s="3">
        <v>29</v>
      </c>
      <c r="C30" s="3" t="s">
        <v>163</v>
      </c>
      <c r="D30" s="3" t="s">
        <v>607</v>
      </c>
      <c r="E30" s="3" t="s">
        <v>608</v>
      </c>
      <c r="F30" s="3">
        <v>4</v>
      </c>
      <c r="G30" s="3">
        <v>213</v>
      </c>
      <c r="H30" s="3">
        <v>3032</v>
      </c>
      <c r="I30" s="3">
        <v>1168</v>
      </c>
      <c r="J30" s="3">
        <v>369</v>
      </c>
      <c r="K30" s="3">
        <v>407</v>
      </c>
      <c r="L30" s="3">
        <v>0.38700000000000001</v>
      </c>
      <c r="M30" s="3">
        <v>0.33400000000000002</v>
      </c>
      <c r="N30" s="3">
        <v>0.745</v>
      </c>
      <c r="O30" s="3">
        <v>14.2</v>
      </c>
      <c r="P30" s="3">
        <v>5.5</v>
      </c>
      <c r="Q30" s="3">
        <v>1.7</v>
      </c>
      <c r="R30" s="3">
        <v>1.9</v>
      </c>
      <c r="S30" s="3">
        <v>2.8</v>
      </c>
      <c r="T30" s="3">
        <v>4.4999999999999998E-2</v>
      </c>
      <c r="U30" s="3">
        <v>-2.6</v>
      </c>
      <c r="V30" s="3">
        <v>-0.5</v>
      </c>
    </row>
    <row r="31" spans="1:22" hidden="1">
      <c r="A31" s="1">
        <v>30</v>
      </c>
      <c r="B31" s="3">
        <v>30</v>
      </c>
      <c r="C31" s="3" t="s">
        <v>190</v>
      </c>
      <c r="D31" s="3" t="s">
        <v>609</v>
      </c>
      <c r="E31" s="3" t="s">
        <v>610</v>
      </c>
      <c r="F31" s="3">
        <v>5</v>
      </c>
      <c r="G31" s="3">
        <v>285</v>
      </c>
      <c r="H31" s="3">
        <v>8308</v>
      </c>
      <c r="I31" s="3">
        <v>4990</v>
      </c>
      <c r="J31" s="3">
        <v>1256</v>
      </c>
      <c r="K31" s="3">
        <v>1033</v>
      </c>
      <c r="L31" s="3">
        <v>0.47199999999999998</v>
      </c>
      <c r="M31" s="3">
        <v>0.41099999999999998</v>
      </c>
      <c r="N31" s="3">
        <v>0.876</v>
      </c>
      <c r="O31" s="3">
        <v>29.2</v>
      </c>
      <c r="P31" s="3">
        <v>17.5</v>
      </c>
      <c r="Q31" s="3">
        <v>4.4000000000000004</v>
      </c>
      <c r="R31" s="3">
        <v>3.6</v>
      </c>
      <c r="S31" s="3">
        <v>23.1</v>
      </c>
      <c r="T31" s="3">
        <v>0.13300000000000001</v>
      </c>
      <c r="U31" s="3">
        <v>2.4</v>
      </c>
      <c r="V31" s="3">
        <v>9.1999999999999993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>
      <c r="A33" s="1">
        <v>31</v>
      </c>
      <c r="B33" s="3">
        <v>31</v>
      </c>
      <c r="C33" s="3" t="s">
        <v>20</v>
      </c>
      <c r="D33" s="67" t="s">
        <v>611</v>
      </c>
      <c r="E33" s="3" t="s">
        <v>121</v>
      </c>
      <c r="F33" s="3">
        <v>2</v>
      </c>
      <c r="G33" s="3">
        <v>13</v>
      </c>
      <c r="H33" s="3">
        <v>59</v>
      </c>
      <c r="I33" s="3">
        <v>13</v>
      </c>
      <c r="J33" s="3">
        <v>6</v>
      </c>
      <c r="K33" s="3">
        <v>6</v>
      </c>
      <c r="L33" s="3">
        <v>0.35299999999999998</v>
      </c>
      <c r="M33" s="3">
        <v>0</v>
      </c>
      <c r="N33" s="3">
        <v>0.33300000000000002</v>
      </c>
      <c r="O33" s="3">
        <v>4.5</v>
      </c>
      <c r="P33" s="3">
        <v>1</v>
      </c>
      <c r="Q33" s="3">
        <v>0.5</v>
      </c>
      <c r="R33" s="3">
        <v>0.5</v>
      </c>
      <c r="S33" s="3">
        <v>0</v>
      </c>
      <c r="T33" s="3">
        <v>-3.5000000000000003E-2</v>
      </c>
      <c r="U33" s="3">
        <v>-4.8</v>
      </c>
      <c r="V33" s="3">
        <v>0</v>
      </c>
    </row>
    <row r="34" spans="1:22">
      <c r="A34" s="1">
        <v>32</v>
      </c>
      <c r="B34" s="3">
        <v>32</v>
      </c>
      <c r="C34" s="3" t="s">
        <v>119</v>
      </c>
      <c r="D34" s="67" t="s">
        <v>612</v>
      </c>
      <c r="E34" s="3" t="s">
        <v>171</v>
      </c>
      <c r="F34" s="3">
        <v>3</v>
      </c>
      <c r="G34" s="3">
        <v>37</v>
      </c>
      <c r="H34" s="3">
        <v>187</v>
      </c>
      <c r="I34" s="3">
        <v>72</v>
      </c>
      <c r="J34" s="3">
        <v>50</v>
      </c>
      <c r="K34" s="3">
        <v>5</v>
      </c>
      <c r="L34" s="3">
        <v>0.47399999999999998</v>
      </c>
      <c r="M34" s="3">
        <v>0.14299999999999999</v>
      </c>
      <c r="N34" s="3">
        <v>0.65400000000000003</v>
      </c>
      <c r="O34" s="3">
        <v>5.0999999999999996</v>
      </c>
      <c r="P34" s="3">
        <v>1.9</v>
      </c>
      <c r="Q34" s="3">
        <v>1.4</v>
      </c>
      <c r="R34" s="3">
        <v>0.1</v>
      </c>
      <c r="S34" s="3">
        <v>0.2</v>
      </c>
      <c r="T34" s="3">
        <v>5.8000000000000003E-2</v>
      </c>
      <c r="U34" s="3">
        <v>-6.3</v>
      </c>
      <c r="V34" s="3">
        <v>-0.2</v>
      </c>
    </row>
    <row r="35" spans="1:22">
      <c r="A35" s="1">
        <v>33</v>
      </c>
      <c r="B35" s="3">
        <v>33</v>
      </c>
      <c r="C35" s="3" t="s">
        <v>135</v>
      </c>
      <c r="D35" s="67" t="s">
        <v>613</v>
      </c>
      <c r="E35" s="3" t="s">
        <v>356</v>
      </c>
      <c r="F35" s="3">
        <v>2</v>
      </c>
      <c r="G35" s="3">
        <v>33</v>
      </c>
      <c r="H35" s="3">
        <v>188</v>
      </c>
      <c r="I35" s="3">
        <v>63</v>
      </c>
      <c r="J35" s="3">
        <v>53</v>
      </c>
      <c r="K35" s="3">
        <v>10</v>
      </c>
      <c r="L35" s="3">
        <v>0.43099999999999999</v>
      </c>
      <c r="M35" s="3">
        <v>0.16700000000000001</v>
      </c>
      <c r="N35" s="3">
        <v>0.70599999999999996</v>
      </c>
      <c r="O35" s="3">
        <v>5.7</v>
      </c>
      <c r="P35" s="3">
        <v>1.9</v>
      </c>
      <c r="Q35" s="3">
        <v>1.6</v>
      </c>
      <c r="R35" s="3">
        <v>0.3</v>
      </c>
      <c r="S35" s="3">
        <v>0.3</v>
      </c>
      <c r="T35" s="3">
        <v>8.5999999999999993E-2</v>
      </c>
      <c r="U35" s="3">
        <v>-5.2</v>
      </c>
      <c r="V35" s="3">
        <v>-0.2</v>
      </c>
    </row>
    <row r="36" spans="1:22">
      <c r="A36" s="1">
        <v>34</v>
      </c>
      <c r="B36" s="3">
        <v>34</v>
      </c>
      <c r="C36" s="3" t="s">
        <v>66</v>
      </c>
      <c r="D36" s="88" t="s">
        <v>614</v>
      </c>
      <c r="E36" s="2"/>
      <c r="F36" s="3">
        <v>4</v>
      </c>
      <c r="G36" s="3">
        <v>177</v>
      </c>
      <c r="H36" s="3">
        <v>3753</v>
      </c>
      <c r="I36" s="3">
        <v>1373</v>
      </c>
      <c r="J36" s="3">
        <v>489</v>
      </c>
      <c r="K36" s="3">
        <v>518</v>
      </c>
      <c r="L36" s="3">
        <v>0.372</v>
      </c>
      <c r="M36" s="3">
        <v>0.31</v>
      </c>
      <c r="N36" s="3">
        <v>0.79300000000000004</v>
      </c>
      <c r="O36" s="3">
        <v>21.2</v>
      </c>
      <c r="P36" s="3">
        <v>7.8</v>
      </c>
      <c r="Q36" s="3">
        <v>2.8</v>
      </c>
      <c r="R36" s="3">
        <v>2.9</v>
      </c>
      <c r="S36" s="3">
        <v>-0.2</v>
      </c>
      <c r="T36" s="3">
        <v>-2E-3</v>
      </c>
      <c r="U36" s="3">
        <v>-4.5999999999999996</v>
      </c>
      <c r="V36" s="3">
        <v>-2.4</v>
      </c>
    </row>
    <row r="37" spans="1:22">
      <c r="A37" s="1">
        <v>35</v>
      </c>
      <c r="B37" s="3">
        <v>35</v>
      </c>
      <c r="C37" s="3" t="s">
        <v>36</v>
      </c>
      <c r="D37" s="82" t="s">
        <v>168</v>
      </c>
      <c r="E37" s="3" t="s">
        <v>27</v>
      </c>
      <c r="F37" s="3">
        <v>5</v>
      </c>
      <c r="G37" s="3">
        <v>254</v>
      </c>
      <c r="H37" s="3">
        <v>4136</v>
      </c>
      <c r="I37" s="3">
        <v>1380</v>
      </c>
      <c r="J37" s="3">
        <v>971</v>
      </c>
      <c r="K37" s="3">
        <v>317</v>
      </c>
      <c r="L37" s="3">
        <v>0.51200000000000001</v>
      </c>
      <c r="M37" s="3">
        <v>0.25800000000000001</v>
      </c>
      <c r="N37" s="3">
        <v>0.57399999999999995</v>
      </c>
      <c r="O37" s="3">
        <v>16.3</v>
      </c>
      <c r="P37" s="3">
        <v>5.4</v>
      </c>
      <c r="Q37" s="3">
        <v>3.8</v>
      </c>
      <c r="R37" s="3">
        <v>1.2</v>
      </c>
      <c r="S37" s="3">
        <v>10.1</v>
      </c>
      <c r="T37" s="3">
        <v>0.11799999999999999</v>
      </c>
      <c r="U37" s="3">
        <v>0</v>
      </c>
      <c r="V37" s="3">
        <v>2.1</v>
      </c>
    </row>
    <row r="38" spans="1:22">
      <c r="A38" s="1">
        <v>36</v>
      </c>
      <c r="B38" s="3">
        <v>36</v>
      </c>
      <c r="C38" s="3" t="s">
        <v>66</v>
      </c>
      <c r="D38" s="67" t="s">
        <v>615</v>
      </c>
      <c r="E38" s="3" t="s">
        <v>65</v>
      </c>
      <c r="F38" s="3">
        <v>1</v>
      </c>
      <c r="G38" s="3">
        <v>18</v>
      </c>
      <c r="H38" s="3">
        <v>71</v>
      </c>
      <c r="I38" s="3">
        <v>18</v>
      </c>
      <c r="J38" s="3">
        <v>19</v>
      </c>
      <c r="K38" s="3">
        <v>3</v>
      </c>
      <c r="L38" s="3">
        <v>0.318</v>
      </c>
      <c r="M38" s="3">
        <v>0.25</v>
      </c>
      <c r="N38" s="3">
        <v>0.6</v>
      </c>
      <c r="O38" s="3">
        <v>3.9</v>
      </c>
      <c r="P38" s="3">
        <v>1</v>
      </c>
      <c r="Q38" s="3">
        <v>1.1000000000000001</v>
      </c>
      <c r="R38" s="3">
        <v>0.2</v>
      </c>
      <c r="S38" s="3">
        <v>0</v>
      </c>
      <c r="T38" s="3">
        <v>-3.3000000000000002E-2</v>
      </c>
      <c r="U38" s="3">
        <v>-9.5</v>
      </c>
      <c r="V38" s="3">
        <v>-0.1</v>
      </c>
    </row>
    <row r="39" spans="1:22">
      <c r="A39" s="1">
        <v>37</v>
      </c>
      <c r="B39" s="3">
        <v>37</v>
      </c>
      <c r="C39" s="3" t="s">
        <v>69</v>
      </c>
      <c r="D39" s="82" t="s">
        <v>169</v>
      </c>
      <c r="E39" s="2"/>
      <c r="F39" s="3">
        <v>4</v>
      </c>
      <c r="G39" s="3">
        <v>119</v>
      </c>
      <c r="H39" s="3">
        <v>2189</v>
      </c>
      <c r="I39" s="3">
        <v>618</v>
      </c>
      <c r="J39" s="3">
        <v>285</v>
      </c>
      <c r="K39" s="3">
        <v>225</v>
      </c>
      <c r="L39" s="3">
        <v>0.438</v>
      </c>
      <c r="M39" s="3">
        <v>0.36399999999999999</v>
      </c>
      <c r="N39" s="3">
        <v>0.746</v>
      </c>
      <c r="O39" s="3">
        <v>18.399999999999999</v>
      </c>
      <c r="P39" s="3">
        <v>5.2</v>
      </c>
      <c r="Q39" s="3">
        <v>2.4</v>
      </c>
      <c r="R39" s="3">
        <v>1.9</v>
      </c>
      <c r="S39" s="3">
        <v>2.7</v>
      </c>
      <c r="T39" s="3">
        <v>5.8999999999999997E-2</v>
      </c>
      <c r="U39" s="3">
        <v>-3.1</v>
      </c>
      <c r="V39" s="3">
        <v>-0.6</v>
      </c>
    </row>
    <row r="40" spans="1:22">
      <c r="A40" s="1">
        <v>38</v>
      </c>
      <c r="B40" s="3">
        <v>38</v>
      </c>
      <c r="C40" s="3" t="s">
        <v>193</v>
      </c>
      <c r="D40" s="88" t="s">
        <v>616</v>
      </c>
      <c r="E40" s="3" t="s">
        <v>592</v>
      </c>
      <c r="F40" s="3">
        <v>4</v>
      </c>
      <c r="G40" s="3">
        <v>134</v>
      </c>
      <c r="H40" s="3">
        <v>1943</v>
      </c>
      <c r="I40" s="3">
        <v>697</v>
      </c>
      <c r="J40" s="3">
        <v>260</v>
      </c>
      <c r="K40" s="3">
        <v>378</v>
      </c>
      <c r="L40" s="3">
        <v>0.42099999999999999</v>
      </c>
      <c r="M40" s="3">
        <v>0.27100000000000002</v>
      </c>
      <c r="N40" s="3">
        <v>0.73399999999999999</v>
      </c>
      <c r="O40" s="3">
        <v>14.5</v>
      </c>
      <c r="P40" s="3">
        <v>5.2</v>
      </c>
      <c r="Q40" s="3">
        <v>1.9</v>
      </c>
      <c r="R40" s="3">
        <v>2.8</v>
      </c>
      <c r="S40" s="3">
        <v>3.5</v>
      </c>
      <c r="T40" s="3">
        <v>8.5000000000000006E-2</v>
      </c>
      <c r="U40" s="3">
        <v>-1.4</v>
      </c>
      <c r="V40" s="3">
        <v>0.3</v>
      </c>
    </row>
    <row r="41" spans="1:22">
      <c r="A41" s="1">
        <v>39</v>
      </c>
      <c r="B41" s="3">
        <v>39</v>
      </c>
      <c r="C41" s="3" t="s">
        <v>44</v>
      </c>
      <c r="D41" s="67" t="s">
        <v>617</v>
      </c>
      <c r="E41" s="3" t="s">
        <v>68</v>
      </c>
      <c r="F41" s="3">
        <v>2</v>
      </c>
      <c r="G41" s="3">
        <v>54</v>
      </c>
      <c r="H41" s="3">
        <v>498</v>
      </c>
      <c r="I41" s="3">
        <v>157</v>
      </c>
      <c r="J41" s="3">
        <v>67</v>
      </c>
      <c r="K41" s="3">
        <v>28</v>
      </c>
      <c r="L41" s="3">
        <v>0.32800000000000001</v>
      </c>
      <c r="M41" s="3">
        <v>0.28000000000000003</v>
      </c>
      <c r="N41" s="3">
        <v>0.76900000000000002</v>
      </c>
      <c r="O41" s="3">
        <v>9.1999999999999993</v>
      </c>
      <c r="P41" s="3">
        <v>2.9</v>
      </c>
      <c r="Q41" s="3">
        <v>1.2</v>
      </c>
      <c r="R41" s="3">
        <v>0.5</v>
      </c>
      <c r="S41" s="3">
        <v>-0.4</v>
      </c>
      <c r="T41" s="3">
        <v>-3.9E-2</v>
      </c>
      <c r="U41" s="3">
        <v>-6.4</v>
      </c>
      <c r="V41" s="3">
        <v>-0.5</v>
      </c>
    </row>
    <row r="42" spans="1:22">
      <c r="A42" s="1">
        <v>40</v>
      </c>
      <c r="B42" s="3">
        <v>40</v>
      </c>
      <c r="C42" s="3" t="s">
        <v>152</v>
      </c>
      <c r="D42" s="67" t="s">
        <v>618</v>
      </c>
      <c r="E42" s="3" t="s">
        <v>619</v>
      </c>
      <c r="F42" s="3">
        <v>2</v>
      </c>
      <c r="G42" s="3">
        <v>25</v>
      </c>
      <c r="H42" s="3">
        <v>87</v>
      </c>
      <c r="I42" s="3">
        <v>27</v>
      </c>
      <c r="J42" s="3">
        <v>27</v>
      </c>
      <c r="K42" s="3">
        <v>5</v>
      </c>
      <c r="L42" s="3">
        <v>0.27800000000000002</v>
      </c>
      <c r="M42" s="3">
        <v>0.2</v>
      </c>
      <c r="N42" s="3">
        <v>0.5</v>
      </c>
      <c r="O42" s="3">
        <v>3.5</v>
      </c>
      <c r="P42" s="3">
        <v>1.1000000000000001</v>
      </c>
      <c r="Q42" s="3">
        <v>1.1000000000000001</v>
      </c>
      <c r="R42" s="3">
        <v>0.2</v>
      </c>
      <c r="S42" s="3">
        <v>-0.1</v>
      </c>
      <c r="T42" s="3">
        <v>-7.6999999999999999E-2</v>
      </c>
      <c r="U42" s="3">
        <v>-7.7</v>
      </c>
      <c r="V42" s="3">
        <v>-0.1</v>
      </c>
    </row>
    <row r="43" spans="1:22">
      <c r="A43" s="1">
        <v>41</v>
      </c>
      <c r="B43" s="3">
        <v>41</v>
      </c>
      <c r="C43" s="3" t="s">
        <v>79</v>
      </c>
      <c r="D43" s="82" t="s">
        <v>170</v>
      </c>
      <c r="E43" s="3" t="s">
        <v>171</v>
      </c>
      <c r="F43" s="3">
        <v>5</v>
      </c>
      <c r="G43" s="3">
        <v>280</v>
      </c>
      <c r="H43" s="3">
        <v>6007</v>
      </c>
      <c r="I43" s="3">
        <v>2276</v>
      </c>
      <c r="J43" s="3">
        <v>770</v>
      </c>
      <c r="K43" s="3">
        <v>1305</v>
      </c>
      <c r="L43" s="3">
        <v>0.48099999999999998</v>
      </c>
      <c r="M43" s="3">
        <v>0.30199999999999999</v>
      </c>
      <c r="N43" s="3">
        <v>0.83599999999999997</v>
      </c>
      <c r="O43" s="3">
        <v>21.5</v>
      </c>
      <c r="P43" s="3">
        <v>8.1</v>
      </c>
      <c r="Q43" s="3">
        <v>2.8</v>
      </c>
      <c r="R43" s="3">
        <v>4.7</v>
      </c>
      <c r="S43" s="3">
        <v>12.8</v>
      </c>
      <c r="T43" s="3">
        <v>0.10199999999999999</v>
      </c>
      <c r="U43" s="3">
        <v>-0.8</v>
      </c>
      <c r="V43" s="3">
        <v>1.9</v>
      </c>
    </row>
    <row r="44" spans="1:22">
      <c r="A44" s="1">
        <v>42</v>
      </c>
      <c r="B44" s="3">
        <v>42</v>
      </c>
      <c r="C44" s="3" t="s">
        <v>44</v>
      </c>
      <c r="D44" s="82" t="s">
        <v>172</v>
      </c>
      <c r="E44" s="3" t="s">
        <v>173</v>
      </c>
      <c r="F44" s="3">
        <v>5</v>
      </c>
      <c r="G44" s="3">
        <v>233</v>
      </c>
      <c r="H44" s="3">
        <v>4132</v>
      </c>
      <c r="I44" s="3">
        <v>1642</v>
      </c>
      <c r="J44" s="3">
        <v>1333</v>
      </c>
      <c r="K44" s="3">
        <v>142</v>
      </c>
      <c r="L44" s="3">
        <v>0.64200000000000002</v>
      </c>
      <c r="M44" s="3">
        <v>0.2</v>
      </c>
      <c r="N44" s="3">
        <v>0.72799999999999998</v>
      </c>
      <c r="O44" s="3">
        <v>17.7</v>
      </c>
      <c r="P44" s="3">
        <v>7</v>
      </c>
      <c r="Q44" s="3">
        <v>5.7</v>
      </c>
      <c r="R44" s="3">
        <v>0.6</v>
      </c>
      <c r="S44" s="3">
        <v>12.1</v>
      </c>
      <c r="T44" s="3">
        <v>0.14099999999999999</v>
      </c>
      <c r="U44" s="3">
        <v>-2.2000000000000002</v>
      </c>
      <c r="V44" s="3">
        <v>-0.2</v>
      </c>
    </row>
    <row r="45" spans="1:22">
      <c r="A45" s="1">
        <v>43</v>
      </c>
      <c r="B45" s="3">
        <v>43</v>
      </c>
      <c r="C45" s="3" t="s">
        <v>36</v>
      </c>
      <c r="D45" s="67" t="s">
        <v>620</v>
      </c>
      <c r="E45" s="3" t="s">
        <v>621</v>
      </c>
      <c r="F45" s="3">
        <v>3</v>
      </c>
      <c r="G45" s="3">
        <v>39</v>
      </c>
      <c r="H45" s="3">
        <v>349</v>
      </c>
      <c r="I45" s="3">
        <v>147</v>
      </c>
      <c r="J45" s="3">
        <v>45</v>
      </c>
      <c r="K45" s="3">
        <v>21</v>
      </c>
      <c r="L45" s="3">
        <v>0.41599999999999998</v>
      </c>
      <c r="M45" s="3">
        <v>0.27100000000000002</v>
      </c>
      <c r="N45" s="3">
        <v>0.68</v>
      </c>
      <c r="O45" s="3">
        <v>8.9</v>
      </c>
      <c r="P45" s="3">
        <v>3.8</v>
      </c>
      <c r="Q45" s="3">
        <v>1.2</v>
      </c>
      <c r="R45" s="3">
        <v>0.5</v>
      </c>
      <c r="S45" s="3">
        <v>-0.1</v>
      </c>
      <c r="T45" s="3">
        <v>-8.0000000000000002E-3</v>
      </c>
      <c r="U45" s="3">
        <v>-5.4</v>
      </c>
      <c r="V45" s="3">
        <v>-0.3</v>
      </c>
    </row>
    <row r="46" spans="1:22">
      <c r="A46" s="1">
        <v>44</v>
      </c>
      <c r="B46" s="3">
        <v>44</v>
      </c>
      <c r="C46" s="3" t="s">
        <v>99</v>
      </c>
      <c r="D46" s="67" t="s">
        <v>622</v>
      </c>
      <c r="E46" s="2"/>
      <c r="F46" s="3">
        <v>2</v>
      </c>
      <c r="G46" s="3">
        <v>16</v>
      </c>
      <c r="H46" s="3">
        <v>55</v>
      </c>
      <c r="I46" s="3">
        <v>23</v>
      </c>
      <c r="J46" s="3">
        <v>12</v>
      </c>
      <c r="K46" s="3">
        <v>0</v>
      </c>
      <c r="L46" s="3">
        <v>0.27300000000000002</v>
      </c>
      <c r="M46" s="3">
        <v>0.222</v>
      </c>
      <c r="N46" s="3">
        <v>0.69199999999999995</v>
      </c>
      <c r="O46" s="3">
        <v>3.4</v>
      </c>
      <c r="P46" s="3">
        <v>1.4</v>
      </c>
      <c r="Q46" s="3">
        <v>0.8</v>
      </c>
      <c r="R46" s="3">
        <v>0</v>
      </c>
      <c r="S46" s="3">
        <v>0</v>
      </c>
      <c r="T46" s="3">
        <v>-2.5999999999999999E-2</v>
      </c>
      <c r="U46" s="3">
        <v>-12.3</v>
      </c>
      <c r="V46" s="3">
        <v>-0.1</v>
      </c>
    </row>
    <row r="47" spans="1:22">
      <c r="A47" s="1">
        <v>45</v>
      </c>
      <c r="B47" s="3">
        <v>45</v>
      </c>
      <c r="C47" s="3" t="s">
        <v>57</v>
      </c>
      <c r="D47" s="88" t="s">
        <v>623</v>
      </c>
      <c r="E47" s="3" t="s">
        <v>61</v>
      </c>
      <c r="F47" s="3">
        <v>4</v>
      </c>
      <c r="G47" s="3">
        <v>206</v>
      </c>
      <c r="H47" s="3">
        <v>3359</v>
      </c>
      <c r="I47" s="3">
        <v>1564</v>
      </c>
      <c r="J47" s="3">
        <v>659</v>
      </c>
      <c r="K47" s="3">
        <v>216</v>
      </c>
      <c r="L47" s="3">
        <v>0.433</v>
      </c>
      <c r="M47" s="3">
        <v>0.376</v>
      </c>
      <c r="N47" s="3">
        <v>0.80700000000000005</v>
      </c>
      <c r="O47" s="3">
        <v>16.3</v>
      </c>
      <c r="P47" s="3">
        <v>7.6</v>
      </c>
      <c r="Q47" s="3">
        <v>3.2</v>
      </c>
      <c r="R47" s="3">
        <v>1</v>
      </c>
      <c r="S47" s="3">
        <v>3</v>
      </c>
      <c r="T47" s="3">
        <v>4.2999999999999997E-2</v>
      </c>
      <c r="U47" s="3">
        <v>-2.8</v>
      </c>
      <c r="V47" s="3">
        <v>-0.7</v>
      </c>
    </row>
    <row r="48" spans="1:22">
      <c r="A48" s="1">
        <v>46</v>
      </c>
      <c r="B48" s="3">
        <v>46</v>
      </c>
      <c r="C48" s="3" t="s">
        <v>124</v>
      </c>
      <c r="D48" s="67" t="s">
        <v>624</v>
      </c>
      <c r="E48" s="3" t="s">
        <v>347</v>
      </c>
      <c r="F48" s="3">
        <v>2</v>
      </c>
      <c r="G48" s="3">
        <v>88</v>
      </c>
      <c r="H48" s="3">
        <v>1366</v>
      </c>
      <c r="I48" s="3">
        <v>407</v>
      </c>
      <c r="J48" s="3">
        <v>259</v>
      </c>
      <c r="K48" s="3">
        <v>97</v>
      </c>
      <c r="L48" s="3">
        <v>0.39</v>
      </c>
      <c r="M48" s="3">
        <v>0.27500000000000002</v>
      </c>
      <c r="N48" s="3">
        <v>0.71699999999999997</v>
      </c>
      <c r="O48" s="3">
        <v>15.5</v>
      </c>
      <c r="P48" s="3">
        <v>4.5999999999999996</v>
      </c>
      <c r="Q48" s="3">
        <v>2.9</v>
      </c>
      <c r="R48" s="3">
        <v>1.1000000000000001</v>
      </c>
      <c r="S48" s="3">
        <v>0.5</v>
      </c>
      <c r="T48" s="3">
        <v>1.7999999999999999E-2</v>
      </c>
      <c r="U48" s="3">
        <v>-5.2</v>
      </c>
      <c r="V48" s="3">
        <v>-1.1000000000000001</v>
      </c>
    </row>
    <row r="49" spans="1:37">
      <c r="A49" s="1">
        <v>47</v>
      </c>
      <c r="B49" s="3">
        <v>47</v>
      </c>
      <c r="C49" s="3" t="s">
        <v>190</v>
      </c>
      <c r="D49" s="67" t="s">
        <v>625</v>
      </c>
      <c r="E49" s="2"/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</row>
    <row r="50" spans="1:37">
      <c r="A50" s="1">
        <v>48</v>
      </c>
      <c r="B50" s="3">
        <v>48</v>
      </c>
      <c r="C50" s="3" t="s">
        <v>25</v>
      </c>
      <c r="D50" s="67" t="s">
        <v>626</v>
      </c>
      <c r="E50" s="3" t="s">
        <v>224</v>
      </c>
      <c r="F50" s="3">
        <v>1</v>
      </c>
      <c r="G50" s="3">
        <v>30</v>
      </c>
      <c r="H50" s="3">
        <v>364</v>
      </c>
      <c r="I50" s="3">
        <v>123</v>
      </c>
      <c r="J50" s="3">
        <v>46</v>
      </c>
      <c r="K50" s="3">
        <v>70</v>
      </c>
      <c r="L50" s="3">
        <v>0.34200000000000003</v>
      </c>
      <c r="M50" s="3">
        <v>0.36699999999999999</v>
      </c>
      <c r="N50" s="3">
        <v>0.82099999999999995</v>
      </c>
      <c r="O50" s="3">
        <v>12.1</v>
      </c>
      <c r="P50" s="3">
        <v>4.0999999999999996</v>
      </c>
      <c r="Q50" s="3">
        <v>1.5</v>
      </c>
      <c r="R50" s="3">
        <v>2.2999999999999998</v>
      </c>
      <c r="S50" s="3">
        <v>0.2</v>
      </c>
      <c r="T50" s="3">
        <v>2.9000000000000001E-2</v>
      </c>
      <c r="U50" s="3">
        <v>-3.9</v>
      </c>
      <c r="V50" s="3">
        <v>-0.2</v>
      </c>
    </row>
    <row r="51" spans="1:37">
      <c r="A51" s="1">
        <v>49</v>
      </c>
      <c r="B51" s="3">
        <v>49</v>
      </c>
      <c r="C51" s="3" t="s">
        <v>66</v>
      </c>
      <c r="D51" s="80" t="s">
        <v>90</v>
      </c>
      <c r="E51" s="3" t="s">
        <v>84</v>
      </c>
      <c r="F51" s="3">
        <v>5</v>
      </c>
      <c r="G51" s="3">
        <v>294</v>
      </c>
      <c r="H51" s="3">
        <v>4827</v>
      </c>
      <c r="I51" s="3">
        <v>2134</v>
      </c>
      <c r="J51" s="3">
        <v>567</v>
      </c>
      <c r="K51" s="3">
        <v>306</v>
      </c>
      <c r="L51" s="3">
        <v>0.42899999999999999</v>
      </c>
      <c r="M51" s="3">
        <v>0.39800000000000002</v>
      </c>
      <c r="N51" s="3">
        <v>0.82799999999999996</v>
      </c>
      <c r="O51" s="3">
        <v>16.399999999999999</v>
      </c>
      <c r="P51" s="3">
        <v>7.3</v>
      </c>
      <c r="Q51" s="3">
        <v>1.9</v>
      </c>
      <c r="R51" s="3">
        <v>1</v>
      </c>
      <c r="S51" s="3">
        <v>11.5</v>
      </c>
      <c r="T51" s="3">
        <v>0.114</v>
      </c>
      <c r="U51" s="3">
        <v>-0.1</v>
      </c>
      <c r="V51" s="3">
        <v>2.2999999999999998</v>
      </c>
    </row>
    <row r="52" spans="1:37">
      <c r="A52" s="1">
        <v>50</v>
      </c>
      <c r="B52" s="3">
        <v>50</v>
      </c>
      <c r="C52" s="3" t="s">
        <v>184</v>
      </c>
      <c r="D52" s="67" t="s">
        <v>627</v>
      </c>
      <c r="E52" s="3" t="s">
        <v>145</v>
      </c>
      <c r="F52" s="3">
        <v>4</v>
      </c>
      <c r="G52" s="3">
        <v>105</v>
      </c>
      <c r="H52" s="3">
        <v>1111</v>
      </c>
      <c r="I52" s="3">
        <v>451</v>
      </c>
      <c r="J52" s="3">
        <v>122</v>
      </c>
      <c r="K52" s="3">
        <v>182</v>
      </c>
      <c r="L52" s="3">
        <v>0.44500000000000001</v>
      </c>
      <c r="M52" s="3">
        <v>0.34499999999999997</v>
      </c>
      <c r="N52" s="3">
        <v>0.85899999999999999</v>
      </c>
      <c r="O52" s="3">
        <v>10.6</v>
      </c>
      <c r="P52" s="3">
        <v>4.3</v>
      </c>
      <c r="Q52" s="3">
        <v>1.2</v>
      </c>
      <c r="R52" s="3">
        <v>1.7</v>
      </c>
      <c r="S52" s="3">
        <v>2.1</v>
      </c>
      <c r="T52" s="3">
        <v>9.1999999999999998E-2</v>
      </c>
      <c r="U52" s="3">
        <v>-0.7</v>
      </c>
      <c r="V52" s="3">
        <v>0.4</v>
      </c>
    </row>
    <row r="53" spans="1:37">
      <c r="A53" s="1">
        <v>51</v>
      </c>
      <c r="B53" s="3">
        <v>51</v>
      </c>
      <c r="C53" s="3" t="s">
        <v>25</v>
      </c>
      <c r="D53" s="67" t="s">
        <v>628</v>
      </c>
      <c r="E53" s="3" t="s">
        <v>629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37">
      <c r="A54" s="1">
        <v>52</v>
      </c>
      <c r="B54" s="3">
        <v>52</v>
      </c>
      <c r="C54" s="3" t="s">
        <v>36</v>
      </c>
      <c r="D54" s="82" t="s">
        <v>174</v>
      </c>
      <c r="E54" s="2"/>
      <c r="F54" s="3">
        <v>5</v>
      </c>
      <c r="G54" s="3">
        <v>290</v>
      </c>
      <c r="H54" s="3">
        <v>6242</v>
      </c>
      <c r="I54" s="3">
        <v>2532</v>
      </c>
      <c r="J54" s="3">
        <v>1194</v>
      </c>
      <c r="K54" s="3">
        <v>342</v>
      </c>
      <c r="L54" s="3">
        <v>0.54800000000000004</v>
      </c>
      <c r="M54" s="3">
        <v>0.33800000000000002</v>
      </c>
      <c r="N54" s="3">
        <v>0.67100000000000004</v>
      </c>
      <c r="O54" s="3">
        <v>21.5</v>
      </c>
      <c r="P54" s="3">
        <v>8.6999999999999993</v>
      </c>
      <c r="Q54" s="3">
        <v>4.0999999999999996</v>
      </c>
      <c r="R54" s="3">
        <v>1.2</v>
      </c>
      <c r="S54" s="3">
        <v>12.3</v>
      </c>
      <c r="T54" s="3">
        <v>9.5000000000000001E-2</v>
      </c>
      <c r="U54" s="3">
        <v>-1.5</v>
      </c>
      <c r="V54" s="3">
        <v>0.8</v>
      </c>
    </row>
    <row r="55" spans="1:37">
      <c r="A55" s="1">
        <v>53</v>
      </c>
      <c r="B55" s="3">
        <v>53</v>
      </c>
      <c r="C55" s="3" t="s">
        <v>82</v>
      </c>
      <c r="D55" s="67" t="s">
        <v>630</v>
      </c>
      <c r="E55" s="3" t="s">
        <v>27</v>
      </c>
      <c r="F55" s="3">
        <v>2</v>
      </c>
      <c r="G55" s="3">
        <v>29</v>
      </c>
      <c r="H55" s="3">
        <v>137</v>
      </c>
      <c r="I55" s="3">
        <v>55</v>
      </c>
      <c r="J55" s="3">
        <v>10</v>
      </c>
      <c r="K55" s="3">
        <v>19</v>
      </c>
      <c r="L55" s="3">
        <v>0.40899999999999997</v>
      </c>
      <c r="M55" s="3">
        <v>0.435</v>
      </c>
      <c r="N55" s="3">
        <v>0.9</v>
      </c>
      <c r="O55" s="3">
        <v>4.7</v>
      </c>
      <c r="P55" s="3">
        <v>1.9</v>
      </c>
      <c r="Q55" s="3">
        <v>0.3</v>
      </c>
      <c r="R55" s="3">
        <v>0.7</v>
      </c>
      <c r="S55" s="3">
        <v>0.1</v>
      </c>
      <c r="T55" s="3">
        <v>5.0999999999999997E-2</v>
      </c>
      <c r="U55" s="3">
        <v>-4.9000000000000004</v>
      </c>
      <c r="V55" s="3">
        <v>-0.1</v>
      </c>
    </row>
    <row r="56" spans="1:37">
      <c r="A56" s="1">
        <v>54</v>
      </c>
      <c r="B56" s="3">
        <v>54</v>
      </c>
      <c r="C56" s="3" t="s">
        <v>41</v>
      </c>
      <c r="D56" s="67" t="s">
        <v>631</v>
      </c>
      <c r="E56" s="3" t="s">
        <v>171</v>
      </c>
      <c r="F56" s="3">
        <v>2</v>
      </c>
      <c r="G56" s="3">
        <v>33</v>
      </c>
      <c r="H56" s="3">
        <v>248</v>
      </c>
      <c r="I56" s="3">
        <v>88</v>
      </c>
      <c r="J56" s="3">
        <v>39</v>
      </c>
      <c r="K56" s="3">
        <v>5</v>
      </c>
      <c r="L56" s="3">
        <v>0.36</v>
      </c>
      <c r="M56" s="3">
        <v>0.23300000000000001</v>
      </c>
      <c r="N56" s="3">
        <v>0.89500000000000002</v>
      </c>
      <c r="O56" s="3">
        <v>7.5</v>
      </c>
      <c r="P56" s="3">
        <v>2.7</v>
      </c>
      <c r="Q56" s="3">
        <v>1.2</v>
      </c>
      <c r="R56" s="3">
        <v>0.2</v>
      </c>
      <c r="S56" s="3">
        <v>0</v>
      </c>
      <c r="T56" s="3">
        <v>-6.0000000000000001E-3</v>
      </c>
      <c r="U56" s="3">
        <v>-7.9</v>
      </c>
      <c r="V56" s="3">
        <v>-0.4</v>
      </c>
    </row>
    <row r="57" spans="1:37">
      <c r="A57" s="1">
        <v>55</v>
      </c>
      <c r="B57" s="3">
        <v>55</v>
      </c>
      <c r="C57" s="3" t="s">
        <v>47</v>
      </c>
      <c r="D57" s="67" t="s">
        <v>632</v>
      </c>
      <c r="E57" s="3" t="s">
        <v>633</v>
      </c>
      <c r="F57" s="3">
        <v>3</v>
      </c>
      <c r="G57" s="3">
        <v>24</v>
      </c>
      <c r="H57" s="3">
        <v>235</v>
      </c>
      <c r="I57" s="3">
        <v>97</v>
      </c>
      <c r="J57" s="3">
        <v>36</v>
      </c>
      <c r="K57" s="3">
        <v>10</v>
      </c>
      <c r="L57" s="3">
        <v>0.41599999999999998</v>
      </c>
      <c r="M57" s="3">
        <v>0.313</v>
      </c>
      <c r="N57" s="3">
        <v>0.76500000000000001</v>
      </c>
      <c r="O57" s="3">
        <v>9.8000000000000007</v>
      </c>
      <c r="P57" s="3">
        <v>4</v>
      </c>
      <c r="Q57" s="3">
        <v>1.5</v>
      </c>
      <c r="R57" s="3">
        <v>0.4</v>
      </c>
      <c r="S57" s="3">
        <v>-0.1</v>
      </c>
      <c r="T57" s="3">
        <v>-1.4E-2</v>
      </c>
      <c r="U57" s="3">
        <v>-6.6</v>
      </c>
      <c r="V57" s="3">
        <v>-0.3</v>
      </c>
    </row>
    <row r="58" spans="1:37">
      <c r="A58" s="1">
        <v>56</v>
      </c>
      <c r="B58" s="3">
        <v>56</v>
      </c>
      <c r="C58" s="3" t="s">
        <v>119</v>
      </c>
      <c r="D58" s="67" t="s">
        <v>634</v>
      </c>
      <c r="E58" s="3" t="s">
        <v>635</v>
      </c>
      <c r="F58" s="3">
        <v>1</v>
      </c>
      <c r="G58" s="3">
        <v>7</v>
      </c>
      <c r="H58" s="3">
        <v>27</v>
      </c>
      <c r="I58" s="3">
        <v>18</v>
      </c>
      <c r="J58" s="3">
        <v>1</v>
      </c>
      <c r="K58" s="3">
        <v>3</v>
      </c>
      <c r="L58" s="3">
        <v>0.66700000000000004</v>
      </c>
      <c r="M58" s="3">
        <v>0.5</v>
      </c>
      <c r="N58" s="2">
        <v>0</v>
      </c>
      <c r="O58" s="3">
        <v>3.9</v>
      </c>
      <c r="P58" s="3">
        <v>2.6</v>
      </c>
      <c r="Q58" s="3">
        <v>0.1</v>
      </c>
      <c r="R58" s="3">
        <v>0.4</v>
      </c>
      <c r="S58" s="3">
        <v>0.1</v>
      </c>
      <c r="T58" s="3">
        <v>0.17699999999999999</v>
      </c>
      <c r="U58" s="3">
        <v>5.0999999999999996</v>
      </c>
      <c r="V58" s="3">
        <v>0</v>
      </c>
    </row>
    <row r="59" spans="1:37">
      <c r="A59" s="1">
        <v>57</v>
      </c>
      <c r="B59" s="3">
        <v>57</v>
      </c>
      <c r="C59" s="3" t="s">
        <v>28</v>
      </c>
      <c r="D59" s="67" t="s">
        <v>636</v>
      </c>
      <c r="E59" s="3" t="s">
        <v>619</v>
      </c>
      <c r="F59" s="3">
        <v>2</v>
      </c>
      <c r="G59" s="3">
        <v>36</v>
      </c>
      <c r="H59" s="3">
        <v>398</v>
      </c>
      <c r="I59" s="3">
        <v>170</v>
      </c>
      <c r="J59" s="3">
        <v>120</v>
      </c>
      <c r="K59" s="3">
        <v>26</v>
      </c>
      <c r="L59" s="3">
        <v>0.45900000000000002</v>
      </c>
      <c r="M59" s="3">
        <v>0.189</v>
      </c>
      <c r="N59" s="3">
        <v>0.67900000000000005</v>
      </c>
      <c r="O59" s="3">
        <v>11.1</v>
      </c>
      <c r="P59" s="3">
        <v>4.7</v>
      </c>
      <c r="Q59" s="3">
        <v>3.3</v>
      </c>
      <c r="R59" s="3">
        <v>0.7</v>
      </c>
      <c r="S59" s="3">
        <v>0.4</v>
      </c>
      <c r="T59" s="3">
        <v>4.8000000000000001E-2</v>
      </c>
      <c r="U59" s="3">
        <v>-5.5</v>
      </c>
      <c r="V59" s="3">
        <v>-0.3</v>
      </c>
    </row>
    <row r="60" spans="1:37">
      <c r="A60" s="1">
        <v>58</v>
      </c>
      <c r="B60" s="3">
        <v>58</v>
      </c>
      <c r="C60" s="3" t="s">
        <v>66</v>
      </c>
      <c r="D60" s="82" t="s">
        <v>175</v>
      </c>
      <c r="E60" s="3" t="s">
        <v>176</v>
      </c>
      <c r="F60" s="3">
        <v>5</v>
      </c>
      <c r="G60" s="3">
        <v>244</v>
      </c>
      <c r="H60" s="3">
        <v>3110</v>
      </c>
      <c r="I60" s="3">
        <v>1216</v>
      </c>
      <c r="J60" s="3">
        <v>976</v>
      </c>
      <c r="K60" s="3">
        <v>193</v>
      </c>
      <c r="L60" s="3">
        <v>0.55300000000000005</v>
      </c>
      <c r="M60" s="3">
        <v>0.316</v>
      </c>
      <c r="N60" s="3">
        <v>0.71</v>
      </c>
      <c r="O60" s="3">
        <v>12.7</v>
      </c>
      <c r="P60" s="3">
        <v>5</v>
      </c>
      <c r="Q60" s="3">
        <v>4</v>
      </c>
      <c r="R60" s="3">
        <v>0.8</v>
      </c>
      <c r="S60" s="3">
        <v>11.2</v>
      </c>
      <c r="T60" s="3">
        <v>0.17199999999999999</v>
      </c>
      <c r="U60" s="3">
        <v>0.8</v>
      </c>
      <c r="V60" s="3">
        <v>2.2000000000000002</v>
      </c>
    </row>
    <row r="61" spans="1:37">
      <c r="A61" s="1">
        <v>59</v>
      </c>
      <c r="B61" s="3">
        <v>59</v>
      </c>
      <c r="C61" s="3" t="s">
        <v>163</v>
      </c>
      <c r="D61" s="67" t="s">
        <v>637</v>
      </c>
      <c r="E61" s="3" t="s">
        <v>147</v>
      </c>
      <c r="F61" s="3">
        <v>1</v>
      </c>
      <c r="G61" s="3">
        <v>13</v>
      </c>
      <c r="H61" s="3">
        <v>172</v>
      </c>
      <c r="I61" s="3">
        <v>96</v>
      </c>
      <c r="J61" s="3">
        <v>18</v>
      </c>
      <c r="K61" s="3">
        <v>17</v>
      </c>
      <c r="L61" s="3">
        <v>0.5</v>
      </c>
      <c r="M61" s="3">
        <v>0.47199999999999998</v>
      </c>
      <c r="N61" s="3">
        <v>0.77800000000000002</v>
      </c>
      <c r="O61" s="3">
        <v>13.2</v>
      </c>
      <c r="P61" s="3">
        <v>7.4</v>
      </c>
      <c r="Q61" s="3">
        <v>1.4</v>
      </c>
      <c r="R61" s="3">
        <v>1.3</v>
      </c>
      <c r="S61" s="3">
        <v>0.3</v>
      </c>
      <c r="T61" s="3">
        <v>7.9000000000000001E-2</v>
      </c>
      <c r="U61" s="3">
        <v>0.3</v>
      </c>
      <c r="V61" s="3">
        <v>0.1</v>
      </c>
    </row>
    <row r="62" spans="1:37">
      <c r="A62" s="1">
        <v>60</v>
      </c>
      <c r="B62" s="3">
        <v>60</v>
      </c>
      <c r="C62" s="3" t="s">
        <v>44</v>
      </c>
      <c r="D62" s="82" t="s">
        <v>177</v>
      </c>
      <c r="E62" s="3" t="s">
        <v>160</v>
      </c>
      <c r="F62" s="3">
        <v>5</v>
      </c>
      <c r="G62" s="3">
        <v>145</v>
      </c>
      <c r="H62" s="3">
        <v>2231</v>
      </c>
      <c r="I62" s="3">
        <v>931</v>
      </c>
      <c r="J62" s="3">
        <v>248</v>
      </c>
      <c r="K62" s="3">
        <v>206</v>
      </c>
      <c r="L62" s="3">
        <v>0.40100000000000002</v>
      </c>
      <c r="M62" s="3">
        <v>0.38500000000000001</v>
      </c>
      <c r="N62" s="3">
        <v>0.92200000000000004</v>
      </c>
      <c r="O62" s="3">
        <v>15.4</v>
      </c>
      <c r="P62" s="3">
        <v>6.4</v>
      </c>
      <c r="Q62" s="3">
        <v>1.7</v>
      </c>
      <c r="R62" s="3">
        <v>1.4</v>
      </c>
      <c r="S62" s="3">
        <v>5.3</v>
      </c>
      <c r="T62" s="3">
        <v>0.114</v>
      </c>
      <c r="U62" s="3">
        <v>-0.2</v>
      </c>
      <c r="V62" s="3">
        <v>1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638</v>
      </c>
      <c r="E65" s="3" t="s">
        <v>506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639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 ht="30">
      <c r="D67" s="3" t="s">
        <v>640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641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</sheetData>
  <conditionalFormatting sqref="G1:G62">
    <cfRule type="cellIs" dxfId="20" priority="1" operator="greaterThan">
      <formula>82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340C-BC02-3F48-8EE3-3D6D96EF99A8}">
  <dimension ref="A1:AK82"/>
  <sheetViews>
    <sheetView workbookViewId="0">
      <pane ySplit="1" topLeftCell="A33" activePane="bottomLeft" state="frozen"/>
      <selection pane="bottomLeft" activeCell="M68" sqref="M68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8.125" bestFit="1" customWidth="1"/>
    <col min="5" max="5" width="15.125" bestFit="1" customWidth="1"/>
    <col min="6" max="6" width="3.375" bestFit="1" customWidth="1"/>
    <col min="7" max="7" width="3.625" bestFit="1" customWidth="1"/>
    <col min="8" max="8" width="5.375" bestFit="1" customWidth="1"/>
    <col min="9" max="11" width="4.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4.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44</v>
      </c>
      <c r="D2" s="3" t="s">
        <v>642</v>
      </c>
      <c r="E2" s="3" t="s">
        <v>171</v>
      </c>
      <c r="F2" s="3">
        <v>5</v>
      </c>
      <c r="G2" s="3">
        <v>200</v>
      </c>
      <c r="H2" s="3">
        <v>6310</v>
      </c>
      <c r="I2" s="3">
        <v>4931</v>
      </c>
      <c r="J2" s="3">
        <v>1321</v>
      </c>
      <c r="K2" s="3">
        <v>839</v>
      </c>
      <c r="L2" s="3">
        <v>0.58699999999999997</v>
      </c>
      <c r="M2" s="3">
        <v>0.32300000000000001</v>
      </c>
      <c r="N2" s="3">
        <v>0.69099999999999995</v>
      </c>
      <c r="O2" s="3">
        <v>31.6</v>
      </c>
      <c r="P2" s="3">
        <v>24.7</v>
      </c>
      <c r="Q2" s="3">
        <v>6.6</v>
      </c>
      <c r="R2" s="3">
        <v>4.2</v>
      </c>
      <c r="S2" s="3">
        <v>22.8</v>
      </c>
      <c r="T2" s="3">
        <v>0.17399999999999999</v>
      </c>
      <c r="U2" s="3">
        <v>4.5999999999999996</v>
      </c>
      <c r="V2" s="3">
        <v>10.6</v>
      </c>
    </row>
    <row r="3" spans="1:22" hidden="1">
      <c r="A3" s="1">
        <v>2</v>
      </c>
      <c r="B3" s="3">
        <v>2</v>
      </c>
      <c r="C3" s="3" t="s">
        <v>152</v>
      </c>
      <c r="D3" s="3" t="s">
        <v>643</v>
      </c>
      <c r="E3" s="3" t="s">
        <v>644</v>
      </c>
      <c r="F3" s="3">
        <v>6</v>
      </c>
      <c r="G3" s="3">
        <v>288</v>
      </c>
      <c r="H3" s="3">
        <v>9169</v>
      </c>
      <c r="I3" s="3">
        <v>6419</v>
      </c>
      <c r="J3" s="3">
        <v>1373</v>
      </c>
      <c r="K3" s="3">
        <v>2135</v>
      </c>
      <c r="L3" s="3">
        <v>0.47</v>
      </c>
      <c r="M3" s="3">
        <v>0.32</v>
      </c>
      <c r="N3" s="3">
        <v>0.76</v>
      </c>
      <c r="O3" s="3">
        <v>31.8</v>
      </c>
      <c r="P3" s="3">
        <v>22.3</v>
      </c>
      <c r="Q3" s="3">
        <v>4.8</v>
      </c>
      <c r="R3" s="3">
        <v>7.4</v>
      </c>
      <c r="S3" s="3">
        <v>22.7</v>
      </c>
      <c r="T3" s="3">
        <v>0.11899999999999999</v>
      </c>
      <c r="U3" s="3">
        <v>2.8</v>
      </c>
      <c r="V3" s="3">
        <v>11.1</v>
      </c>
    </row>
    <row r="4" spans="1:22" hidden="1">
      <c r="A4" s="1">
        <v>3</v>
      </c>
      <c r="B4" s="3">
        <v>3</v>
      </c>
      <c r="C4" s="3" t="s">
        <v>50</v>
      </c>
      <c r="D4" s="3" t="s">
        <v>645</v>
      </c>
      <c r="E4" s="3" t="s">
        <v>171</v>
      </c>
      <c r="F4" s="3">
        <v>6</v>
      </c>
      <c r="G4" s="3">
        <v>370</v>
      </c>
      <c r="H4" s="3">
        <v>12310</v>
      </c>
      <c r="I4" s="3">
        <v>6955</v>
      </c>
      <c r="J4" s="3">
        <v>2056</v>
      </c>
      <c r="K4" s="3">
        <v>1195</v>
      </c>
      <c r="L4" s="3">
        <v>0.439</v>
      </c>
      <c r="M4" s="3">
        <v>0.34599999999999997</v>
      </c>
      <c r="N4" s="3">
        <v>0.70399999999999996</v>
      </c>
      <c r="O4" s="3">
        <v>33.299999999999997</v>
      </c>
      <c r="P4" s="3">
        <v>18.8</v>
      </c>
      <c r="Q4" s="3">
        <v>5.6</v>
      </c>
      <c r="R4" s="3">
        <v>3.2</v>
      </c>
      <c r="S4" s="3">
        <v>12.4</v>
      </c>
      <c r="T4" s="3">
        <v>4.8000000000000001E-2</v>
      </c>
      <c r="U4" s="3">
        <v>-1.9</v>
      </c>
      <c r="V4" s="3">
        <v>0.4</v>
      </c>
    </row>
    <row r="5" spans="1:22" hidden="1">
      <c r="A5" s="1">
        <v>4</v>
      </c>
      <c r="B5" s="3">
        <v>4</v>
      </c>
      <c r="C5" s="3" t="s">
        <v>31</v>
      </c>
      <c r="D5" s="3" t="s">
        <v>646</v>
      </c>
      <c r="E5" s="3" t="s">
        <v>59</v>
      </c>
      <c r="F5" s="3">
        <v>6</v>
      </c>
      <c r="G5" s="3">
        <v>300</v>
      </c>
      <c r="H5" s="3">
        <v>9144</v>
      </c>
      <c r="I5" s="3">
        <v>4453</v>
      </c>
      <c r="J5" s="3">
        <v>1223</v>
      </c>
      <c r="K5" s="3">
        <v>462</v>
      </c>
      <c r="L5" s="3">
        <v>0.44900000000000001</v>
      </c>
      <c r="M5" s="3">
        <v>0.36799999999999999</v>
      </c>
      <c r="N5" s="3">
        <v>0.81899999999999995</v>
      </c>
      <c r="O5" s="3">
        <v>30.5</v>
      </c>
      <c r="P5" s="3">
        <v>14.8</v>
      </c>
      <c r="Q5" s="3">
        <v>4.0999999999999996</v>
      </c>
      <c r="R5" s="3">
        <v>1.5</v>
      </c>
      <c r="S5" s="3">
        <v>9.9</v>
      </c>
      <c r="T5" s="3">
        <v>5.1999999999999998E-2</v>
      </c>
      <c r="U5" s="3">
        <v>-2.9</v>
      </c>
      <c r="V5" s="3">
        <v>-2.1</v>
      </c>
    </row>
    <row r="6" spans="1:22" hidden="1">
      <c r="A6" s="1">
        <v>5</v>
      </c>
      <c r="B6" s="3">
        <v>5</v>
      </c>
      <c r="C6" s="3" t="s">
        <v>76</v>
      </c>
      <c r="D6" s="3" t="s">
        <v>647</v>
      </c>
      <c r="E6" s="3" t="s">
        <v>592</v>
      </c>
      <c r="F6" s="3">
        <v>6</v>
      </c>
      <c r="G6" s="3">
        <v>357</v>
      </c>
      <c r="H6" s="3">
        <v>11909</v>
      </c>
      <c r="I6" s="3">
        <v>6753</v>
      </c>
      <c r="J6" s="3">
        <v>929</v>
      </c>
      <c r="K6" s="3">
        <v>2388</v>
      </c>
      <c r="L6" s="3">
        <v>0.45600000000000002</v>
      </c>
      <c r="M6" s="3">
        <v>0.39200000000000002</v>
      </c>
      <c r="N6" s="3">
        <v>0.86599999999999999</v>
      </c>
      <c r="O6" s="3">
        <v>33.4</v>
      </c>
      <c r="P6" s="3">
        <v>18.899999999999999</v>
      </c>
      <c r="Q6" s="3">
        <v>2.6</v>
      </c>
      <c r="R6" s="3">
        <v>6.7</v>
      </c>
      <c r="S6" s="3">
        <v>22.7</v>
      </c>
      <c r="T6" s="3">
        <v>9.1999999999999998E-2</v>
      </c>
      <c r="U6" s="3">
        <v>0.3</v>
      </c>
      <c r="V6" s="3">
        <v>6.8</v>
      </c>
    </row>
    <row r="7" spans="1:22" hidden="1">
      <c r="A7" s="1">
        <v>6</v>
      </c>
      <c r="B7" s="3">
        <v>6</v>
      </c>
      <c r="C7" s="3" t="s">
        <v>323</v>
      </c>
      <c r="D7" s="3" t="s">
        <v>648</v>
      </c>
      <c r="E7" s="3" t="s">
        <v>621</v>
      </c>
      <c r="F7" s="3">
        <v>4</v>
      </c>
      <c r="G7" s="3">
        <v>144</v>
      </c>
      <c r="H7" s="3">
        <v>2480</v>
      </c>
      <c r="I7" s="3">
        <v>934</v>
      </c>
      <c r="J7" s="3">
        <v>402</v>
      </c>
      <c r="K7" s="3">
        <v>173</v>
      </c>
      <c r="L7" s="3">
        <v>0.40100000000000002</v>
      </c>
      <c r="M7" s="3">
        <v>0.27600000000000002</v>
      </c>
      <c r="N7" s="3">
        <v>0.50900000000000001</v>
      </c>
      <c r="O7" s="3">
        <v>17.2</v>
      </c>
      <c r="P7" s="3">
        <v>6.5</v>
      </c>
      <c r="Q7" s="3">
        <v>2.8</v>
      </c>
      <c r="R7" s="3">
        <v>1.2</v>
      </c>
      <c r="S7" s="3">
        <v>-0.1</v>
      </c>
      <c r="T7" s="3">
        <v>-1E-3</v>
      </c>
      <c r="U7" s="3">
        <v>-4.5</v>
      </c>
      <c r="V7" s="3">
        <v>-1.6</v>
      </c>
    </row>
    <row r="8" spans="1:22" hidden="1">
      <c r="A8" s="1">
        <v>7</v>
      </c>
      <c r="B8" s="3">
        <v>7</v>
      </c>
      <c r="C8" s="3" t="s">
        <v>99</v>
      </c>
      <c r="D8" s="3" t="s">
        <v>649</v>
      </c>
      <c r="E8" s="3" t="s">
        <v>78</v>
      </c>
      <c r="F8" s="3">
        <v>6</v>
      </c>
      <c r="G8" s="3">
        <v>394</v>
      </c>
      <c r="H8" s="3">
        <v>11616</v>
      </c>
      <c r="I8" s="3">
        <v>5757</v>
      </c>
      <c r="J8" s="3">
        <v>1418</v>
      </c>
      <c r="K8" s="3">
        <v>1501</v>
      </c>
      <c r="L8" s="3">
        <v>0.42899999999999999</v>
      </c>
      <c r="M8" s="3">
        <v>0.371</v>
      </c>
      <c r="N8" s="3">
        <v>0.85699999999999998</v>
      </c>
      <c r="O8" s="3">
        <v>29.5</v>
      </c>
      <c r="P8" s="3">
        <v>14.6</v>
      </c>
      <c r="Q8" s="3">
        <v>3.6</v>
      </c>
      <c r="R8" s="3">
        <v>3.8</v>
      </c>
      <c r="S8" s="3">
        <v>15.5</v>
      </c>
      <c r="T8" s="3">
        <v>6.4000000000000001E-2</v>
      </c>
      <c r="U8" s="3">
        <v>-1.7</v>
      </c>
      <c r="V8" s="3">
        <v>0.9</v>
      </c>
    </row>
    <row r="9" spans="1:22" hidden="1">
      <c r="A9" s="1">
        <v>8</v>
      </c>
      <c r="B9" s="3">
        <v>8</v>
      </c>
      <c r="C9" s="3" t="s">
        <v>184</v>
      </c>
      <c r="D9" s="3" t="s">
        <v>650</v>
      </c>
      <c r="E9" s="3" t="s">
        <v>530</v>
      </c>
      <c r="F9" s="3">
        <v>6</v>
      </c>
      <c r="G9" s="3">
        <v>340</v>
      </c>
      <c r="H9" s="3">
        <v>5445</v>
      </c>
      <c r="I9" s="3">
        <v>2275</v>
      </c>
      <c r="J9" s="3">
        <v>1299</v>
      </c>
      <c r="K9" s="3">
        <v>230</v>
      </c>
      <c r="L9" s="3">
        <v>0.63900000000000001</v>
      </c>
      <c r="M9" s="3">
        <v>0.26300000000000001</v>
      </c>
      <c r="N9" s="3">
        <v>0.70899999999999996</v>
      </c>
      <c r="O9" s="3">
        <v>16</v>
      </c>
      <c r="P9" s="3">
        <v>6.7</v>
      </c>
      <c r="Q9" s="3">
        <v>3.8</v>
      </c>
      <c r="R9" s="3">
        <v>0.7</v>
      </c>
      <c r="S9" s="3">
        <v>18.2</v>
      </c>
      <c r="T9" s="3">
        <v>0.16</v>
      </c>
      <c r="U9" s="3">
        <v>-0.4</v>
      </c>
      <c r="V9" s="3">
        <v>2.2000000000000002</v>
      </c>
    </row>
    <row r="10" spans="1:22" hidden="1">
      <c r="A10" s="1">
        <v>9</v>
      </c>
      <c r="B10" s="3">
        <v>9</v>
      </c>
      <c r="C10" s="3" t="s">
        <v>69</v>
      </c>
      <c r="D10" s="3" t="s">
        <v>651</v>
      </c>
      <c r="E10" s="3" t="s">
        <v>43</v>
      </c>
      <c r="F10" s="3">
        <v>6</v>
      </c>
      <c r="G10" s="3">
        <v>321</v>
      </c>
      <c r="H10" s="3">
        <v>8855</v>
      </c>
      <c r="I10" s="3">
        <v>4104</v>
      </c>
      <c r="J10" s="3">
        <v>1566</v>
      </c>
      <c r="K10" s="3">
        <v>420</v>
      </c>
      <c r="L10" s="3">
        <v>0.495</v>
      </c>
      <c r="M10" s="3">
        <v>0.38100000000000001</v>
      </c>
      <c r="N10" s="3">
        <v>0.76600000000000001</v>
      </c>
      <c r="O10" s="3">
        <v>27.6</v>
      </c>
      <c r="P10" s="3">
        <v>12.8</v>
      </c>
      <c r="Q10" s="3">
        <v>4.9000000000000004</v>
      </c>
      <c r="R10" s="3">
        <v>1.3</v>
      </c>
      <c r="S10" s="3">
        <v>14.3</v>
      </c>
      <c r="T10" s="3">
        <v>7.8E-2</v>
      </c>
      <c r="U10" s="3">
        <v>-2</v>
      </c>
      <c r="V10" s="3">
        <v>-0.1</v>
      </c>
    </row>
    <row r="11" spans="1:22" hidden="1">
      <c r="A11" s="1">
        <v>10</v>
      </c>
      <c r="B11" s="3">
        <v>10</v>
      </c>
      <c r="C11" s="3" t="s">
        <v>184</v>
      </c>
      <c r="D11" s="3" t="s">
        <v>652</v>
      </c>
      <c r="E11" s="3" t="s">
        <v>171</v>
      </c>
      <c r="F11" s="3">
        <v>6</v>
      </c>
      <c r="G11" s="3">
        <v>252</v>
      </c>
      <c r="H11" s="3">
        <v>5847</v>
      </c>
      <c r="I11" s="3">
        <v>2149</v>
      </c>
      <c r="J11" s="3">
        <v>674</v>
      </c>
      <c r="K11" s="3">
        <v>297</v>
      </c>
      <c r="L11" s="3">
        <v>0.39900000000000002</v>
      </c>
      <c r="M11" s="3">
        <v>0.32200000000000001</v>
      </c>
      <c r="N11" s="3">
        <v>0.82099999999999995</v>
      </c>
      <c r="O11" s="3">
        <v>23.2</v>
      </c>
      <c r="P11" s="3">
        <v>8.5</v>
      </c>
      <c r="Q11" s="3">
        <v>2.7</v>
      </c>
      <c r="R11" s="3">
        <v>1.2</v>
      </c>
      <c r="S11" s="3">
        <v>3.3</v>
      </c>
      <c r="T11" s="3">
        <v>2.7E-2</v>
      </c>
      <c r="U11" s="3">
        <v>-3.1</v>
      </c>
      <c r="V11" s="3">
        <v>-1.6</v>
      </c>
    </row>
    <row r="12" spans="1:22" hidden="1">
      <c r="A12" s="1">
        <v>11</v>
      </c>
      <c r="B12" s="3">
        <v>11</v>
      </c>
      <c r="C12" s="3" t="s">
        <v>135</v>
      </c>
      <c r="D12" s="3" t="s">
        <v>653</v>
      </c>
      <c r="E12" s="3" t="s">
        <v>78</v>
      </c>
      <c r="F12" s="3">
        <v>6</v>
      </c>
      <c r="G12" s="3">
        <v>320</v>
      </c>
      <c r="H12" s="3">
        <v>8405</v>
      </c>
      <c r="I12" s="3">
        <v>4039</v>
      </c>
      <c r="J12" s="3">
        <v>1246</v>
      </c>
      <c r="K12" s="3">
        <v>578</v>
      </c>
      <c r="L12" s="3">
        <v>0.45400000000000001</v>
      </c>
      <c r="M12" s="3">
        <v>0.39600000000000002</v>
      </c>
      <c r="N12" s="3">
        <v>0.84499999999999997</v>
      </c>
      <c r="O12" s="3">
        <v>26.3</v>
      </c>
      <c r="P12" s="3">
        <v>12.6</v>
      </c>
      <c r="Q12" s="3">
        <v>3.9</v>
      </c>
      <c r="R12" s="3">
        <v>1.8</v>
      </c>
      <c r="S12" s="3">
        <v>21.2</v>
      </c>
      <c r="T12" s="3">
        <v>0.121</v>
      </c>
      <c r="U12" s="3">
        <v>1.5</v>
      </c>
      <c r="V12" s="3">
        <v>7.5</v>
      </c>
    </row>
    <row r="13" spans="1:22" hidden="1">
      <c r="A13" s="1">
        <v>12</v>
      </c>
      <c r="B13" s="3">
        <v>12</v>
      </c>
      <c r="C13" s="3" t="s">
        <v>119</v>
      </c>
      <c r="D13" s="3" t="s">
        <v>654</v>
      </c>
      <c r="E13" s="3" t="s">
        <v>173</v>
      </c>
      <c r="F13" s="3">
        <v>6</v>
      </c>
      <c r="G13" s="3">
        <v>376</v>
      </c>
      <c r="H13" s="3">
        <v>11482</v>
      </c>
      <c r="I13" s="3">
        <v>4897</v>
      </c>
      <c r="J13" s="3">
        <v>2194</v>
      </c>
      <c r="K13" s="3">
        <v>846</v>
      </c>
      <c r="L13" s="3">
        <v>0.44600000000000001</v>
      </c>
      <c r="M13" s="3">
        <v>0.35699999999999998</v>
      </c>
      <c r="N13" s="3">
        <v>0.71399999999999997</v>
      </c>
      <c r="O13" s="3">
        <v>30.5</v>
      </c>
      <c r="P13" s="3">
        <v>13</v>
      </c>
      <c r="Q13" s="3">
        <v>5.8</v>
      </c>
      <c r="R13" s="3">
        <v>2.2999999999999998</v>
      </c>
      <c r="S13" s="3">
        <v>14.9</v>
      </c>
      <c r="T13" s="3">
        <v>6.2E-2</v>
      </c>
      <c r="U13" s="3">
        <v>-1.1000000000000001</v>
      </c>
      <c r="V13" s="3">
        <v>2.5</v>
      </c>
    </row>
    <row r="14" spans="1:22" hidden="1">
      <c r="A14" s="1">
        <v>13</v>
      </c>
      <c r="B14" s="3">
        <v>13</v>
      </c>
      <c r="C14" s="3" t="s">
        <v>72</v>
      </c>
      <c r="D14" s="3" t="s">
        <v>655</v>
      </c>
      <c r="E14" s="3" t="s">
        <v>173</v>
      </c>
      <c r="F14" s="3">
        <v>6</v>
      </c>
      <c r="G14" s="3">
        <v>333</v>
      </c>
      <c r="H14" s="3">
        <v>10782</v>
      </c>
      <c r="I14" s="3">
        <v>6310</v>
      </c>
      <c r="J14" s="3">
        <v>1676</v>
      </c>
      <c r="K14" s="3">
        <v>1308</v>
      </c>
      <c r="L14" s="3">
        <v>0.44400000000000001</v>
      </c>
      <c r="M14" s="3">
        <v>0.38600000000000001</v>
      </c>
      <c r="N14" s="3">
        <v>0.87</v>
      </c>
      <c r="O14" s="3">
        <v>32.4</v>
      </c>
      <c r="P14" s="3">
        <v>18.899999999999999</v>
      </c>
      <c r="Q14" s="3">
        <v>5</v>
      </c>
      <c r="R14" s="3">
        <v>3.9</v>
      </c>
      <c r="S14" s="3">
        <v>17</v>
      </c>
      <c r="T14" s="3">
        <v>7.5999999999999998E-2</v>
      </c>
      <c r="U14" s="3">
        <v>0.4</v>
      </c>
      <c r="V14" s="3">
        <v>6.6</v>
      </c>
    </row>
    <row r="15" spans="1:22" hidden="1">
      <c r="A15" s="1">
        <v>14</v>
      </c>
      <c r="B15" s="3">
        <v>14</v>
      </c>
      <c r="C15" s="3" t="s">
        <v>190</v>
      </c>
      <c r="D15" s="3" t="s">
        <v>656</v>
      </c>
      <c r="E15" s="3" t="s">
        <v>195</v>
      </c>
      <c r="F15" s="3">
        <v>4</v>
      </c>
      <c r="G15" s="3">
        <v>141</v>
      </c>
      <c r="H15" s="3">
        <v>2268</v>
      </c>
      <c r="I15" s="3">
        <v>650</v>
      </c>
      <c r="J15" s="3">
        <v>298</v>
      </c>
      <c r="K15" s="3">
        <v>97</v>
      </c>
      <c r="L15" s="3">
        <v>0.43</v>
      </c>
      <c r="M15" s="3">
        <v>0.28799999999999998</v>
      </c>
      <c r="N15" s="3">
        <v>0.65900000000000003</v>
      </c>
      <c r="O15" s="3">
        <v>16.100000000000001</v>
      </c>
      <c r="P15" s="3">
        <v>4.5999999999999996</v>
      </c>
      <c r="Q15" s="3">
        <v>2.1</v>
      </c>
      <c r="R15" s="3">
        <v>0.7</v>
      </c>
      <c r="S15" s="3">
        <v>2</v>
      </c>
      <c r="T15" s="3">
        <v>4.2999999999999997E-2</v>
      </c>
      <c r="U15" s="3">
        <v>-3.4</v>
      </c>
      <c r="V15" s="3">
        <v>-0.8</v>
      </c>
    </row>
    <row r="16" spans="1:22" hidden="1">
      <c r="A16" s="1">
        <v>15</v>
      </c>
      <c r="B16" s="3">
        <v>15</v>
      </c>
      <c r="C16" s="3" t="s">
        <v>34</v>
      </c>
      <c r="D16" s="3" t="s">
        <v>657</v>
      </c>
      <c r="E16" s="2"/>
      <c r="F16" s="3">
        <v>3</v>
      </c>
      <c r="G16" s="3">
        <v>96</v>
      </c>
      <c r="H16" s="3">
        <v>1639</v>
      </c>
      <c r="I16" s="3">
        <v>542</v>
      </c>
      <c r="J16" s="3">
        <v>267</v>
      </c>
      <c r="K16" s="3">
        <v>66</v>
      </c>
      <c r="L16" s="3">
        <v>0.38800000000000001</v>
      </c>
      <c r="M16" s="3">
        <v>0.25600000000000001</v>
      </c>
      <c r="N16" s="3">
        <v>0.69299999999999995</v>
      </c>
      <c r="O16" s="3">
        <v>17.100000000000001</v>
      </c>
      <c r="P16" s="3">
        <v>5.6</v>
      </c>
      <c r="Q16" s="3">
        <v>2.8</v>
      </c>
      <c r="R16" s="3">
        <v>0.7</v>
      </c>
      <c r="S16" s="3">
        <v>-0.4</v>
      </c>
      <c r="T16" s="3">
        <v>-1.2999999999999999E-2</v>
      </c>
      <c r="U16" s="3">
        <v>-6.5</v>
      </c>
      <c r="V16" s="3">
        <v>-1.8</v>
      </c>
    </row>
    <row r="17" spans="1:22" hidden="1">
      <c r="A17" s="1">
        <v>16</v>
      </c>
      <c r="B17" s="3">
        <v>16</v>
      </c>
      <c r="C17" s="3" t="s">
        <v>179</v>
      </c>
      <c r="D17" s="3" t="s">
        <v>658</v>
      </c>
      <c r="E17" s="3" t="s">
        <v>445</v>
      </c>
      <c r="F17" s="3">
        <v>5</v>
      </c>
      <c r="G17" s="3">
        <v>190</v>
      </c>
      <c r="H17" s="3">
        <v>3834</v>
      </c>
      <c r="I17" s="3">
        <v>1189</v>
      </c>
      <c r="J17" s="3">
        <v>705</v>
      </c>
      <c r="K17" s="3">
        <v>276</v>
      </c>
      <c r="L17" s="3">
        <v>0.38300000000000001</v>
      </c>
      <c r="M17" s="3">
        <v>0.318</v>
      </c>
      <c r="N17" s="3">
        <v>0.78900000000000003</v>
      </c>
      <c r="O17" s="3">
        <v>20.2</v>
      </c>
      <c r="P17" s="3">
        <v>6.3</v>
      </c>
      <c r="Q17" s="3">
        <v>3.7</v>
      </c>
      <c r="R17" s="3">
        <v>1.5</v>
      </c>
      <c r="S17" s="3">
        <v>4.4000000000000004</v>
      </c>
      <c r="T17" s="3">
        <v>5.5E-2</v>
      </c>
      <c r="U17" s="3">
        <v>-1.1000000000000001</v>
      </c>
      <c r="V17" s="3">
        <v>0.9</v>
      </c>
    </row>
    <row r="18" spans="1:22" hidden="1">
      <c r="A18" s="1">
        <v>17</v>
      </c>
      <c r="B18" s="3">
        <v>17</v>
      </c>
      <c r="C18" s="3" t="s">
        <v>47</v>
      </c>
      <c r="D18" s="3" t="s">
        <v>659</v>
      </c>
      <c r="E18" s="3" t="s">
        <v>660</v>
      </c>
      <c r="F18" s="3">
        <v>6</v>
      </c>
      <c r="G18" s="3">
        <v>352</v>
      </c>
      <c r="H18" s="3">
        <v>7149</v>
      </c>
      <c r="I18" s="3">
        <v>2954</v>
      </c>
      <c r="J18" s="3">
        <v>839</v>
      </c>
      <c r="K18" s="3">
        <v>790</v>
      </c>
      <c r="L18" s="3">
        <v>0.41199999999999998</v>
      </c>
      <c r="M18" s="3">
        <v>0.36099999999999999</v>
      </c>
      <c r="N18" s="3">
        <v>0.73199999999999998</v>
      </c>
      <c r="O18" s="3">
        <v>20.3</v>
      </c>
      <c r="P18" s="3">
        <v>8.4</v>
      </c>
      <c r="Q18" s="3">
        <v>2.4</v>
      </c>
      <c r="R18" s="3">
        <v>2.2000000000000002</v>
      </c>
      <c r="S18" s="3">
        <v>8.4</v>
      </c>
      <c r="T18" s="3">
        <v>5.6000000000000001E-2</v>
      </c>
      <c r="U18" s="3">
        <v>-1.4</v>
      </c>
      <c r="V18" s="3">
        <v>1.1000000000000001</v>
      </c>
    </row>
    <row r="19" spans="1:22" hidden="1">
      <c r="A19" s="1">
        <v>18</v>
      </c>
      <c r="B19" s="3">
        <v>18</v>
      </c>
      <c r="C19" s="3" t="s">
        <v>41</v>
      </c>
      <c r="D19" s="3" t="s">
        <v>661</v>
      </c>
      <c r="E19" s="2"/>
      <c r="F19" s="3">
        <v>6</v>
      </c>
      <c r="G19" s="3">
        <v>292</v>
      </c>
      <c r="H19" s="3">
        <v>4204</v>
      </c>
      <c r="I19" s="3">
        <v>1616</v>
      </c>
      <c r="J19" s="3">
        <v>1205</v>
      </c>
      <c r="K19" s="3">
        <v>329</v>
      </c>
      <c r="L19" s="3">
        <v>0.53900000000000003</v>
      </c>
      <c r="M19" s="3">
        <v>0.23499999999999999</v>
      </c>
      <c r="N19" s="3">
        <v>0.66400000000000003</v>
      </c>
      <c r="O19" s="3">
        <v>14.4</v>
      </c>
      <c r="P19" s="3">
        <v>5.5</v>
      </c>
      <c r="Q19" s="3">
        <v>4.0999999999999996</v>
      </c>
      <c r="R19" s="3">
        <v>1.1000000000000001</v>
      </c>
      <c r="S19" s="3">
        <v>13.1</v>
      </c>
      <c r="T19" s="3">
        <v>0.15</v>
      </c>
      <c r="U19" s="3">
        <v>0.7</v>
      </c>
      <c r="V19" s="3">
        <v>2.8</v>
      </c>
    </row>
    <row r="20" spans="1:22" hidden="1">
      <c r="A20" s="1">
        <v>19</v>
      </c>
      <c r="B20" s="3">
        <v>19</v>
      </c>
      <c r="C20" s="3" t="s">
        <v>79</v>
      </c>
      <c r="D20" s="3" t="s">
        <v>662</v>
      </c>
      <c r="E20" s="2"/>
      <c r="F20" s="3">
        <v>4</v>
      </c>
      <c r="G20" s="3">
        <v>86</v>
      </c>
      <c r="H20" s="3">
        <v>921</v>
      </c>
      <c r="I20" s="3">
        <v>384</v>
      </c>
      <c r="J20" s="3">
        <v>210</v>
      </c>
      <c r="K20" s="3">
        <v>55</v>
      </c>
      <c r="L20" s="3">
        <v>0.41099999999999998</v>
      </c>
      <c r="M20" s="3">
        <v>0.247</v>
      </c>
      <c r="N20" s="3">
        <v>0.70599999999999996</v>
      </c>
      <c r="O20" s="3">
        <v>10.7</v>
      </c>
      <c r="P20" s="3">
        <v>4.5</v>
      </c>
      <c r="Q20" s="3">
        <v>2.4</v>
      </c>
      <c r="R20" s="3">
        <v>0.6</v>
      </c>
      <c r="S20" s="3">
        <v>0</v>
      </c>
      <c r="T20" s="3">
        <v>1E-3</v>
      </c>
      <c r="U20" s="3">
        <v>-5.6</v>
      </c>
      <c r="V20" s="3">
        <v>-0.8</v>
      </c>
    </row>
    <row r="21" spans="1:22" hidden="1">
      <c r="A21" s="1">
        <v>20</v>
      </c>
      <c r="B21" s="3">
        <v>20</v>
      </c>
      <c r="C21" s="3" t="s">
        <v>190</v>
      </c>
      <c r="D21" s="3" t="s">
        <v>663</v>
      </c>
      <c r="E21" s="3" t="s">
        <v>38</v>
      </c>
      <c r="F21" s="3">
        <v>5</v>
      </c>
      <c r="G21" s="3">
        <v>332</v>
      </c>
      <c r="H21" s="3">
        <v>6957</v>
      </c>
      <c r="I21" s="3">
        <v>1586</v>
      </c>
      <c r="J21" s="3">
        <v>658</v>
      </c>
      <c r="K21" s="3">
        <v>360</v>
      </c>
      <c r="L21" s="3">
        <v>0.435</v>
      </c>
      <c r="M21" s="3">
        <v>0.33800000000000002</v>
      </c>
      <c r="N21" s="3">
        <v>0.67900000000000005</v>
      </c>
      <c r="O21" s="3">
        <v>21</v>
      </c>
      <c r="P21" s="3">
        <v>4.8</v>
      </c>
      <c r="Q21" s="3">
        <v>2</v>
      </c>
      <c r="R21" s="3">
        <v>1.1000000000000001</v>
      </c>
      <c r="S21" s="3">
        <v>13.2</v>
      </c>
      <c r="T21" s="3">
        <v>9.0999999999999998E-2</v>
      </c>
      <c r="U21" s="3">
        <v>0.7</v>
      </c>
      <c r="V21" s="3">
        <v>4.7</v>
      </c>
    </row>
    <row r="22" spans="1:22" hidden="1">
      <c r="A22" s="1">
        <v>21</v>
      </c>
      <c r="B22" s="3">
        <v>21</v>
      </c>
      <c r="C22" s="3" t="s">
        <v>82</v>
      </c>
      <c r="D22" s="3" t="s">
        <v>664</v>
      </c>
      <c r="E22" s="3" t="s">
        <v>43</v>
      </c>
      <c r="F22" s="3">
        <v>6</v>
      </c>
      <c r="G22" s="3">
        <v>291</v>
      </c>
      <c r="H22" s="3">
        <v>6091</v>
      </c>
      <c r="I22" s="3">
        <v>2979</v>
      </c>
      <c r="J22" s="3">
        <v>1598</v>
      </c>
      <c r="K22" s="3">
        <v>389</v>
      </c>
      <c r="L22" s="3">
        <v>0.60399999999999998</v>
      </c>
      <c r="M22" s="3">
        <v>0.26700000000000002</v>
      </c>
      <c r="N22" s="3">
        <v>0.69599999999999995</v>
      </c>
      <c r="O22" s="3">
        <v>20.9</v>
      </c>
      <c r="P22" s="3">
        <v>10.199999999999999</v>
      </c>
      <c r="Q22" s="3">
        <v>5.5</v>
      </c>
      <c r="R22" s="3">
        <v>1.3</v>
      </c>
      <c r="S22" s="3">
        <v>23.5</v>
      </c>
      <c r="T22" s="3">
        <v>0.186</v>
      </c>
      <c r="U22" s="3">
        <v>2.4</v>
      </c>
      <c r="V22" s="3">
        <v>6.8</v>
      </c>
    </row>
    <row r="23" spans="1:22" hidden="1">
      <c r="A23" s="1">
        <v>22</v>
      </c>
      <c r="B23" s="3">
        <v>22</v>
      </c>
      <c r="C23" s="3" t="s">
        <v>190</v>
      </c>
      <c r="D23" s="3" t="s">
        <v>665</v>
      </c>
      <c r="E23" s="3" t="s">
        <v>115</v>
      </c>
      <c r="F23" s="3">
        <v>6</v>
      </c>
      <c r="G23" s="3">
        <v>380</v>
      </c>
      <c r="H23" s="3">
        <v>8710</v>
      </c>
      <c r="I23" s="3">
        <v>2724</v>
      </c>
      <c r="J23" s="3">
        <v>1393</v>
      </c>
      <c r="K23" s="3">
        <v>552</v>
      </c>
      <c r="L23" s="3">
        <v>0.45200000000000001</v>
      </c>
      <c r="M23" s="3">
        <v>0.377</v>
      </c>
      <c r="N23" s="3">
        <v>0.77400000000000002</v>
      </c>
      <c r="O23" s="3">
        <v>22.9</v>
      </c>
      <c r="P23" s="3">
        <v>7.2</v>
      </c>
      <c r="Q23" s="3">
        <v>3.7</v>
      </c>
      <c r="R23" s="3">
        <v>1.5</v>
      </c>
      <c r="S23" s="3">
        <v>15.6</v>
      </c>
      <c r="T23" s="3">
        <v>8.5999999999999993E-2</v>
      </c>
      <c r="U23" s="3">
        <v>-1.9</v>
      </c>
      <c r="V23" s="3">
        <v>0.3</v>
      </c>
    </row>
    <row r="24" spans="1:22" hidden="1">
      <c r="A24" s="1">
        <v>23</v>
      </c>
      <c r="B24" s="3">
        <v>23</v>
      </c>
      <c r="C24" s="3" t="s">
        <v>193</v>
      </c>
      <c r="D24" s="3" t="s">
        <v>666</v>
      </c>
      <c r="E24" s="2"/>
      <c r="F24" s="3">
        <v>5</v>
      </c>
      <c r="G24" s="3">
        <v>237</v>
      </c>
      <c r="H24" s="3">
        <v>5536</v>
      </c>
      <c r="I24" s="3">
        <v>2113</v>
      </c>
      <c r="J24" s="3">
        <v>1244</v>
      </c>
      <c r="K24" s="3">
        <v>282</v>
      </c>
      <c r="L24" s="3">
        <v>0.41399999999999998</v>
      </c>
      <c r="M24" s="3">
        <v>0.309</v>
      </c>
      <c r="N24" s="3">
        <v>0.67700000000000005</v>
      </c>
      <c r="O24" s="3">
        <v>23.4</v>
      </c>
      <c r="P24" s="3">
        <v>8.9</v>
      </c>
      <c r="Q24" s="3">
        <v>5.2</v>
      </c>
      <c r="R24" s="3">
        <v>1.2</v>
      </c>
      <c r="S24" s="3">
        <v>3.1</v>
      </c>
      <c r="T24" s="3">
        <v>2.7E-2</v>
      </c>
      <c r="U24" s="3">
        <v>-2.4</v>
      </c>
      <c r="V24" s="3">
        <v>-0.6</v>
      </c>
    </row>
    <row r="25" spans="1:22" hidden="1">
      <c r="A25" s="1">
        <v>24</v>
      </c>
      <c r="B25" s="3">
        <v>24</v>
      </c>
      <c r="C25" s="3" t="s">
        <v>66</v>
      </c>
      <c r="D25" s="3" t="s">
        <v>667</v>
      </c>
      <c r="E25" s="3" t="s">
        <v>59</v>
      </c>
      <c r="F25" s="3">
        <v>6</v>
      </c>
      <c r="G25" s="3">
        <v>208</v>
      </c>
      <c r="H25" s="3">
        <v>3680</v>
      </c>
      <c r="I25" s="3">
        <v>1661</v>
      </c>
      <c r="J25" s="3">
        <v>415</v>
      </c>
      <c r="K25" s="3">
        <v>577</v>
      </c>
      <c r="L25" s="3">
        <v>0.44900000000000001</v>
      </c>
      <c r="M25" s="3">
        <v>0.371</v>
      </c>
      <c r="N25" s="3">
        <v>0.85099999999999998</v>
      </c>
      <c r="O25" s="3">
        <v>17.7</v>
      </c>
      <c r="P25" s="3">
        <v>8</v>
      </c>
      <c r="Q25" s="3">
        <v>2</v>
      </c>
      <c r="R25" s="3">
        <v>2.8</v>
      </c>
      <c r="S25" s="3">
        <v>7.9</v>
      </c>
      <c r="T25" s="3">
        <v>0.10299999999999999</v>
      </c>
      <c r="U25" s="3">
        <v>-0.2</v>
      </c>
      <c r="V25" s="3">
        <v>1.7</v>
      </c>
    </row>
    <row r="26" spans="1:22" hidden="1">
      <c r="A26" s="1">
        <v>25</v>
      </c>
      <c r="B26" s="3">
        <v>25</v>
      </c>
      <c r="C26" s="3" t="s">
        <v>124</v>
      </c>
      <c r="D26" s="3" t="s">
        <v>668</v>
      </c>
      <c r="E26" s="3" t="s">
        <v>78</v>
      </c>
      <c r="F26" s="3">
        <v>5</v>
      </c>
      <c r="G26" s="3">
        <v>237</v>
      </c>
      <c r="H26" s="3">
        <v>3735</v>
      </c>
      <c r="I26" s="3">
        <v>1313</v>
      </c>
      <c r="J26" s="3">
        <v>688</v>
      </c>
      <c r="K26" s="3">
        <v>170</v>
      </c>
      <c r="L26" s="3">
        <v>0.45200000000000001</v>
      </c>
      <c r="M26" s="3">
        <v>0.33</v>
      </c>
      <c r="N26" s="3">
        <v>0.73499999999999999</v>
      </c>
      <c r="O26" s="3">
        <v>15.8</v>
      </c>
      <c r="P26" s="3">
        <v>5.5</v>
      </c>
      <c r="Q26" s="3">
        <v>2.9</v>
      </c>
      <c r="R26" s="3">
        <v>0.7</v>
      </c>
      <c r="S26" s="3">
        <v>4.7</v>
      </c>
      <c r="T26" s="3">
        <v>6.0999999999999999E-2</v>
      </c>
      <c r="U26" s="3">
        <v>-2.6</v>
      </c>
      <c r="V26" s="3">
        <v>-0.5</v>
      </c>
    </row>
    <row r="27" spans="1:22" hidden="1">
      <c r="A27" s="1">
        <v>26</v>
      </c>
      <c r="B27" s="3">
        <v>26</v>
      </c>
      <c r="C27" s="3" t="s">
        <v>76</v>
      </c>
      <c r="D27" s="3" t="s">
        <v>669</v>
      </c>
      <c r="E27" s="3" t="s">
        <v>401</v>
      </c>
      <c r="F27" s="3">
        <v>4</v>
      </c>
      <c r="G27" s="3">
        <v>101</v>
      </c>
      <c r="H27" s="3">
        <v>1090</v>
      </c>
      <c r="I27" s="3">
        <v>319</v>
      </c>
      <c r="J27" s="3">
        <v>212</v>
      </c>
      <c r="K27" s="3">
        <v>78</v>
      </c>
      <c r="L27" s="3">
        <v>0.42499999999999999</v>
      </c>
      <c r="M27" s="3">
        <v>0.34699999999999998</v>
      </c>
      <c r="N27" s="3">
        <v>0.8</v>
      </c>
      <c r="O27" s="3">
        <v>10.8</v>
      </c>
      <c r="P27" s="3">
        <v>3.2</v>
      </c>
      <c r="Q27" s="3">
        <v>2.1</v>
      </c>
      <c r="R27" s="3">
        <v>0.8</v>
      </c>
      <c r="S27" s="3">
        <v>1.6</v>
      </c>
      <c r="T27" s="3">
        <v>7.1999999999999995E-2</v>
      </c>
      <c r="U27" s="3">
        <v>-1.4</v>
      </c>
      <c r="V27" s="3">
        <v>0.2</v>
      </c>
    </row>
    <row r="28" spans="1:22" hidden="1">
      <c r="A28" s="1">
        <v>27</v>
      </c>
      <c r="B28" s="3">
        <v>27</v>
      </c>
      <c r="C28" s="3" t="s">
        <v>47</v>
      </c>
      <c r="D28" s="3" t="s">
        <v>670</v>
      </c>
      <c r="E28" s="3" t="s">
        <v>182</v>
      </c>
      <c r="F28" s="3">
        <v>3</v>
      </c>
      <c r="G28" s="3">
        <v>55</v>
      </c>
      <c r="H28" s="3">
        <v>380</v>
      </c>
      <c r="I28" s="3">
        <v>143</v>
      </c>
      <c r="J28" s="3">
        <v>81</v>
      </c>
      <c r="K28" s="3">
        <v>19</v>
      </c>
      <c r="L28" s="3">
        <v>0.38300000000000001</v>
      </c>
      <c r="M28" s="3">
        <v>0.30099999999999999</v>
      </c>
      <c r="N28" s="3">
        <v>0.85199999999999998</v>
      </c>
      <c r="O28" s="3">
        <v>6.9</v>
      </c>
      <c r="P28" s="3">
        <v>2.6</v>
      </c>
      <c r="Q28" s="3">
        <v>1.5</v>
      </c>
      <c r="R28" s="3">
        <v>0.3</v>
      </c>
      <c r="S28" s="3">
        <v>0.4</v>
      </c>
      <c r="T28" s="3">
        <v>5.5E-2</v>
      </c>
      <c r="U28" s="3">
        <v>-3.6</v>
      </c>
      <c r="V28" s="3">
        <v>-0.2</v>
      </c>
    </row>
    <row r="29" spans="1:22" hidden="1">
      <c r="A29" s="1">
        <v>28</v>
      </c>
      <c r="B29" s="3">
        <v>28</v>
      </c>
      <c r="C29" s="3" t="s">
        <v>25</v>
      </c>
      <c r="D29" s="3" t="s">
        <v>671</v>
      </c>
      <c r="E29" s="3" t="s">
        <v>151</v>
      </c>
      <c r="F29" s="3">
        <v>6</v>
      </c>
      <c r="G29" s="3">
        <v>389</v>
      </c>
      <c r="H29" s="3">
        <v>10752</v>
      </c>
      <c r="I29" s="3">
        <v>6489</v>
      </c>
      <c r="J29" s="3">
        <v>1048</v>
      </c>
      <c r="K29" s="3">
        <v>1470</v>
      </c>
      <c r="L29" s="3">
        <v>0.41899999999999998</v>
      </c>
      <c r="M29" s="3">
        <v>0.34200000000000003</v>
      </c>
      <c r="N29" s="3">
        <v>0.876</v>
      </c>
      <c r="O29" s="3">
        <v>27.6</v>
      </c>
      <c r="P29" s="3">
        <v>16.7</v>
      </c>
      <c r="Q29" s="3">
        <v>2.7</v>
      </c>
      <c r="R29" s="3">
        <v>3.8</v>
      </c>
      <c r="S29" s="3">
        <v>10.1</v>
      </c>
      <c r="T29" s="3">
        <v>4.4999999999999998E-2</v>
      </c>
      <c r="U29" s="3">
        <v>-1.9</v>
      </c>
      <c r="V29" s="3">
        <v>0.2</v>
      </c>
    </row>
    <row r="30" spans="1:22" hidden="1">
      <c r="A30" s="1">
        <v>29</v>
      </c>
      <c r="B30" s="3">
        <v>29</v>
      </c>
      <c r="C30" s="3" t="s">
        <v>79</v>
      </c>
      <c r="D30" s="3" t="s">
        <v>672</v>
      </c>
      <c r="E30" s="3" t="s">
        <v>173</v>
      </c>
      <c r="F30" s="3">
        <v>6</v>
      </c>
      <c r="G30" s="3">
        <v>340</v>
      </c>
      <c r="H30" s="3">
        <v>9869</v>
      </c>
      <c r="I30" s="3">
        <v>5337</v>
      </c>
      <c r="J30" s="3">
        <v>1836</v>
      </c>
      <c r="K30" s="3">
        <v>735</v>
      </c>
      <c r="L30" s="3">
        <v>0.46400000000000002</v>
      </c>
      <c r="M30" s="3">
        <v>0.35199999999999998</v>
      </c>
      <c r="N30" s="3">
        <v>0.76100000000000001</v>
      </c>
      <c r="O30" s="3">
        <v>29</v>
      </c>
      <c r="P30" s="3">
        <v>15.7</v>
      </c>
      <c r="Q30" s="3">
        <v>5.4</v>
      </c>
      <c r="R30" s="3">
        <v>2.2000000000000002</v>
      </c>
      <c r="S30" s="3">
        <v>15.3</v>
      </c>
      <c r="T30" s="3">
        <v>7.3999999999999996E-2</v>
      </c>
      <c r="U30" s="3">
        <v>-1.4</v>
      </c>
      <c r="V30" s="3">
        <v>1.5</v>
      </c>
    </row>
    <row r="31" spans="1:22" hidden="1">
      <c r="A31" s="1">
        <v>30</v>
      </c>
      <c r="B31" s="3">
        <v>30</v>
      </c>
      <c r="C31" s="3" t="s">
        <v>57</v>
      </c>
      <c r="D31" s="3" t="s">
        <v>673</v>
      </c>
      <c r="E31" s="3" t="s">
        <v>105</v>
      </c>
      <c r="F31" s="3">
        <v>5</v>
      </c>
      <c r="G31" s="3">
        <v>241</v>
      </c>
      <c r="H31" s="3">
        <v>6812</v>
      </c>
      <c r="I31" s="3">
        <v>3427</v>
      </c>
      <c r="J31" s="3">
        <v>1002</v>
      </c>
      <c r="K31" s="3">
        <v>1131</v>
      </c>
      <c r="L31" s="3">
        <v>0.43</v>
      </c>
      <c r="M31" s="3">
        <v>0.34799999999999998</v>
      </c>
      <c r="N31" s="3">
        <v>0.71699999999999997</v>
      </c>
      <c r="O31" s="3">
        <v>28.3</v>
      </c>
      <c r="P31" s="3">
        <v>14.2</v>
      </c>
      <c r="Q31" s="3">
        <v>4.2</v>
      </c>
      <c r="R31" s="3">
        <v>4.7</v>
      </c>
      <c r="S31" s="3">
        <v>4.3</v>
      </c>
      <c r="T31" s="3">
        <v>0.03</v>
      </c>
      <c r="U31" s="3">
        <v>-1.7</v>
      </c>
      <c r="V31" s="3">
        <v>0.5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5">
      <c r="A33" s="1">
        <v>31</v>
      </c>
      <c r="B33" s="3">
        <v>31</v>
      </c>
      <c r="C33" s="3" t="s">
        <v>47</v>
      </c>
      <c r="D33" s="89" t="s">
        <v>48</v>
      </c>
      <c r="E33" s="3" t="s">
        <v>49</v>
      </c>
      <c r="F33" s="3">
        <v>6</v>
      </c>
      <c r="G33" s="3">
        <v>286</v>
      </c>
      <c r="H33" s="3">
        <v>7335</v>
      </c>
      <c r="I33" s="3">
        <v>2936</v>
      </c>
      <c r="J33" s="3">
        <v>2219</v>
      </c>
      <c r="K33" s="3">
        <v>466</v>
      </c>
      <c r="L33" s="3">
        <v>0.64100000000000001</v>
      </c>
      <c r="M33" s="3">
        <v>0.121</v>
      </c>
      <c r="N33" s="3">
        <v>0.54100000000000004</v>
      </c>
      <c r="O33" s="3">
        <v>25.6</v>
      </c>
      <c r="P33" s="3">
        <v>10.3</v>
      </c>
      <c r="Q33" s="3">
        <v>7.8</v>
      </c>
      <c r="R33" s="3">
        <v>1.6</v>
      </c>
      <c r="S33" s="3">
        <v>24.3</v>
      </c>
      <c r="T33" s="3">
        <v>0.159</v>
      </c>
      <c r="U33" s="3">
        <v>1.4</v>
      </c>
      <c r="V33" s="3">
        <v>6.2</v>
      </c>
    </row>
    <row r="34" spans="1:25">
      <c r="A34" s="1">
        <v>32</v>
      </c>
      <c r="B34" s="3">
        <v>32</v>
      </c>
      <c r="C34" s="3" t="s">
        <v>323</v>
      </c>
      <c r="D34" s="67" t="s">
        <v>674</v>
      </c>
      <c r="E34" s="3" t="s">
        <v>121</v>
      </c>
      <c r="F34" s="3">
        <v>4</v>
      </c>
      <c r="G34" s="3">
        <v>98</v>
      </c>
      <c r="H34" s="3">
        <v>965</v>
      </c>
      <c r="I34" s="3">
        <v>222</v>
      </c>
      <c r="J34" s="3">
        <v>148</v>
      </c>
      <c r="K34" s="3">
        <v>47</v>
      </c>
      <c r="L34" s="3">
        <v>0.40899999999999997</v>
      </c>
      <c r="M34" s="3">
        <v>0.28599999999999998</v>
      </c>
      <c r="N34" s="3">
        <v>0.66700000000000004</v>
      </c>
      <c r="O34" s="3">
        <v>9.8000000000000007</v>
      </c>
      <c r="P34" s="3">
        <v>2.2999999999999998</v>
      </c>
      <c r="Q34" s="3">
        <v>1.5</v>
      </c>
      <c r="R34" s="3">
        <v>0.5</v>
      </c>
      <c r="S34" s="3">
        <v>1</v>
      </c>
      <c r="T34" s="3">
        <v>0.05</v>
      </c>
      <c r="U34" s="3">
        <v>-4.7</v>
      </c>
      <c r="V34" s="3">
        <v>-0.7</v>
      </c>
      <c r="X34" s="135" t="s">
        <v>296</v>
      </c>
      <c r="Y34" s="3">
        <v>0</v>
      </c>
    </row>
    <row r="35" spans="1:25">
      <c r="A35" s="1">
        <v>33</v>
      </c>
      <c r="B35" s="3">
        <v>33</v>
      </c>
      <c r="C35" s="3" t="s">
        <v>66</v>
      </c>
      <c r="D35" s="67" t="s">
        <v>675</v>
      </c>
      <c r="E35" s="3" t="s">
        <v>143</v>
      </c>
      <c r="F35" s="3">
        <v>3</v>
      </c>
      <c r="G35" s="3">
        <v>72</v>
      </c>
      <c r="H35" s="3">
        <v>706</v>
      </c>
      <c r="I35" s="3">
        <v>267</v>
      </c>
      <c r="J35" s="3">
        <v>79</v>
      </c>
      <c r="K35" s="3">
        <v>52</v>
      </c>
      <c r="L35" s="3">
        <v>0.36399999999999999</v>
      </c>
      <c r="M35" s="3">
        <v>0.29699999999999999</v>
      </c>
      <c r="N35" s="3">
        <v>0.75800000000000001</v>
      </c>
      <c r="O35" s="3">
        <v>9.8000000000000007</v>
      </c>
      <c r="P35" s="3">
        <v>3.7</v>
      </c>
      <c r="Q35" s="3">
        <v>1.1000000000000001</v>
      </c>
      <c r="R35" s="3">
        <v>0.7</v>
      </c>
      <c r="S35" s="3">
        <v>0.3</v>
      </c>
      <c r="T35" s="3">
        <v>1.9E-2</v>
      </c>
      <c r="U35" s="3">
        <v>-5.0999999999999996</v>
      </c>
      <c r="V35" s="3">
        <v>-0.5</v>
      </c>
      <c r="X35" s="136" t="s">
        <v>298</v>
      </c>
      <c r="Y35" s="3">
        <v>0</v>
      </c>
    </row>
    <row r="36" spans="1:25">
      <c r="A36" s="1">
        <v>34</v>
      </c>
      <c r="B36" s="3">
        <v>34</v>
      </c>
      <c r="C36" s="3" t="s">
        <v>66</v>
      </c>
      <c r="D36" s="88" t="s">
        <v>676</v>
      </c>
      <c r="E36" s="3" t="s">
        <v>89</v>
      </c>
      <c r="F36" s="3">
        <v>6</v>
      </c>
      <c r="G36" s="3">
        <v>220</v>
      </c>
      <c r="H36" s="3">
        <v>2326</v>
      </c>
      <c r="I36" s="3">
        <v>872</v>
      </c>
      <c r="J36" s="3">
        <v>712</v>
      </c>
      <c r="K36" s="3">
        <v>161</v>
      </c>
      <c r="L36" s="3">
        <v>0.54300000000000004</v>
      </c>
      <c r="M36" s="3">
        <v>0.122</v>
      </c>
      <c r="N36" s="3">
        <v>0.65300000000000002</v>
      </c>
      <c r="O36" s="3">
        <v>10.6</v>
      </c>
      <c r="P36" s="3">
        <v>4</v>
      </c>
      <c r="Q36" s="3">
        <v>3.2</v>
      </c>
      <c r="R36" s="3">
        <v>0.7</v>
      </c>
      <c r="S36" s="3">
        <v>3.8</v>
      </c>
      <c r="T36" s="3">
        <v>7.8E-2</v>
      </c>
      <c r="U36" s="3">
        <v>-3</v>
      </c>
      <c r="V36" s="3">
        <v>-0.6</v>
      </c>
      <c r="X36" s="137" t="s">
        <v>39</v>
      </c>
      <c r="Y36" s="3">
        <v>1</v>
      </c>
    </row>
    <row r="37" spans="1:25">
      <c r="A37" s="1">
        <v>35</v>
      </c>
      <c r="B37" s="3">
        <v>35</v>
      </c>
      <c r="C37" s="3" t="s">
        <v>184</v>
      </c>
      <c r="D37" s="67" t="s">
        <v>677</v>
      </c>
      <c r="E37" s="2"/>
      <c r="F37" s="3">
        <v>2</v>
      </c>
      <c r="G37" s="3">
        <v>12</v>
      </c>
      <c r="H37" s="3">
        <v>185</v>
      </c>
      <c r="I37" s="3">
        <v>43</v>
      </c>
      <c r="J37" s="3">
        <v>20</v>
      </c>
      <c r="K37" s="3">
        <v>8</v>
      </c>
      <c r="L37" s="3">
        <v>0.32600000000000001</v>
      </c>
      <c r="M37" s="3">
        <v>0.35499999999999998</v>
      </c>
      <c r="N37" s="3">
        <v>1</v>
      </c>
      <c r="O37" s="3">
        <v>15.4</v>
      </c>
      <c r="P37" s="3">
        <v>3.6</v>
      </c>
      <c r="Q37" s="3">
        <v>1.7</v>
      </c>
      <c r="R37" s="3">
        <v>0.7</v>
      </c>
      <c r="S37" s="3">
        <v>-0.1</v>
      </c>
      <c r="T37" s="3">
        <v>-3.4000000000000002E-2</v>
      </c>
      <c r="U37" s="3">
        <v>-8.1</v>
      </c>
      <c r="V37" s="3">
        <v>-0.3</v>
      </c>
      <c r="X37" s="138" t="s">
        <v>106</v>
      </c>
      <c r="Y37" s="3">
        <v>1</v>
      </c>
    </row>
    <row r="38" spans="1:25">
      <c r="A38" s="1">
        <v>36</v>
      </c>
      <c r="B38" s="3">
        <v>36</v>
      </c>
      <c r="C38" s="3" t="s">
        <v>119</v>
      </c>
      <c r="D38" s="82" t="s">
        <v>178</v>
      </c>
      <c r="E38" s="3" t="s">
        <v>147</v>
      </c>
      <c r="F38" s="3">
        <v>6</v>
      </c>
      <c r="G38" s="3">
        <v>245</v>
      </c>
      <c r="H38" s="3">
        <v>5472</v>
      </c>
      <c r="I38" s="3">
        <v>1541</v>
      </c>
      <c r="J38" s="3">
        <v>913</v>
      </c>
      <c r="K38" s="3">
        <v>564</v>
      </c>
      <c r="L38" s="3">
        <v>0.44</v>
      </c>
      <c r="M38" s="3">
        <v>0.31900000000000001</v>
      </c>
      <c r="N38" s="3">
        <v>0.65800000000000003</v>
      </c>
      <c r="O38" s="3">
        <v>22.3</v>
      </c>
      <c r="P38" s="3">
        <v>6.3</v>
      </c>
      <c r="Q38" s="3">
        <v>3.7</v>
      </c>
      <c r="R38" s="3">
        <v>2.2999999999999998</v>
      </c>
      <c r="S38" s="3">
        <v>7.5</v>
      </c>
      <c r="T38" s="3">
        <v>6.5000000000000002E-2</v>
      </c>
      <c r="U38" s="3">
        <v>-1.6</v>
      </c>
      <c r="V38" s="3">
        <v>0.6</v>
      </c>
      <c r="X38" s="139" t="s">
        <v>678</v>
      </c>
      <c r="Y38" s="3">
        <v>3</v>
      </c>
    </row>
    <row r="39" spans="1:25">
      <c r="A39" s="1">
        <v>37</v>
      </c>
      <c r="B39" s="3">
        <v>37</v>
      </c>
      <c r="C39" s="3" t="s">
        <v>20</v>
      </c>
      <c r="D39" s="67" t="s">
        <v>679</v>
      </c>
      <c r="E39" s="2"/>
      <c r="F39" s="3">
        <v>2</v>
      </c>
      <c r="G39" s="3">
        <v>23</v>
      </c>
      <c r="H39" s="3">
        <v>160</v>
      </c>
      <c r="I39" s="3">
        <v>44</v>
      </c>
      <c r="J39" s="3">
        <v>35</v>
      </c>
      <c r="K39" s="3">
        <v>6</v>
      </c>
      <c r="L39" s="3">
        <v>0.3</v>
      </c>
      <c r="M39" s="3">
        <v>0.314</v>
      </c>
      <c r="N39" s="3">
        <v>0.5</v>
      </c>
      <c r="O39" s="3">
        <v>7</v>
      </c>
      <c r="P39" s="3">
        <v>1.9</v>
      </c>
      <c r="Q39" s="3">
        <v>1.5</v>
      </c>
      <c r="R39" s="3">
        <v>0.3</v>
      </c>
      <c r="S39" s="3">
        <v>-0.1</v>
      </c>
      <c r="T39" s="3">
        <v>-3.2000000000000001E-2</v>
      </c>
      <c r="U39" s="3">
        <v>-5.9</v>
      </c>
      <c r="V39" s="3">
        <v>-0.2</v>
      </c>
      <c r="X39" s="140" t="s">
        <v>680</v>
      </c>
    </row>
    <row r="40" spans="1:25">
      <c r="A40" s="1">
        <v>38</v>
      </c>
      <c r="B40" s="3">
        <v>38</v>
      </c>
      <c r="C40" s="3" t="s">
        <v>99</v>
      </c>
      <c r="D40" s="80" t="s">
        <v>100</v>
      </c>
      <c r="E40" s="3" t="s">
        <v>84</v>
      </c>
      <c r="F40" s="3">
        <v>6</v>
      </c>
      <c r="G40" s="3">
        <v>371</v>
      </c>
      <c r="H40" s="3">
        <v>7368</v>
      </c>
      <c r="I40" s="3">
        <v>3419</v>
      </c>
      <c r="J40" s="3">
        <v>2086</v>
      </c>
      <c r="K40" s="3">
        <v>388</v>
      </c>
      <c r="L40" s="3">
        <v>0.70899999999999996</v>
      </c>
      <c r="M40" s="3">
        <v>0</v>
      </c>
      <c r="N40" s="3">
        <v>0.67400000000000004</v>
      </c>
      <c r="O40" s="3">
        <v>19.899999999999999</v>
      </c>
      <c r="P40" s="3">
        <v>9.1999999999999993</v>
      </c>
      <c r="Q40" s="3">
        <v>5.6</v>
      </c>
      <c r="R40" s="3">
        <v>1</v>
      </c>
      <c r="S40" s="3">
        <v>30.7</v>
      </c>
      <c r="T40" s="3">
        <v>0.2</v>
      </c>
      <c r="U40" s="3">
        <v>1.9</v>
      </c>
      <c r="V40" s="3">
        <v>7.3</v>
      </c>
      <c r="X40" s="141" t="s">
        <v>111</v>
      </c>
    </row>
    <row r="41" spans="1:25">
      <c r="A41" s="1">
        <v>39</v>
      </c>
      <c r="B41" s="3">
        <v>39</v>
      </c>
      <c r="C41" s="3" t="s">
        <v>44</v>
      </c>
      <c r="D41" s="67" t="s">
        <v>681</v>
      </c>
      <c r="E41" s="2"/>
      <c r="F41" s="3">
        <v>2</v>
      </c>
      <c r="G41" s="3">
        <v>29</v>
      </c>
      <c r="H41" s="3">
        <v>223</v>
      </c>
      <c r="I41" s="3">
        <v>87</v>
      </c>
      <c r="J41" s="3">
        <v>43</v>
      </c>
      <c r="K41" s="3">
        <v>17</v>
      </c>
      <c r="L41" s="3">
        <v>0.46300000000000002</v>
      </c>
      <c r="M41" s="3">
        <v>0.30399999999999999</v>
      </c>
      <c r="N41" s="3">
        <v>0.72</v>
      </c>
      <c r="O41" s="3">
        <v>7.7</v>
      </c>
      <c r="P41" s="3">
        <v>3</v>
      </c>
      <c r="Q41" s="3">
        <v>1.5</v>
      </c>
      <c r="R41" s="3">
        <v>0.6</v>
      </c>
      <c r="S41" s="3">
        <v>0.3</v>
      </c>
      <c r="T41" s="3">
        <v>5.6000000000000001E-2</v>
      </c>
      <c r="U41" s="3">
        <v>-3.3</v>
      </c>
      <c r="V41" s="3">
        <v>-0.1</v>
      </c>
    </row>
    <row r="42" spans="1:25">
      <c r="A42" s="1">
        <v>40</v>
      </c>
      <c r="B42" s="3">
        <v>40</v>
      </c>
      <c r="C42" s="3" t="s">
        <v>36</v>
      </c>
      <c r="D42" s="67" t="s">
        <v>682</v>
      </c>
      <c r="E42" s="3" t="s">
        <v>683</v>
      </c>
      <c r="F42" s="3">
        <v>2</v>
      </c>
      <c r="G42" s="3">
        <v>72</v>
      </c>
      <c r="H42" s="3">
        <v>542</v>
      </c>
      <c r="I42" s="3">
        <v>228</v>
      </c>
      <c r="J42" s="3">
        <v>62</v>
      </c>
      <c r="K42" s="3">
        <v>40</v>
      </c>
      <c r="L42" s="3">
        <v>0.44600000000000001</v>
      </c>
      <c r="M42" s="3">
        <v>0.34300000000000003</v>
      </c>
      <c r="N42" s="3">
        <v>0.54400000000000004</v>
      </c>
      <c r="O42" s="3">
        <v>7.5</v>
      </c>
      <c r="P42" s="3">
        <v>3.2</v>
      </c>
      <c r="Q42" s="3">
        <v>0.9</v>
      </c>
      <c r="R42" s="3">
        <v>0.6</v>
      </c>
      <c r="S42" s="3">
        <v>0.3</v>
      </c>
      <c r="T42" s="3">
        <v>2.4E-2</v>
      </c>
      <c r="U42" s="3">
        <v>-3.1</v>
      </c>
      <c r="V42" s="3">
        <v>-0.2</v>
      </c>
    </row>
    <row r="43" spans="1:25">
      <c r="A43" s="1">
        <v>41</v>
      </c>
      <c r="B43" s="3">
        <v>41</v>
      </c>
      <c r="C43" s="3" t="s">
        <v>25</v>
      </c>
      <c r="D43" s="88" t="s">
        <v>684</v>
      </c>
      <c r="E43" s="3" t="s">
        <v>22</v>
      </c>
      <c r="F43" s="3">
        <v>3</v>
      </c>
      <c r="G43" s="3">
        <v>158</v>
      </c>
      <c r="H43" s="3">
        <v>3086</v>
      </c>
      <c r="I43" s="3">
        <v>1552</v>
      </c>
      <c r="J43" s="3">
        <v>509</v>
      </c>
      <c r="K43" s="3">
        <v>214</v>
      </c>
      <c r="L43" s="3">
        <v>0.49399999999999999</v>
      </c>
      <c r="M43" s="3">
        <v>0.32600000000000001</v>
      </c>
      <c r="N43" s="3">
        <v>0.75800000000000001</v>
      </c>
      <c r="O43" s="3">
        <v>19.5</v>
      </c>
      <c r="P43" s="3">
        <v>9.8000000000000007</v>
      </c>
      <c r="Q43" s="3">
        <v>3.2</v>
      </c>
      <c r="R43" s="3">
        <v>1.4</v>
      </c>
      <c r="S43" s="3">
        <v>5</v>
      </c>
      <c r="T43" s="3">
        <v>7.8E-2</v>
      </c>
      <c r="U43" s="3">
        <v>-2.2000000000000002</v>
      </c>
      <c r="V43" s="3">
        <v>-0.1</v>
      </c>
    </row>
    <row r="44" spans="1:25">
      <c r="A44" s="1">
        <v>42</v>
      </c>
      <c r="B44" s="3">
        <v>42</v>
      </c>
      <c r="C44" s="3" t="s">
        <v>66</v>
      </c>
      <c r="D44" s="67" t="s">
        <v>685</v>
      </c>
      <c r="E44" s="3" t="s">
        <v>115</v>
      </c>
      <c r="F44" s="3">
        <v>4</v>
      </c>
      <c r="G44" s="3">
        <v>131</v>
      </c>
      <c r="H44" s="3">
        <v>1372</v>
      </c>
      <c r="I44" s="3">
        <v>426</v>
      </c>
      <c r="J44" s="3">
        <v>215</v>
      </c>
      <c r="K44" s="3">
        <v>78</v>
      </c>
      <c r="L44" s="3">
        <v>0.41699999999999998</v>
      </c>
      <c r="M44" s="3">
        <v>0.32600000000000001</v>
      </c>
      <c r="N44" s="3">
        <v>0.78200000000000003</v>
      </c>
      <c r="O44" s="3">
        <v>10.5</v>
      </c>
      <c r="P44" s="3">
        <v>3.3</v>
      </c>
      <c r="Q44" s="3">
        <v>1.6</v>
      </c>
      <c r="R44" s="3">
        <v>0.6</v>
      </c>
      <c r="S44" s="3">
        <v>1.2</v>
      </c>
      <c r="T44" s="3">
        <v>4.2999999999999997E-2</v>
      </c>
      <c r="U44" s="3">
        <v>-4.5999999999999996</v>
      </c>
      <c r="V44" s="3">
        <v>-0.9</v>
      </c>
    </row>
    <row r="45" spans="1:25">
      <c r="A45" s="1">
        <v>43</v>
      </c>
      <c r="B45" s="3">
        <v>43</v>
      </c>
      <c r="C45" s="3" t="s">
        <v>135</v>
      </c>
      <c r="D45" s="88" t="s">
        <v>686</v>
      </c>
      <c r="E45" s="3" t="s">
        <v>38</v>
      </c>
      <c r="F45" s="3">
        <v>6</v>
      </c>
      <c r="G45" s="3">
        <v>205</v>
      </c>
      <c r="H45" s="3">
        <v>3519</v>
      </c>
      <c r="I45" s="3">
        <v>1815</v>
      </c>
      <c r="J45" s="3">
        <v>445</v>
      </c>
      <c r="K45" s="3">
        <v>380</v>
      </c>
      <c r="L45" s="3">
        <v>0.442</v>
      </c>
      <c r="M45" s="3">
        <v>0.316</v>
      </c>
      <c r="N45" s="3">
        <v>0.79200000000000004</v>
      </c>
      <c r="O45" s="3">
        <v>17.2</v>
      </c>
      <c r="P45" s="3">
        <v>8.9</v>
      </c>
      <c r="Q45" s="3">
        <v>2.2000000000000002</v>
      </c>
      <c r="R45" s="3">
        <v>1.9</v>
      </c>
      <c r="S45" s="3">
        <v>4.7</v>
      </c>
      <c r="T45" s="3">
        <v>6.4000000000000001E-2</v>
      </c>
      <c r="U45" s="3">
        <v>-2.1</v>
      </c>
      <c r="V45" s="3">
        <v>-0.1</v>
      </c>
    </row>
    <row r="46" spans="1:25">
      <c r="A46" s="1">
        <v>44</v>
      </c>
      <c r="B46" s="3">
        <v>44</v>
      </c>
      <c r="C46" s="3" t="s">
        <v>72</v>
      </c>
      <c r="D46" s="88" t="s">
        <v>687</v>
      </c>
      <c r="E46" s="3" t="s">
        <v>55</v>
      </c>
      <c r="F46" s="3">
        <v>6</v>
      </c>
      <c r="G46" s="3">
        <v>182</v>
      </c>
      <c r="H46" s="3">
        <v>2443</v>
      </c>
      <c r="I46" s="3">
        <v>1074</v>
      </c>
      <c r="J46" s="3">
        <v>636</v>
      </c>
      <c r="K46" s="3">
        <v>110</v>
      </c>
      <c r="L46" s="3">
        <v>0.54700000000000004</v>
      </c>
      <c r="M46" s="3">
        <v>0.32200000000000001</v>
      </c>
      <c r="N46" s="3">
        <v>0.74</v>
      </c>
      <c r="O46" s="3">
        <v>13.4</v>
      </c>
      <c r="P46" s="3">
        <v>5.9</v>
      </c>
      <c r="Q46" s="3">
        <v>3.5</v>
      </c>
      <c r="R46" s="3">
        <v>0.6</v>
      </c>
      <c r="S46" s="3">
        <v>4.4000000000000004</v>
      </c>
      <c r="T46" s="3">
        <v>8.5999999999999993E-2</v>
      </c>
      <c r="U46" s="3">
        <v>-0.6</v>
      </c>
      <c r="V46" s="3">
        <v>0.9</v>
      </c>
    </row>
    <row r="47" spans="1:25">
      <c r="A47" s="1">
        <v>45</v>
      </c>
      <c r="B47" s="3">
        <v>45</v>
      </c>
      <c r="C47" s="3" t="s">
        <v>34</v>
      </c>
      <c r="D47" s="88" t="s">
        <v>688</v>
      </c>
      <c r="E47" s="3" t="s">
        <v>165</v>
      </c>
      <c r="F47" s="3">
        <v>4</v>
      </c>
      <c r="G47" s="3">
        <v>151</v>
      </c>
      <c r="H47" s="3">
        <v>2858</v>
      </c>
      <c r="I47" s="3">
        <v>1159</v>
      </c>
      <c r="J47" s="3">
        <v>667</v>
      </c>
      <c r="K47" s="3">
        <v>216</v>
      </c>
      <c r="L47" s="3">
        <v>0.48499999999999999</v>
      </c>
      <c r="M47" s="3">
        <v>0.35099999999999998</v>
      </c>
      <c r="N47" s="3">
        <v>0.67500000000000004</v>
      </c>
      <c r="O47" s="3">
        <v>18.899999999999999</v>
      </c>
      <c r="P47" s="3">
        <v>7.7</v>
      </c>
      <c r="Q47" s="3">
        <v>4.4000000000000004</v>
      </c>
      <c r="R47" s="3">
        <v>1.4</v>
      </c>
      <c r="S47" s="3">
        <v>4</v>
      </c>
      <c r="T47" s="3">
        <v>6.8000000000000005E-2</v>
      </c>
      <c r="U47" s="3">
        <v>-2.2999999999999998</v>
      </c>
      <c r="V47" s="3">
        <v>-0.2</v>
      </c>
    </row>
    <row r="48" spans="1:25">
      <c r="A48" s="1">
        <v>46</v>
      </c>
      <c r="B48" s="3">
        <v>46</v>
      </c>
      <c r="C48" s="3" t="s">
        <v>179</v>
      </c>
      <c r="D48" s="82" t="s">
        <v>180</v>
      </c>
      <c r="E48" s="3" t="s">
        <v>108</v>
      </c>
      <c r="F48" s="3">
        <v>6</v>
      </c>
      <c r="G48" s="3">
        <v>287</v>
      </c>
      <c r="H48" s="3">
        <v>5679</v>
      </c>
      <c r="I48" s="3">
        <v>2664</v>
      </c>
      <c r="J48" s="3">
        <v>768</v>
      </c>
      <c r="K48" s="3">
        <v>822</v>
      </c>
      <c r="L48" s="3">
        <v>0.42599999999999999</v>
      </c>
      <c r="M48" s="3">
        <v>0.30199999999999999</v>
      </c>
      <c r="N48" s="3">
        <v>0.77400000000000002</v>
      </c>
      <c r="O48" s="3">
        <v>19.8</v>
      </c>
      <c r="P48" s="3">
        <v>9.3000000000000007</v>
      </c>
      <c r="Q48" s="3">
        <v>2.7</v>
      </c>
      <c r="R48" s="3">
        <v>2.9</v>
      </c>
      <c r="S48" s="3">
        <v>5.6</v>
      </c>
      <c r="T48" s="3">
        <v>4.7E-2</v>
      </c>
      <c r="U48" s="3">
        <v>-1.9</v>
      </c>
      <c r="V48" s="3">
        <v>0.1</v>
      </c>
    </row>
    <row r="49" spans="1:37">
      <c r="A49" s="1">
        <v>47</v>
      </c>
      <c r="B49" s="3">
        <v>47</v>
      </c>
      <c r="C49" s="3" t="s">
        <v>36</v>
      </c>
      <c r="D49" s="67" t="s">
        <v>689</v>
      </c>
      <c r="E49" s="3" t="s">
        <v>151</v>
      </c>
      <c r="F49" s="3">
        <v>3</v>
      </c>
      <c r="G49" s="3">
        <v>64</v>
      </c>
      <c r="H49" s="3">
        <v>838</v>
      </c>
      <c r="I49" s="3">
        <v>318</v>
      </c>
      <c r="J49" s="3">
        <v>122</v>
      </c>
      <c r="K49" s="3">
        <v>58</v>
      </c>
      <c r="L49" s="3">
        <v>0.41599999999999998</v>
      </c>
      <c r="M49" s="3">
        <v>0.315</v>
      </c>
      <c r="N49" s="3">
        <v>0.68600000000000005</v>
      </c>
      <c r="O49" s="3">
        <v>13.1</v>
      </c>
      <c r="P49" s="3">
        <v>5</v>
      </c>
      <c r="Q49" s="3">
        <v>1.9</v>
      </c>
      <c r="R49" s="3">
        <v>0.9</v>
      </c>
      <c r="S49" s="3">
        <v>0.4</v>
      </c>
      <c r="T49" s="3">
        <v>2.4E-2</v>
      </c>
      <c r="U49" s="3">
        <v>-4.9000000000000004</v>
      </c>
      <c r="V49" s="3">
        <v>-0.6</v>
      </c>
    </row>
    <row r="50" spans="1:37">
      <c r="A50" s="1">
        <v>48</v>
      </c>
      <c r="B50" s="3">
        <v>48</v>
      </c>
      <c r="C50" s="3" t="s">
        <v>28</v>
      </c>
      <c r="D50" s="82" t="s">
        <v>181</v>
      </c>
      <c r="E50" s="3" t="s">
        <v>182</v>
      </c>
      <c r="F50" s="3">
        <v>6</v>
      </c>
      <c r="G50" s="3">
        <v>383</v>
      </c>
      <c r="H50" s="3">
        <v>8444</v>
      </c>
      <c r="I50" s="3">
        <v>3041</v>
      </c>
      <c r="J50" s="3">
        <v>1360</v>
      </c>
      <c r="K50" s="3">
        <v>731</v>
      </c>
      <c r="L50" s="3">
        <v>0.498</v>
      </c>
      <c r="M50" s="3">
        <v>0.371</v>
      </c>
      <c r="N50" s="3">
        <v>0.78600000000000003</v>
      </c>
      <c r="O50" s="3">
        <v>22</v>
      </c>
      <c r="P50" s="3">
        <v>7.9</v>
      </c>
      <c r="Q50" s="3">
        <v>3.6</v>
      </c>
      <c r="R50" s="3">
        <v>1.9</v>
      </c>
      <c r="S50" s="3">
        <v>19.899999999999999</v>
      </c>
      <c r="T50" s="3">
        <v>0.113</v>
      </c>
      <c r="U50" s="3">
        <v>-0.8</v>
      </c>
      <c r="V50" s="3">
        <v>2.5</v>
      </c>
    </row>
    <row r="51" spans="1:37">
      <c r="A51" s="1">
        <v>49</v>
      </c>
      <c r="B51" s="3">
        <v>49</v>
      </c>
      <c r="C51" s="3" t="s">
        <v>79</v>
      </c>
      <c r="D51" s="67" t="s">
        <v>690</v>
      </c>
      <c r="E51" s="3" t="s">
        <v>619</v>
      </c>
      <c r="F51" s="3">
        <v>3</v>
      </c>
      <c r="G51" s="3">
        <v>42</v>
      </c>
      <c r="H51" s="3">
        <v>272</v>
      </c>
      <c r="I51" s="3">
        <v>88</v>
      </c>
      <c r="J51" s="3">
        <v>32</v>
      </c>
      <c r="K51" s="3">
        <v>24</v>
      </c>
      <c r="L51" s="3">
        <v>0.45200000000000001</v>
      </c>
      <c r="M51" s="3">
        <v>0.188</v>
      </c>
      <c r="N51" s="3">
        <v>0.82599999999999996</v>
      </c>
      <c r="O51" s="3">
        <v>6.5</v>
      </c>
      <c r="P51" s="3">
        <v>2.1</v>
      </c>
      <c r="Q51" s="3">
        <v>0.8</v>
      </c>
      <c r="R51" s="3">
        <v>0.6</v>
      </c>
      <c r="S51" s="3">
        <v>0.2</v>
      </c>
      <c r="T51" s="3">
        <v>0.03</v>
      </c>
      <c r="U51" s="3">
        <v>-5.5</v>
      </c>
      <c r="V51" s="3">
        <v>-0.2</v>
      </c>
    </row>
    <row r="52" spans="1:37">
      <c r="A52" s="1">
        <v>50</v>
      </c>
      <c r="B52" s="3">
        <v>50</v>
      </c>
      <c r="C52" s="3" t="s">
        <v>41</v>
      </c>
      <c r="D52" s="67" t="s">
        <v>691</v>
      </c>
      <c r="E52" s="3" t="s">
        <v>635</v>
      </c>
      <c r="F52" s="3">
        <v>3</v>
      </c>
      <c r="G52" s="3">
        <v>41</v>
      </c>
      <c r="H52" s="3">
        <v>273</v>
      </c>
      <c r="I52" s="3">
        <v>110</v>
      </c>
      <c r="J52" s="3">
        <v>53</v>
      </c>
      <c r="K52" s="3">
        <v>29</v>
      </c>
      <c r="L52" s="3">
        <v>0.45700000000000002</v>
      </c>
      <c r="M52" s="3">
        <v>0.38</v>
      </c>
      <c r="N52" s="3">
        <v>0.83299999999999996</v>
      </c>
      <c r="O52" s="3">
        <v>6.7</v>
      </c>
      <c r="P52" s="3">
        <v>2.7</v>
      </c>
      <c r="Q52" s="3">
        <v>1.3</v>
      </c>
      <c r="R52" s="3">
        <v>0.7</v>
      </c>
      <c r="S52" s="3">
        <v>0.6</v>
      </c>
      <c r="T52" s="3">
        <v>0.108</v>
      </c>
      <c r="U52" s="3">
        <v>0</v>
      </c>
      <c r="V52" s="3">
        <v>0.1</v>
      </c>
    </row>
    <row r="53" spans="1:37">
      <c r="A53" s="1">
        <v>51</v>
      </c>
      <c r="B53" s="3">
        <v>51</v>
      </c>
      <c r="C53" s="3" t="s">
        <v>190</v>
      </c>
      <c r="D53" s="67" t="s">
        <v>692</v>
      </c>
      <c r="E53" s="3" t="s">
        <v>145</v>
      </c>
      <c r="F53" s="3">
        <v>3</v>
      </c>
      <c r="G53" s="3">
        <v>40</v>
      </c>
      <c r="H53" s="3">
        <v>407</v>
      </c>
      <c r="I53" s="3">
        <v>149</v>
      </c>
      <c r="J53" s="3">
        <v>37</v>
      </c>
      <c r="K53" s="3">
        <v>85</v>
      </c>
      <c r="L53" s="3">
        <v>0.35399999999999998</v>
      </c>
      <c r="M53" s="3">
        <v>0.29599999999999999</v>
      </c>
      <c r="N53" s="3">
        <v>0.96</v>
      </c>
      <c r="O53" s="3">
        <v>10.199999999999999</v>
      </c>
      <c r="P53" s="3">
        <v>3.7</v>
      </c>
      <c r="Q53" s="3">
        <v>0.9</v>
      </c>
      <c r="R53" s="3">
        <v>2.1</v>
      </c>
      <c r="S53" s="3">
        <v>0.1</v>
      </c>
      <c r="T53" s="3">
        <v>1.2E-2</v>
      </c>
      <c r="U53" s="3">
        <v>-3</v>
      </c>
      <c r="V53" s="3">
        <v>-0.1</v>
      </c>
    </row>
    <row r="54" spans="1:37">
      <c r="A54" s="1">
        <v>52</v>
      </c>
      <c r="B54" s="3">
        <v>52</v>
      </c>
      <c r="C54" s="3" t="s">
        <v>119</v>
      </c>
      <c r="D54" s="88" t="s">
        <v>693</v>
      </c>
      <c r="E54" s="3" t="s">
        <v>608</v>
      </c>
      <c r="F54" s="3">
        <v>5</v>
      </c>
      <c r="G54" s="3">
        <v>248</v>
      </c>
      <c r="H54" s="3">
        <v>4543</v>
      </c>
      <c r="I54" s="3">
        <v>1699</v>
      </c>
      <c r="J54" s="3">
        <v>829</v>
      </c>
      <c r="K54" s="3">
        <v>291</v>
      </c>
      <c r="L54" s="3">
        <v>0.44900000000000001</v>
      </c>
      <c r="M54" s="3">
        <v>0.32200000000000001</v>
      </c>
      <c r="N54" s="3">
        <v>0.77700000000000002</v>
      </c>
      <c r="O54" s="3">
        <v>18.3</v>
      </c>
      <c r="P54" s="3">
        <v>6.9</v>
      </c>
      <c r="Q54" s="3">
        <v>3.3</v>
      </c>
      <c r="R54" s="3">
        <v>1.2</v>
      </c>
      <c r="S54" s="3">
        <v>5.3</v>
      </c>
      <c r="T54" s="3">
        <v>5.6000000000000001E-2</v>
      </c>
      <c r="U54" s="3">
        <v>-3.3</v>
      </c>
      <c r="V54" s="3">
        <v>-1.5</v>
      </c>
    </row>
    <row r="55" spans="1:37">
      <c r="A55" s="1">
        <v>53</v>
      </c>
      <c r="B55" s="3">
        <v>53</v>
      </c>
      <c r="C55" s="3" t="s">
        <v>193</v>
      </c>
      <c r="D55" s="67" t="s">
        <v>694</v>
      </c>
      <c r="E55" s="3" t="s">
        <v>695</v>
      </c>
      <c r="F55" s="3">
        <v>1</v>
      </c>
      <c r="G55" s="3">
        <v>4</v>
      </c>
      <c r="H55" s="3">
        <v>45</v>
      </c>
      <c r="I55" s="3">
        <v>19</v>
      </c>
      <c r="J55" s="3">
        <v>5</v>
      </c>
      <c r="K55" s="3">
        <v>7</v>
      </c>
      <c r="L55" s="3">
        <v>0.35</v>
      </c>
      <c r="M55" s="3">
        <v>0.2</v>
      </c>
      <c r="N55" s="3">
        <v>0.75</v>
      </c>
      <c r="O55" s="3">
        <v>11.3</v>
      </c>
      <c r="P55" s="3">
        <v>4.8</v>
      </c>
      <c r="Q55" s="3">
        <v>1.3</v>
      </c>
      <c r="R55" s="3">
        <v>1.8</v>
      </c>
      <c r="S55" s="3">
        <v>0</v>
      </c>
      <c r="T55" s="3">
        <v>-8.0000000000000002E-3</v>
      </c>
      <c r="U55" s="3">
        <v>-9</v>
      </c>
      <c r="V55" s="3">
        <v>-0.1</v>
      </c>
    </row>
    <row r="56" spans="1:37">
      <c r="A56" s="1">
        <v>54</v>
      </c>
      <c r="B56" s="3">
        <v>54</v>
      </c>
      <c r="C56" s="3" t="s">
        <v>66</v>
      </c>
      <c r="D56" s="67" t="s">
        <v>696</v>
      </c>
      <c r="E56" s="3" t="s">
        <v>108</v>
      </c>
      <c r="F56" s="3">
        <v>1</v>
      </c>
      <c r="G56" s="3">
        <v>4</v>
      </c>
      <c r="H56" s="3">
        <v>28</v>
      </c>
      <c r="I56" s="3">
        <v>11</v>
      </c>
      <c r="J56" s="3">
        <v>7</v>
      </c>
      <c r="K56" s="3">
        <v>1</v>
      </c>
      <c r="L56" s="3">
        <v>0.25</v>
      </c>
      <c r="M56" s="3">
        <v>0.33300000000000002</v>
      </c>
      <c r="N56" s="3">
        <v>0.75</v>
      </c>
      <c r="O56" s="3">
        <v>7</v>
      </c>
      <c r="P56" s="3">
        <v>2.8</v>
      </c>
      <c r="Q56" s="3">
        <v>1.8</v>
      </c>
      <c r="R56" s="3">
        <v>0.3</v>
      </c>
      <c r="S56" s="3">
        <v>-0.1</v>
      </c>
      <c r="T56" s="3">
        <v>-0.13</v>
      </c>
      <c r="U56" s="3">
        <v>-13</v>
      </c>
      <c r="V56" s="3">
        <v>-0.1</v>
      </c>
    </row>
    <row r="57" spans="1:37">
      <c r="A57" s="1">
        <v>55</v>
      </c>
      <c r="B57" s="3">
        <v>55</v>
      </c>
      <c r="C57" s="3" t="s">
        <v>50</v>
      </c>
      <c r="D57" s="67" t="s">
        <v>697</v>
      </c>
      <c r="E57" s="3" t="s">
        <v>59</v>
      </c>
      <c r="F57" s="3">
        <v>3</v>
      </c>
      <c r="G57" s="3">
        <v>53</v>
      </c>
      <c r="H57" s="3">
        <v>431</v>
      </c>
      <c r="I57" s="3">
        <v>165</v>
      </c>
      <c r="J57" s="3">
        <v>53</v>
      </c>
      <c r="K57" s="3">
        <v>50</v>
      </c>
      <c r="L57" s="3">
        <v>0.36099999999999999</v>
      </c>
      <c r="M57" s="3">
        <v>0.30299999999999999</v>
      </c>
      <c r="N57" s="3">
        <v>0.75</v>
      </c>
      <c r="O57" s="3">
        <v>8.1</v>
      </c>
      <c r="P57" s="3">
        <v>3.1</v>
      </c>
      <c r="Q57" s="3">
        <v>1</v>
      </c>
      <c r="R57" s="3">
        <v>0.9</v>
      </c>
      <c r="S57" s="3">
        <v>0.1</v>
      </c>
      <c r="T57" s="3">
        <v>6.0000000000000001E-3</v>
      </c>
      <c r="U57" s="3">
        <v>-4.9000000000000004</v>
      </c>
      <c r="V57" s="3">
        <v>-0.3</v>
      </c>
    </row>
    <row r="58" spans="1:37">
      <c r="A58" s="1">
        <v>56</v>
      </c>
      <c r="B58" s="3">
        <v>56</v>
      </c>
      <c r="C58" s="3" t="s">
        <v>28</v>
      </c>
      <c r="D58" s="67" t="s">
        <v>698</v>
      </c>
      <c r="E58" s="3" t="s">
        <v>63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</row>
    <row r="59" spans="1:37">
      <c r="A59" s="1">
        <v>57</v>
      </c>
      <c r="B59" s="3">
        <v>57</v>
      </c>
      <c r="C59" s="3" t="s">
        <v>44</v>
      </c>
      <c r="D59" s="67" t="s">
        <v>699</v>
      </c>
      <c r="E59" s="3" t="s">
        <v>115</v>
      </c>
      <c r="F59" s="3">
        <v>2</v>
      </c>
      <c r="G59" s="3">
        <v>24</v>
      </c>
      <c r="H59" s="3">
        <v>249</v>
      </c>
      <c r="I59" s="3">
        <v>68</v>
      </c>
      <c r="J59" s="3">
        <v>28</v>
      </c>
      <c r="K59" s="3">
        <v>26</v>
      </c>
      <c r="L59" s="3">
        <v>0.378</v>
      </c>
      <c r="M59" s="3">
        <v>0.28599999999999998</v>
      </c>
      <c r="N59" s="2">
        <v>0</v>
      </c>
      <c r="O59" s="3">
        <v>10.4</v>
      </c>
      <c r="P59" s="3">
        <v>2.8</v>
      </c>
      <c r="Q59" s="3">
        <v>1.2</v>
      </c>
      <c r="R59" s="3">
        <v>1.1000000000000001</v>
      </c>
      <c r="S59" s="3">
        <v>0.1</v>
      </c>
      <c r="T59" s="3">
        <v>0.01</v>
      </c>
      <c r="U59" s="3">
        <v>-5.9</v>
      </c>
      <c r="V59" s="3">
        <v>-0.2</v>
      </c>
    </row>
    <row r="60" spans="1:37">
      <c r="A60" s="1">
        <v>58</v>
      </c>
      <c r="B60" s="3">
        <v>58</v>
      </c>
      <c r="C60" s="3" t="s">
        <v>25</v>
      </c>
      <c r="D60" s="67" t="s">
        <v>700</v>
      </c>
      <c r="E60" s="3" t="s">
        <v>701</v>
      </c>
      <c r="F60" s="3">
        <v>3</v>
      </c>
      <c r="G60" s="3">
        <v>80</v>
      </c>
      <c r="H60" s="3">
        <v>672</v>
      </c>
      <c r="I60" s="3">
        <v>145</v>
      </c>
      <c r="J60" s="3">
        <v>108</v>
      </c>
      <c r="K60" s="3">
        <v>37</v>
      </c>
      <c r="L60" s="3">
        <v>0.35</v>
      </c>
      <c r="M60" s="3">
        <v>0.33</v>
      </c>
      <c r="N60" s="3">
        <v>0.75</v>
      </c>
      <c r="O60" s="3">
        <v>8.4</v>
      </c>
      <c r="P60" s="3">
        <v>1.8</v>
      </c>
      <c r="Q60" s="3">
        <v>1.4</v>
      </c>
      <c r="R60" s="3">
        <v>0.5</v>
      </c>
      <c r="S60" s="3">
        <v>1</v>
      </c>
      <c r="T60" s="3">
        <v>7.0000000000000007E-2</v>
      </c>
      <c r="U60" s="3">
        <v>-2.5</v>
      </c>
      <c r="V60" s="3">
        <v>-0.1</v>
      </c>
    </row>
    <row r="61" spans="1:37">
      <c r="A61" s="1">
        <v>59</v>
      </c>
      <c r="B61" s="3">
        <v>59</v>
      </c>
      <c r="C61" s="3" t="s">
        <v>163</v>
      </c>
      <c r="D61" s="67" t="s">
        <v>702</v>
      </c>
      <c r="E61" s="3" t="s">
        <v>103</v>
      </c>
      <c r="F61" s="3">
        <v>1</v>
      </c>
      <c r="G61" s="3">
        <v>6</v>
      </c>
      <c r="H61" s="3">
        <v>28</v>
      </c>
      <c r="I61" s="3">
        <v>14</v>
      </c>
      <c r="J61" s="3">
        <v>14</v>
      </c>
      <c r="K61" s="3">
        <v>3</v>
      </c>
      <c r="L61" s="3">
        <v>0.35699999999999998</v>
      </c>
      <c r="M61" s="3">
        <v>0.5</v>
      </c>
      <c r="N61" s="3">
        <v>0.6</v>
      </c>
      <c r="O61" s="3">
        <v>4.7</v>
      </c>
      <c r="P61" s="3">
        <v>2.2999999999999998</v>
      </c>
      <c r="Q61" s="3">
        <v>2.2999999999999998</v>
      </c>
      <c r="R61" s="3">
        <v>0.5</v>
      </c>
      <c r="S61" s="3">
        <v>0</v>
      </c>
      <c r="T61" s="3">
        <v>4.2999999999999997E-2</v>
      </c>
      <c r="U61" s="3">
        <v>-9.6</v>
      </c>
      <c r="V61" s="3">
        <v>-0.1</v>
      </c>
    </row>
    <row r="62" spans="1:37">
      <c r="A62" s="1">
        <v>60</v>
      </c>
      <c r="B62" s="3">
        <v>60</v>
      </c>
      <c r="C62" s="3" t="s">
        <v>36</v>
      </c>
      <c r="D62" s="67" t="s">
        <v>703</v>
      </c>
      <c r="E62" s="2"/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704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705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706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707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708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709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710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711</v>
      </c>
      <c r="E72" s="3" t="s">
        <v>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712</v>
      </c>
      <c r="E73" s="3" t="s">
        <v>506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4:37">
      <c r="D74" s="3" t="s">
        <v>713</v>
      </c>
      <c r="E74" s="3" t="s">
        <v>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4:37">
      <c r="D75" s="3" t="s">
        <v>714</v>
      </c>
      <c r="E75" s="3" t="s">
        <v>506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4:37">
      <c r="D76" s="3" t="s">
        <v>715</v>
      </c>
      <c r="E76" s="3" t="s">
        <v>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4:37">
      <c r="D77" s="3" t="s">
        <v>716</v>
      </c>
      <c r="E77" s="3" t="s">
        <v>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4:37">
      <c r="D78" s="3" t="s">
        <v>717</v>
      </c>
      <c r="E78" s="3" t="s">
        <v>570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2"/>
      <c r="AH78" s="3"/>
      <c r="AI78" s="3"/>
      <c r="AJ78" s="3"/>
      <c r="AK78" s="3"/>
    </row>
    <row r="79" spans="4:37">
      <c r="D79" s="3" t="s">
        <v>718</v>
      </c>
      <c r="E79" s="3" t="s">
        <v>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4:37">
      <c r="D80" s="3" t="s">
        <v>719</v>
      </c>
      <c r="E80" s="3" t="s">
        <v>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4:37">
      <c r="D81" s="3" t="s">
        <v>720</v>
      </c>
      <c r="E81" s="3" t="s">
        <v>506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4:37">
      <c r="D82" s="3" t="s">
        <v>721</v>
      </c>
      <c r="E82" s="3" t="s">
        <v>722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</sheetData>
  <conditionalFormatting sqref="G1:G62">
    <cfRule type="cellIs" dxfId="19" priority="1" operator="greaterThan">
      <formula>82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DD82-74A9-3044-A36A-27B95AB34933}">
  <dimension ref="A1:AK71"/>
  <sheetViews>
    <sheetView zoomScale="136" workbookViewId="0">
      <pane ySplit="1" topLeftCell="A36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7" bestFit="1" customWidth="1"/>
    <col min="5" max="5" width="11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4.5" bestFit="1" customWidth="1"/>
    <col min="20" max="20" width="5.875" bestFit="1" customWidth="1"/>
    <col min="21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323</v>
      </c>
      <c r="D2" s="3" t="s">
        <v>723</v>
      </c>
      <c r="E2" s="3" t="s">
        <v>224</v>
      </c>
      <c r="F2" s="3">
        <v>7</v>
      </c>
      <c r="G2" s="3">
        <v>397</v>
      </c>
      <c r="H2" s="3">
        <v>12253</v>
      </c>
      <c r="I2" s="3">
        <v>6532</v>
      </c>
      <c r="J2" s="3">
        <v>4167</v>
      </c>
      <c r="K2" s="3">
        <v>649</v>
      </c>
      <c r="L2" s="3">
        <v>0.59</v>
      </c>
      <c r="M2" s="3">
        <v>0.23</v>
      </c>
      <c r="N2" s="3">
        <v>0.755</v>
      </c>
      <c r="O2" s="3">
        <v>30.9</v>
      </c>
      <c r="P2" s="3">
        <v>16.5</v>
      </c>
      <c r="Q2" s="3">
        <v>10.5</v>
      </c>
      <c r="R2" s="3">
        <v>1.6</v>
      </c>
      <c r="S2" s="3">
        <v>37.5</v>
      </c>
      <c r="T2" s="3">
        <v>0.14699999999999999</v>
      </c>
      <c r="U2" s="3">
        <v>0.8</v>
      </c>
      <c r="V2" s="3">
        <v>8.6</v>
      </c>
    </row>
    <row r="3" spans="1:22" hidden="1">
      <c r="A3" s="1">
        <v>2</v>
      </c>
      <c r="B3" s="3">
        <v>2</v>
      </c>
      <c r="C3" s="3" t="s">
        <v>36</v>
      </c>
      <c r="D3" s="3" t="s">
        <v>724</v>
      </c>
      <c r="E3" s="3" t="s">
        <v>171</v>
      </c>
      <c r="F3" s="3">
        <v>7</v>
      </c>
      <c r="G3" s="3">
        <v>277</v>
      </c>
      <c r="H3" s="3">
        <v>6375</v>
      </c>
      <c r="I3" s="3">
        <v>3436</v>
      </c>
      <c r="J3" s="3">
        <v>1861</v>
      </c>
      <c r="K3" s="3">
        <v>249</v>
      </c>
      <c r="L3" s="3">
        <v>0.51900000000000002</v>
      </c>
      <c r="M3" s="3">
        <v>0.29399999999999998</v>
      </c>
      <c r="N3" s="3">
        <v>0.69</v>
      </c>
      <c r="O3" s="3">
        <v>23</v>
      </c>
      <c r="P3" s="3">
        <v>12.4</v>
      </c>
      <c r="Q3" s="3">
        <v>6.7</v>
      </c>
      <c r="R3" s="3">
        <v>0.9</v>
      </c>
      <c r="S3" s="3">
        <v>12.3</v>
      </c>
      <c r="T3" s="3">
        <v>9.1999999999999998E-2</v>
      </c>
      <c r="U3" s="3">
        <v>-1.6</v>
      </c>
      <c r="V3" s="3">
        <v>0.6</v>
      </c>
    </row>
    <row r="4" spans="1:22" hidden="1">
      <c r="A4" s="1">
        <v>3</v>
      </c>
      <c r="B4" s="3">
        <v>3</v>
      </c>
      <c r="C4" s="3" t="s">
        <v>184</v>
      </c>
      <c r="D4" s="3" t="s">
        <v>725</v>
      </c>
      <c r="E4" s="2"/>
      <c r="F4" s="3">
        <v>7</v>
      </c>
      <c r="G4" s="3">
        <v>422</v>
      </c>
      <c r="H4" s="3">
        <v>14728</v>
      </c>
      <c r="I4" s="3">
        <v>12089</v>
      </c>
      <c r="J4" s="3">
        <v>3655</v>
      </c>
      <c r="K4" s="3">
        <v>3489</v>
      </c>
      <c r="L4" s="3">
        <v>0.47</v>
      </c>
      <c r="M4" s="3">
        <v>0.34799999999999998</v>
      </c>
      <c r="N4" s="3">
        <v>0.748</v>
      </c>
      <c r="O4" s="3">
        <v>34.9</v>
      </c>
      <c r="P4" s="3">
        <v>28.6</v>
      </c>
      <c r="Q4" s="3">
        <v>8.6999999999999993</v>
      </c>
      <c r="R4" s="3">
        <v>8.3000000000000007</v>
      </c>
      <c r="S4" s="3">
        <v>54.1</v>
      </c>
      <c r="T4" s="3">
        <v>0.17599999999999999</v>
      </c>
      <c r="U4" s="3">
        <v>7.7</v>
      </c>
      <c r="V4" s="3">
        <v>36.1</v>
      </c>
    </row>
    <row r="5" spans="1:22" hidden="1">
      <c r="A5" s="1">
        <v>4</v>
      </c>
      <c r="B5" s="3">
        <v>4</v>
      </c>
      <c r="C5" s="3" t="s">
        <v>152</v>
      </c>
      <c r="D5" s="3" t="s">
        <v>726</v>
      </c>
      <c r="E5" s="3" t="s">
        <v>27</v>
      </c>
      <c r="F5" s="3">
        <v>7</v>
      </c>
      <c r="G5" s="3">
        <v>383</v>
      </c>
      <c r="H5" s="3">
        <v>10919</v>
      </c>
      <c r="I5" s="3">
        <v>7044</v>
      </c>
      <c r="J5" s="3">
        <v>2143</v>
      </c>
      <c r="K5" s="3">
        <v>564</v>
      </c>
      <c r="L5" s="3">
        <v>0.46700000000000003</v>
      </c>
      <c r="M5" s="3">
        <v>0.34899999999999998</v>
      </c>
      <c r="N5" s="3">
        <v>0.79200000000000004</v>
      </c>
      <c r="O5" s="3">
        <v>28.5</v>
      </c>
      <c r="P5" s="3">
        <v>18.399999999999999</v>
      </c>
      <c r="Q5" s="3">
        <v>5.6</v>
      </c>
      <c r="R5" s="3">
        <v>1.5</v>
      </c>
      <c r="S5" s="3">
        <v>27.7</v>
      </c>
      <c r="T5" s="3">
        <v>0.122</v>
      </c>
      <c r="U5" s="3">
        <v>1</v>
      </c>
      <c r="V5" s="3">
        <v>8.4</v>
      </c>
    </row>
    <row r="6" spans="1:22" hidden="1">
      <c r="A6" s="1">
        <v>5</v>
      </c>
      <c r="B6" s="3">
        <v>5</v>
      </c>
      <c r="C6" s="3" t="s">
        <v>20</v>
      </c>
      <c r="D6" s="3" t="s">
        <v>727</v>
      </c>
      <c r="E6" s="3" t="s">
        <v>728</v>
      </c>
      <c r="F6" s="3">
        <v>7</v>
      </c>
      <c r="G6" s="3">
        <v>456</v>
      </c>
      <c r="H6" s="3">
        <v>15649</v>
      </c>
      <c r="I6" s="3">
        <v>11530</v>
      </c>
      <c r="J6" s="3">
        <v>1606</v>
      </c>
      <c r="K6" s="3">
        <v>4428</v>
      </c>
      <c r="L6" s="3">
        <v>0.434</v>
      </c>
      <c r="M6" s="3">
        <v>0.35299999999999998</v>
      </c>
      <c r="N6" s="3">
        <v>0.871</v>
      </c>
      <c r="O6" s="3">
        <v>34.299999999999997</v>
      </c>
      <c r="P6" s="3">
        <v>25.3</v>
      </c>
      <c r="Q6" s="3">
        <v>3.5</v>
      </c>
      <c r="R6" s="3">
        <v>9.6999999999999993</v>
      </c>
      <c r="S6" s="3">
        <v>40.9</v>
      </c>
      <c r="T6" s="3">
        <v>0.125</v>
      </c>
      <c r="U6" s="3">
        <v>2.7</v>
      </c>
      <c r="V6" s="3">
        <v>18.5</v>
      </c>
    </row>
    <row r="7" spans="1:22" hidden="1">
      <c r="A7" s="1">
        <v>6</v>
      </c>
      <c r="B7" s="3">
        <v>6</v>
      </c>
      <c r="C7" s="3" t="s">
        <v>179</v>
      </c>
      <c r="D7" s="3" t="s">
        <v>729</v>
      </c>
      <c r="E7" s="3" t="s">
        <v>530</v>
      </c>
      <c r="F7" s="3">
        <v>7</v>
      </c>
      <c r="G7" s="3">
        <v>360</v>
      </c>
      <c r="H7" s="3">
        <v>6054</v>
      </c>
      <c r="I7" s="3">
        <v>2451</v>
      </c>
      <c r="J7" s="3">
        <v>1955</v>
      </c>
      <c r="K7" s="3">
        <v>304</v>
      </c>
      <c r="L7" s="3">
        <v>0.47699999999999998</v>
      </c>
      <c r="M7" s="3">
        <v>0.35699999999999998</v>
      </c>
      <c r="N7" s="3">
        <v>0.68100000000000005</v>
      </c>
      <c r="O7" s="3">
        <v>16.8</v>
      </c>
      <c r="P7" s="3">
        <v>6.8</v>
      </c>
      <c r="Q7" s="3">
        <v>5.4</v>
      </c>
      <c r="R7" s="3">
        <v>0.8</v>
      </c>
      <c r="S7" s="3">
        <v>15.5</v>
      </c>
      <c r="T7" s="3">
        <v>0.123</v>
      </c>
      <c r="U7" s="3">
        <v>0</v>
      </c>
      <c r="V7" s="3">
        <v>3.1</v>
      </c>
    </row>
    <row r="8" spans="1:22" hidden="1">
      <c r="A8" s="1">
        <v>7</v>
      </c>
      <c r="B8" s="3">
        <v>7</v>
      </c>
      <c r="C8" s="3" t="s">
        <v>99</v>
      </c>
      <c r="D8" s="3" t="s">
        <v>730</v>
      </c>
      <c r="E8" s="3" t="s">
        <v>171</v>
      </c>
      <c r="F8" s="3">
        <v>7</v>
      </c>
      <c r="G8" s="3">
        <v>356</v>
      </c>
      <c r="H8" s="3">
        <v>9726</v>
      </c>
      <c r="I8" s="3">
        <v>4309</v>
      </c>
      <c r="J8" s="3">
        <v>2972</v>
      </c>
      <c r="K8" s="3">
        <v>727</v>
      </c>
      <c r="L8" s="3">
        <v>0.51200000000000001</v>
      </c>
      <c r="M8" s="3">
        <v>0.31900000000000001</v>
      </c>
      <c r="N8" s="3">
        <v>0.72799999999999998</v>
      </c>
      <c r="O8" s="3">
        <v>27.3</v>
      </c>
      <c r="P8" s="3">
        <v>12.1</v>
      </c>
      <c r="Q8" s="3">
        <v>8.3000000000000007</v>
      </c>
      <c r="R8" s="3">
        <v>2</v>
      </c>
      <c r="S8" s="3">
        <v>25.4</v>
      </c>
      <c r="T8" s="3">
        <v>0.125</v>
      </c>
      <c r="U8" s="3">
        <v>-0.2</v>
      </c>
      <c r="V8" s="3">
        <v>4.5</v>
      </c>
    </row>
    <row r="9" spans="1:22" hidden="1">
      <c r="A9" s="1">
        <v>8</v>
      </c>
      <c r="B9" s="3">
        <v>8</v>
      </c>
      <c r="C9" s="3" t="s">
        <v>76</v>
      </c>
      <c r="D9" s="3" t="s">
        <v>731</v>
      </c>
      <c r="E9" s="3" t="s">
        <v>46</v>
      </c>
      <c r="F9" s="3">
        <v>7</v>
      </c>
      <c r="G9" s="3">
        <v>390</v>
      </c>
      <c r="H9" s="3">
        <v>11712</v>
      </c>
      <c r="I9" s="3">
        <v>7343</v>
      </c>
      <c r="J9" s="3">
        <v>1106</v>
      </c>
      <c r="K9" s="3">
        <v>1430</v>
      </c>
      <c r="L9" s="3">
        <v>0.47</v>
      </c>
      <c r="M9" s="3">
        <v>0.38700000000000001</v>
      </c>
      <c r="N9" s="3">
        <v>0.84099999999999997</v>
      </c>
      <c r="O9" s="3">
        <v>30</v>
      </c>
      <c r="P9" s="3">
        <v>18.8</v>
      </c>
      <c r="Q9" s="3">
        <v>2.8</v>
      </c>
      <c r="R9" s="3">
        <v>3.7</v>
      </c>
      <c r="S9" s="3">
        <v>15.6</v>
      </c>
      <c r="T9" s="3">
        <v>6.4000000000000001E-2</v>
      </c>
      <c r="U9" s="3">
        <v>-1.4</v>
      </c>
      <c r="V9" s="3">
        <v>1.8</v>
      </c>
    </row>
    <row r="10" spans="1:22" hidden="1">
      <c r="A10" s="1">
        <v>9</v>
      </c>
      <c r="B10" s="3">
        <v>9</v>
      </c>
      <c r="C10" s="3" t="s">
        <v>50</v>
      </c>
      <c r="D10" s="3" t="s">
        <v>732</v>
      </c>
      <c r="E10" s="3" t="s">
        <v>173</v>
      </c>
      <c r="F10" s="3">
        <v>6</v>
      </c>
      <c r="G10" s="3">
        <v>306</v>
      </c>
      <c r="H10" s="3">
        <v>5522</v>
      </c>
      <c r="I10" s="3">
        <v>2276</v>
      </c>
      <c r="J10" s="3">
        <v>876</v>
      </c>
      <c r="K10" s="3">
        <v>228</v>
      </c>
      <c r="L10" s="3">
        <v>0.39200000000000002</v>
      </c>
      <c r="M10" s="3">
        <v>0.34100000000000003</v>
      </c>
      <c r="N10" s="3">
        <v>0.72299999999999998</v>
      </c>
      <c r="O10" s="3">
        <v>18</v>
      </c>
      <c r="P10" s="3">
        <v>7.4</v>
      </c>
      <c r="Q10" s="3">
        <v>2.9</v>
      </c>
      <c r="R10" s="3">
        <v>0.7</v>
      </c>
      <c r="S10" s="3">
        <v>0.7</v>
      </c>
      <c r="T10" s="3">
        <v>6.0000000000000001E-3</v>
      </c>
      <c r="U10" s="3">
        <v>-4.5</v>
      </c>
      <c r="V10" s="3">
        <v>-3.5</v>
      </c>
    </row>
    <row r="11" spans="1:22" hidden="1">
      <c r="A11" s="1">
        <v>10</v>
      </c>
      <c r="B11" s="3">
        <v>10</v>
      </c>
      <c r="C11" s="3" t="s">
        <v>66</v>
      </c>
      <c r="D11" s="3" t="s">
        <v>733</v>
      </c>
      <c r="E11" s="3" t="s">
        <v>22</v>
      </c>
      <c r="F11" s="3">
        <v>7</v>
      </c>
      <c r="G11" s="3">
        <v>526</v>
      </c>
      <c r="H11" s="3">
        <v>17467</v>
      </c>
      <c r="I11" s="3">
        <v>7699</v>
      </c>
      <c r="J11" s="3">
        <v>2109</v>
      </c>
      <c r="K11" s="3">
        <v>1379</v>
      </c>
      <c r="L11" s="3">
        <v>0.48199999999999998</v>
      </c>
      <c r="M11" s="3">
        <v>0.373</v>
      </c>
      <c r="N11" s="3">
        <v>0.84</v>
      </c>
      <c r="O11" s="3">
        <v>33.200000000000003</v>
      </c>
      <c r="P11" s="3">
        <v>14.6</v>
      </c>
      <c r="Q11" s="3">
        <v>4</v>
      </c>
      <c r="R11" s="3">
        <v>2.6</v>
      </c>
      <c r="S11" s="3">
        <v>39.6</v>
      </c>
      <c r="T11" s="3">
        <v>0.109</v>
      </c>
      <c r="U11" s="3">
        <v>0.7</v>
      </c>
      <c r="V11" s="3">
        <v>11.9</v>
      </c>
    </row>
    <row r="12" spans="1:22" hidden="1">
      <c r="A12" s="1">
        <v>11</v>
      </c>
      <c r="B12" s="3">
        <v>11</v>
      </c>
      <c r="C12" s="3" t="s">
        <v>119</v>
      </c>
      <c r="D12" s="3" t="s">
        <v>734</v>
      </c>
      <c r="E12" s="3" t="s">
        <v>173</v>
      </c>
      <c r="F12" s="3">
        <v>7</v>
      </c>
      <c r="G12" s="3">
        <v>436</v>
      </c>
      <c r="H12" s="3">
        <v>14395</v>
      </c>
      <c r="I12" s="3">
        <v>10443</v>
      </c>
      <c r="J12" s="3">
        <v>2089</v>
      </c>
      <c r="K12" s="3">
        <v>2178</v>
      </c>
      <c r="L12" s="3">
        <v>0.501</v>
      </c>
      <c r="M12" s="3">
        <v>0.34899999999999998</v>
      </c>
      <c r="N12" s="3">
        <v>0.85899999999999999</v>
      </c>
      <c r="O12" s="3">
        <v>33</v>
      </c>
      <c r="P12" s="3">
        <v>24</v>
      </c>
      <c r="Q12" s="3">
        <v>4.8</v>
      </c>
      <c r="R12" s="3">
        <v>5</v>
      </c>
      <c r="S12" s="3">
        <v>55</v>
      </c>
      <c r="T12" s="3">
        <v>0.183</v>
      </c>
      <c r="U12" s="3">
        <v>5.2</v>
      </c>
      <c r="V12" s="3">
        <v>26.3</v>
      </c>
    </row>
    <row r="13" spans="1:22" hidden="1">
      <c r="A13" s="1">
        <v>12</v>
      </c>
      <c r="B13" s="3">
        <v>12</v>
      </c>
      <c r="C13" s="3" t="s">
        <v>28</v>
      </c>
      <c r="D13" s="3" t="s">
        <v>735</v>
      </c>
      <c r="E13" s="3" t="s">
        <v>27</v>
      </c>
      <c r="F13" s="3">
        <v>6</v>
      </c>
      <c r="G13" s="3">
        <v>396</v>
      </c>
      <c r="H13" s="3">
        <v>12197</v>
      </c>
      <c r="I13" s="3">
        <v>6058</v>
      </c>
      <c r="J13" s="3">
        <v>2425</v>
      </c>
      <c r="K13" s="3">
        <v>1023</v>
      </c>
      <c r="L13" s="3">
        <v>0.46600000000000003</v>
      </c>
      <c r="M13" s="3">
        <v>0.34200000000000003</v>
      </c>
      <c r="N13" s="3">
        <v>0.82</v>
      </c>
      <c r="O13" s="3">
        <v>30.8</v>
      </c>
      <c r="P13" s="3">
        <v>15.3</v>
      </c>
      <c r="Q13" s="3">
        <v>6.1</v>
      </c>
      <c r="R13" s="3">
        <v>2.6</v>
      </c>
      <c r="S13" s="3">
        <v>20.5</v>
      </c>
      <c r="T13" s="3">
        <v>0.08</v>
      </c>
      <c r="U13" s="3">
        <v>-0.2</v>
      </c>
      <c r="V13" s="3">
        <v>5.4</v>
      </c>
    </row>
    <row r="14" spans="1:22" hidden="1">
      <c r="A14" s="1">
        <v>13</v>
      </c>
      <c r="B14" s="3">
        <v>13</v>
      </c>
      <c r="C14" s="3" t="s">
        <v>28</v>
      </c>
      <c r="D14" s="3" t="s">
        <v>736</v>
      </c>
      <c r="E14" s="3" t="s">
        <v>364</v>
      </c>
      <c r="F14" s="3">
        <v>4</v>
      </c>
      <c r="G14" s="3">
        <v>135</v>
      </c>
      <c r="H14" s="3">
        <v>1685</v>
      </c>
      <c r="I14" s="3">
        <v>545</v>
      </c>
      <c r="J14" s="3">
        <v>214</v>
      </c>
      <c r="K14" s="3">
        <v>136</v>
      </c>
      <c r="L14" s="3">
        <v>0.36099999999999999</v>
      </c>
      <c r="M14" s="3">
        <v>0.29699999999999999</v>
      </c>
      <c r="N14" s="3">
        <v>0.71099999999999997</v>
      </c>
      <c r="O14" s="3">
        <v>12.5</v>
      </c>
      <c r="P14" s="3">
        <v>4</v>
      </c>
      <c r="Q14" s="3">
        <v>1.6</v>
      </c>
      <c r="R14" s="3">
        <v>1</v>
      </c>
      <c r="S14" s="3">
        <v>-0.2</v>
      </c>
      <c r="T14" s="3">
        <v>-4.0000000000000001E-3</v>
      </c>
      <c r="U14" s="3">
        <v>-4.8</v>
      </c>
      <c r="V14" s="3">
        <v>-1.2</v>
      </c>
    </row>
    <row r="15" spans="1:22" hidden="1">
      <c r="A15" s="1">
        <v>14</v>
      </c>
      <c r="B15" s="3">
        <v>14</v>
      </c>
      <c r="C15" s="3" t="s">
        <v>23</v>
      </c>
      <c r="D15" s="3" t="s">
        <v>737</v>
      </c>
      <c r="E15" s="3" t="s">
        <v>71</v>
      </c>
      <c r="F15" s="3">
        <v>6</v>
      </c>
      <c r="G15" s="3">
        <v>320</v>
      </c>
      <c r="H15" s="3">
        <v>9173</v>
      </c>
      <c r="I15" s="3">
        <v>5185</v>
      </c>
      <c r="J15" s="3">
        <v>2009</v>
      </c>
      <c r="K15" s="3">
        <v>433</v>
      </c>
      <c r="L15" s="3">
        <v>0.503</v>
      </c>
      <c r="M15" s="3">
        <v>0.41099999999999998</v>
      </c>
      <c r="N15" s="3">
        <v>0.79200000000000004</v>
      </c>
      <c r="O15" s="3">
        <v>28.7</v>
      </c>
      <c r="P15" s="3">
        <v>16.2</v>
      </c>
      <c r="Q15" s="3">
        <v>6.3</v>
      </c>
      <c r="R15" s="3">
        <v>1.4</v>
      </c>
      <c r="S15" s="3">
        <v>25</v>
      </c>
      <c r="T15" s="3">
        <v>0.13100000000000001</v>
      </c>
      <c r="U15" s="3">
        <v>0.9</v>
      </c>
      <c r="V15" s="3">
        <v>6.7</v>
      </c>
    </row>
    <row r="16" spans="1:22" hidden="1">
      <c r="A16" s="1">
        <v>15</v>
      </c>
      <c r="B16" s="3">
        <v>15</v>
      </c>
      <c r="C16" s="3" t="s">
        <v>69</v>
      </c>
      <c r="D16" s="3" t="s">
        <v>738</v>
      </c>
      <c r="E16" s="3" t="s">
        <v>55</v>
      </c>
      <c r="F16" s="3">
        <v>6</v>
      </c>
      <c r="G16" s="3">
        <v>356</v>
      </c>
      <c r="H16" s="3">
        <v>6778</v>
      </c>
      <c r="I16" s="3">
        <v>2196</v>
      </c>
      <c r="J16" s="3">
        <v>1288</v>
      </c>
      <c r="K16" s="3">
        <v>508</v>
      </c>
      <c r="L16" s="3">
        <v>0.42299999999999999</v>
      </c>
      <c r="M16" s="3">
        <v>0.35099999999999998</v>
      </c>
      <c r="N16" s="3">
        <v>0.78300000000000003</v>
      </c>
      <c r="O16" s="3">
        <v>19</v>
      </c>
      <c r="P16" s="3">
        <v>6.2</v>
      </c>
      <c r="Q16" s="3">
        <v>3.6</v>
      </c>
      <c r="R16" s="3">
        <v>1.4</v>
      </c>
      <c r="S16" s="3">
        <v>8.6</v>
      </c>
      <c r="T16" s="3">
        <v>6.0999999999999999E-2</v>
      </c>
      <c r="U16" s="3">
        <v>-1.8</v>
      </c>
      <c r="V16" s="3">
        <v>0.4</v>
      </c>
    </row>
    <row r="17" spans="1:22" hidden="1">
      <c r="A17" s="1">
        <v>16</v>
      </c>
      <c r="B17" s="3">
        <v>16</v>
      </c>
      <c r="C17" s="3" t="s">
        <v>323</v>
      </c>
      <c r="D17" s="3" t="s">
        <v>739</v>
      </c>
      <c r="E17" s="3" t="s">
        <v>621</v>
      </c>
      <c r="F17" s="3">
        <v>2</v>
      </c>
      <c r="G17" s="3">
        <v>13</v>
      </c>
      <c r="H17" s="3">
        <v>143</v>
      </c>
      <c r="I17" s="3">
        <v>48</v>
      </c>
      <c r="J17" s="3">
        <v>15</v>
      </c>
      <c r="K17" s="3">
        <v>12</v>
      </c>
      <c r="L17" s="3">
        <v>0.378</v>
      </c>
      <c r="M17" s="3">
        <v>0.316</v>
      </c>
      <c r="N17" s="3">
        <v>0.66700000000000004</v>
      </c>
      <c r="O17" s="3">
        <v>11</v>
      </c>
      <c r="P17" s="3">
        <v>3.7</v>
      </c>
      <c r="Q17" s="3">
        <v>1.2</v>
      </c>
      <c r="R17" s="3">
        <v>0.9</v>
      </c>
      <c r="S17" s="3">
        <v>0</v>
      </c>
      <c r="T17" s="3">
        <v>1.0999999999999999E-2</v>
      </c>
      <c r="U17" s="3">
        <v>-6.1</v>
      </c>
      <c r="V17" s="3">
        <v>-0.1</v>
      </c>
    </row>
    <row r="18" spans="1:22" hidden="1">
      <c r="A18" s="1">
        <v>17</v>
      </c>
      <c r="B18" s="3">
        <v>17</v>
      </c>
      <c r="C18" s="3" t="s">
        <v>57</v>
      </c>
      <c r="D18" s="3" t="s">
        <v>740</v>
      </c>
      <c r="E18" s="3" t="s">
        <v>22</v>
      </c>
      <c r="F18" s="3">
        <v>7</v>
      </c>
      <c r="G18" s="3">
        <v>394</v>
      </c>
      <c r="H18" s="3">
        <v>10061</v>
      </c>
      <c r="I18" s="3">
        <v>4186</v>
      </c>
      <c r="J18" s="3">
        <v>1702</v>
      </c>
      <c r="K18" s="3">
        <v>1118</v>
      </c>
      <c r="L18" s="3">
        <v>0.42399999999999999</v>
      </c>
      <c r="M18" s="3">
        <v>0.375</v>
      </c>
      <c r="N18" s="3">
        <v>0.77600000000000002</v>
      </c>
      <c r="O18" s="3">
        <v>25.5</v>
      </c>
      <c r="P18" s="3">
        <v>10.6</v>
      </c>
      <c r="Q18" s="3">
        <v>4.3</v>
      </c>
      <c r="R18" s="3">
        <v>2.8</v>
      </c>
      <c r="S18" s="3">
        <v>22</v>
      </c>
      <c r="T18" s="3">
        <v>0.105</v>
      </c>
      <c r="U18" s="3">
        <v>0.9</v>
      </c>
      <c r="V18" s="3">
        <v>7.5</v>
      </c>
    </row>
    <row r="19" spans="1:22" hidden="1">
      <c r="A19" s="1">
        <v>18</v>
      </c>
      <c r="B19" s="3">
        <v>18</v>
      </c>
      <c r="C19" s="3" t="s">
        <v>79</v>
      </c>
      <c r="D19" s="3" t="s">
        <v>741</v>
      </c>
      <c r="E19" s="3" t="s">
        <v>103</v>
      </c>
      <c r="F19" s="3">
        <v>6</v>
      </c>
      <c r="G19" s="3">
        <v>322</v>
      </c>
      <c r="H19" s="3">
        <v>6548</v>
      </c>
      <c r="I19" s="3">
        <v>3171</v>
      </c>
      <c r="J19" s="3">
        <v>728</v>
      </c>
      <c r="K19" s="3">
        <v>468</v>
      </c>
      <c r="L19" s="3">
        <v>0.42199999999999999</v>
      </c>
      <c r="M19" s="3">
        <v>0.35599999999999998</v>
      </c>
      <c r="N19" s="3">
        <v>0.79500000000000004</v>
      </c>
      <c r="O19" s="3">
        <v>20.3</v>
      </c>
      <c r="P19" s="3">
        <v>9.8000000000000007</v>
      </c>
      <c r="Q19" s="3">
        <v>2.2999999999999998</v>
      </c>
      <c r="R19" s="3">
        <v>1.5</v>
      </c>
      <c r="S19" s="3">
        <v>4.5999999999999996</v>
      </c>
      <c r="T19" s="3">
        <v>3.3000000000000002E-2</v>
      </c>
      <c r="U19" s="3">
        <v>-2.5</v>
      </c>
      <c r="V19" s="3">
        <v>-0.9</v>
      </c>
    </row>
    <row r="20" spans="1:22" hidden="1">
      <c r="A20" s="1">
        <v>19</v>
      </c>
      <c r="B20" s="3">
        <v>19</v>
      </c>
      <c r="C20" s="3" t="s">
        <v>184</v>
      </c>
      <c r="D20" s="3" t="s">
        <v>742</v>
      </c>
      <c r="E20" s="3" t="s">
        <v>89</v>
      </c>
      <c r="F20" s="3">
        <v>7</v>
      </c>
      <c r="G20" s="3">
        <v>457</v>
      </c>
      <c r="H20" s="3">
        <v>12805</v>
      </c>
      <c r="I20" s="3">
        <v>5262</v>
      </c>
      <c r="J20" s="3">
        <v>1557</v>
      </c>
      <c r="K20" s="3">
        <v>1333</v>
      </c>
      <c r="L20" s="3">
        <v>0.441</v>
      </c>
      <c r="M20" s="3">
        <v>0.375</v>
      </c>
      <c r="N20" s="3">
        <v>0.76100000000000001</v>
      </c>
      <c r="O20" s="3">
        <v>28</v>
      </c>
      <c r="P20" s="3">
        <v>11.5</v>
      </c>
      <c r="Q20" s="3">
        <v>3.4</v>
      </c>
      <c r="R20" s="3">
        <v>2.9</v>
      </c>
      <c r="S20" s="3">
        <v>18</v>
      </c>
      <c r="T20" s="3">
        <v>6.8000000000000005E-2</v>
      </c>
      <c r="U20" s="3">
        <v>-1</v>
      </c>
      <c r="V20" s="3">
        <v>3.4</v>
      </c>
    </row>
    <row r="21" spans="1:22" hidden="1">
      <c r="A21" s="1">
        <v>20</v>
      </c>
      <c r="B21" s="3">
        <v>20</v>
      </c>
      <c r="C21" s="3" t="s">
        <v>135</v>
      </c>
      <c r="D21" s="3" t="s">
        <v>743</v>
      </c>
      <c r="E21" s="3" t="s">
        <v>744</v>
      </c>
      <c r="F21" s="3">
        <v>7</v>
      </c>
      <c r="G21" s="3">
        <v>408</v>
      </c>
      <c r="H21" s="3">
        <v>7827</v>
      </c>
      <c r="I21" s="3">
        <v>2578</v>
      </c>
      <c r="J21" s="3">
        <v>1213</v>
      </c>
      <c r="K21" s="3">
        <v>471</v>
      </c>
      <c r="L21" s="3">
        <v>0.40799999999999997</v>
      </c>
      <c r="M21" s="3">
        <v>0.3</v>
      </c>
      <c r="N21" s="3">
        <v>0.747</v>
      </c>
      <c r="O21" s="3">
        <v>19.2</v>
      </c>
      <c r="P21" s="3">
        <v>6.3</v>
      </c>
      <c r="Q21" s="3">
        <v>3</v>
      </c>
      <c r="R21" s="3">
        <v>1.2</v>
      </c>
      <c r="S21" s="3">
        <v>11.4</v>
      </c>
      <c r="T21" s="3">
        <v>7.0000000000000007E-2</v>
      </c>
      <c r="U21" s="3">
        <v>-1.8</v>
      </c>
      <c r="V21" s="3">
        <v>0.3</v>
      </c>
    </row>
    <row r="22" spans="1:22" hidden="1">
      <c r="A22" s="1">
        <v>21</v>
      </c>
      <c r="B22" s="3">
        <v>21</v>
      </c>
      <c r="C22" s="3" t="s">
        <v>193</v>
      </c>
      <c r="D22" s="3" t="s">
        <v>745</v>
      </c>
      <c r="E22" s="3" t="s">
        <v>171</v>
      </c>
      <c r="F22" s="3">
        <v>7</v>
      </c>
      <c r="G22" s="3">
        <v>381</v>
      </c>
      <c r="H22" s="3">
        <v>9737</v>
      </c>
      <c r="I22" s="3">
        <v>4035</v>
      </c>
      <c r="J22" s="3">
        <v>1167</v>
      </c>
      <c r="K22" s="3">
        <v>761</v>
      </c>
      <c r="L22" s="3">
        <v>0.45100000000000001</v>
      </c>
      <c r="M22" s="3">
        <v>0.41499999999999998</v>
      </c>
      <c r="N22" s="3">
        <v>0.86199999999999999</v>
      </c>
      <c r="O22" s="3">
        <v>25.6</v>
      </c>
      <c r="P22" s="3">
        <v>10.6</v>
      </c>
      <c r="Q22" s="3">
        <v>3.1</v>
      </c>
      <c r="R22" s="3">
        <v>2</v>
      </c>
      <c r="S22" s="3">
        <v>22.3</v>
      </c>
      <c r="T22" s="3">
        <v>0.11</v>
      </c>
      <c r="U22" s="3">
        <v>0.1</v>
      </c>
      <c r="V22" s="3">
        <v>5.2</v>
      </c>
    </row>
    <row r="23" spans="1:22" hidden="1">
      <c r="A23" s="1">
        <v>22</v>
      </c>
      <c r="B23" s="3">
        <v>22</v>
      </c>
      <c r="C23" s="3" t="s">
        <v>99</v>
      </c>
      <c r="D23" s="3" t="s">
        <v>746</v>
      </c>
      <c r="E23" s="3" t="s">
        <v>629</v>
      </c>
      <c r="F23" s="3">
        <v>4</v>
      </c>
      <c r="G23" s="3">
        <v>103</v>
      </c>
      <c r="H23" s="3">
        <v>1790</v>
      </c>
      <c r="I23" s="3">
        <v>558</v>
      </c>
      <c r="J23" s="3">
        <v>376</v>
      </c>
      <c r="K23" s="3">
        <v>79</v>
      </c>
      <c r="L23" s="3">
        <v>0.442</v>
      </c>
      <c r="M23" s="3">
        <v>0.309</v>
      </c>
      <c r="N23" s="3">
        <v>0.64300000000000002</v>
      </c>
      <c r="O23" s="3">
        <v>17.399999999999999</v>
      </c>
      <c r="P23" s="3">
        <v>5.4</v>
      </c>
      <c r="Q23" s="3">
        <v>3.7</v>
      </c>
      <c r="R23" s="3">
        <v>0.8</v>
      </c>
      <c r="S23" s="3">
        <v>1.1000000000000001</v>
      </c>
      <c r="T23" s="3">
        <v>0.03</v>
      </c>
      <c r="U23" s="3">
        <v>-3.9</v>
      </c>
      <c r="V23" s="3">
        <v>-0.9</v>
      </c>
    </row>
    <row r="24" spans="1:22" hidden="1">
      <c r="A24" s="1">
        <v>23</v>
      </c>
      <c r="B24" s="3">
        <v>23</v>
      </c>
      <c r="C24" s="3" t="s">
        <v>41</v>
      </c>
      <c r="D24" s="3" t="s">
        <v>747</v>
      </c>
      <c r="E24" s="3" t="s">
        <v>63</v>
      </c>
      <c r="F24" s="3">
        <v>7</v>
      </c>
      <c r="G24" s="3">
        <v>424</v>
      </c>
      <c r="H24" s="3">
        <v>7013</v>
      </c>
      <c r="I24" s="3">
        <v>2717</v>
      </c>
      <c r="J24" s="3">
        <v>670</v>
      </c>
      <c r="K24" s="3">
        <v>863</v>
      </c>
      <c r="L24" s="3">
        <v>0.41799999999999998</v>
      </c>
      <c r="M24" s="3">
        <v>0.377</v>
      </c>
      <c r="N24" s="3">
        <v>0.85599999999999998</v>
      </c>
      <c r="O24" s="3">
        <v>16.5</v>
      </c>
      <c r="P24" s="3">
        <v>6.4</v>
      </c>
      <c r="Q24" s="3">
        <v>1.6</v>
      </c>
      <c r="R24" s="3">
        <v>2</v>
      </c>
      <c r="S24" s="3">
        <v>9</v>
      </c>
      <c r="T24" s="3">
        <v>6.2E-2</v>
      </c>
      <c r="U24" s="3">
        <v>-2.1</v>
      </c>
      <c r="V24" s="3">
        <v>-0.2</v>
      </c>
    </row>
    <row r="25" spans="1:22" hidden="1">
      <c r="A25" s="1">
        <v>24</v>
      </c>
      <c r="B25" s="3">
        <v>24</v>
      </c>
      <c r="C25" s="3" t="s">
        <v>124</v>
      </c>
      <c r="D25" s="3" t="s">
        <v>748</v>
      </c>
      <c r="E25" s="2"/>
      <c r="F25" s="3">
        <v>7</v>
      </c>
      <c r="G25" s="3">
        <v>368</v>
      </c>
      <c r="H25" s="3">
        <v>9712</v>
      </c>
      <c r="I25" s="3">
        <v>5395</v>
      </c>
      <c r="J25" s="3">
        <v>919</v>
      </c>
      <c r="K25" s="3">
        <v>1172</v>
      </c>
      <c r="L25" s="3">
        <v>0.43099999999999999</v>
      </c>
      <c r="M25" s="3">
        <v>0.38400000000000001</v>
      </c>
      <c r="N25" s="3">
        <v>0.877</v>
      </c>
      <c r="O25" s="3">
        <v>26.4</v>
      </c>
      <c r="P25" s="3">
        <v>14.7</v>
      </c>
      <c r="Q25" s="3">
        <v>2.5</v>
      </c>
      <c r="R25" s="3">
        <v>3.2</v>
      </c>
      <c r="S25" s="3">
        <v>11.2</v>
      </c>
      <c r="T25" s="3">
        <v>5.6000000000000001E-2</v>
      </c>
      <c r="U25" s="3">
        <v>-1.2</v>
      </c>
      <c r="V25" s="3">
        <v>1.9</v>
      </c>
    </row>
    <row r="26" spans="1:22" hidden="1">
      <c r="A26" s="1">
        <v>25</v>
      </c>
      <c r="B26" s="3">
        <v>25</v>
      </c>
      <c r="C26" s="3" t="s">
        <v>31</v>
      </c>
      <c r="D26" s="3" t="s">
        <v>749</v>
      </c>
      <c r="E26" s="3" t="s">
        <v>151</v>
      </c>
      <c r="F26" s="3">
        <v>7</v>
      </c>
      <c r="G26" s="3">
        <v>363</v>
      </c>
      <c r="H26" s="3">
        <v>6051</v>
      </c>
      <c r="I26" s="3">
        <v>3328</v>
      </c>
      <c r="J26" s="3">
        <v>1436</v>
      </c>
      <c r="K26" s="3">
        <v>439</v>
      </c>
      <c r="L26" s="3">
        <v>0.52500000000000002</v>
      </c>
      <c r="M26" s="3">
        <v>0.32400000000000001</v>
      </c>
      <c r="N26" s="3">
        <v>0.80700000000000005</v>
      </c>
      <c r="O26" s="3">
        <v>16.7</v>
      </c>
      <c r="P26" s="3">
        <v>9.1999999999999993</v>
      </c>
      <c r="Q26" s="3">
        <v>4</v>
      </c>
      <c r="R26" s="3">
        <v>1.2</v>
      </c>
      <c r="S26" s="3">
        <v>16.899999999999999</v>
      </c>
      <c r="T26" s="3">
        <v>0.13400000000000001</v>
      </c>
      <c r="U26" s="3">
        <v>0.3</v>
      </c>
      <c r="V26" s="3">
        <v>3.4</v>
      </c>
    </row>
    <row r="27" spans="1:22" hidden="1">
      <c r="A27" s="1">
        <v>26</v>
      </c>
      <c r="B27" s="3">
        <v>26</v>
      </c>
      <c r="C27" s="3" t="s">
        <v>66</v>
      </c>
      <c r="D27" s="3" t="s">
        <v>750</v>
      </c>
      <c r="E27" s="3" t="s">
        <v>751</v>
      </c>
      <c r="F27" s="3">
        <v>7</v>
      </c>
      <c r="G27" s="3">
        <v>368</v>
      </c>
      <c r="H27" s="3">
        <v>7830</v>
      </c>
      <c r="I27" s="3">
        <v>3085</v>
      </c>
      <c r="J27" s="3">
        <v>616</v>
      </c>
      <c r="K27" s="3">
        <v>579</v>
      </c>
      <c r="L27" s="3">
        <v>0.40899999999999997</v>
      </c>
      <c r="M27" s="3">
        <v>0.38200000000000001</v>
      </c>
      <c r="N27" s="3">
        <v>0.83499999999999996</v>
      </c>
      <c r="O27" s="3">
        <v>21.3</v>
      </c>
      <c r="P27" s="3">
        <v>8.4</v>
      </c>
      <c r="Q27" s="3">
        <v>1.7</v>
      </c>
      <c r="R27" s="3">
        <v>1.6</v>
      </c>
      <c r="S27" s="3">
        <v>12.2</v>
      </c>
      <c r="T27" s="3">
        <v>7.4999999999999997E-2</v>
      </c>
      <c r="U27" s="3">
        <v>-2</v>
      </c>
      <c r="V27" s="3">
        <v>0</v>
      </c>
    </row>
    <row r="28" spans="1:22" hidden="1">
      <c r="A28" s="1">
        <v>27</v>
      </c>
      <c r="B28" s="3">
        <v>27</v>
      </c>
      <c r="C28" s="3" t="s">
        <v>190</v>
      </c>
      <c r="D28" s="3" t="s">
        <v>752</v>
      </c>
      <c r="E28" s="3" t="s">
        <v>30</v>
      </c>
      <c r="F28" s="3">
        <v>7</v>
      </c>
      <c r="G28" s="3">
        <v>234</v>
      </c>
      <c r="H28" s="3">
        <v>4729</v>
      </c>
      <c r="I28" s="3">
        <v>1683</v>
      </c>
      <c r="J28" s="3">
        <v>1597</v>
      </c>
      <c r="K28" s="3">
        <v>324</v>
      </c>
      <c r="L28" s="3">
        <v>0.72199999999999998</v>
      </c>
      <c r="M28" s="3">
        <v>0.14299999999999999</v>
      </c>
      <c r="N28" s="3">
        <v>0.67400000000000004</v>
      </c>
      <c r="O28" s="3">
        <v>20.2</v>
      </c>
      <c r="P28" s="3">
        <v>7.2</v>
      </c>
      <c r="Q28" s="3">
        <v>6.8</v>
      </c>
      <c r="R28" s="3">
        <v>1.4</v>
      </c>
      <c r="S28" s="3">
        <v>23.7</v>
      </c>
      <c r="T28" s="3">
        <v>0.24099999999999999</v>
      </c>
      <c r="U28" s="3">
        <v>4.5999999999999996</v>
      </c>
      <c r="V28" s="3">
        <v>7.9</v>
      </c>
    </row>
    <row r="29" spans="1:22" hidden="1">
      <c r="A29" s="1">
        <v>28</v>
      </c>
      <c r="B29" s="3">
        <v>28</v>
      </c>
      <c r="C29" s="3" t="s">
        <v>25</v>
      </c>
      <c r="D29" s="3" t="s">
        <v>753</v>
      </c>
      <c r="E29" s="3" t="s">
        <v>131</v>
      </c>
      <c r="F29" s="3">
        <v>2</v>
      </c>
      <c r="G29" s="3">
        <v>59</v>
      </c>
      <c r="H29" s="3">
        <v>622</v>
      </c>
      <c r="I29" s="3">
        <v>168</v>
      </c>
      <c r="J29" s="3">
        <v>66</v>
      </c>
      <c r="K29" s="3">
        <v>54</v>
      </c>
      <c r="L29" s="3">
        <v>0.33700000000000002</v>
      </c>
      <c r="M29" s="3">
        <v>0.315</v>
      </c>
      <c r="N29" s="3">
        <v>0.83299999999999996</v>
      </c>
      <c r="O29" s="3">
        <v>10.5</v>
      </c>
      <c r="P29" s="3">
        <v>2.8</v>
      </c>
      <c r="Q29" s="3">
        <v>1.1000000000000001</v>
      </c>
      <c r="R29" s="3">
        <v>0.9</v>
      </c>
      <c r="S29" s="3">
        <v>-0.6</v>
      </c>
      <c r="T29" s="3">
        <v>-4.7E-2</v>
      </c>
      <c r="U29" s="3">
        <v>-7.4</v>
      </c>
      <c r="V29" s="3">
        <v>-0.8</v>
      </c>
    </row>
    <row r="30" spans="1:22" hidden="1">
      <c r="A30" s="1">
        <v>29</v>
      </c>
      <c r="B30" s="3">
        <v>29</v>
      </c>
      <c r="C30" s="3" t="s">
        <v>47</v>
      </c>
      <c r="D30" s="3" t="s">
        <v>754</v>
      </c>
      <c r="E30" s="2"/>
      <c r="F30" s="3">
        <v>2</v>
      </c>
      <c r="G30" s="3">
        <v>49</v>
      </c>
      <c r="H30" s="3">
        <v>526</v>
      </c>
      <c r="I30" s="3">
        <v>211</v>
      </c>
      <c r="J30" s="3">
        <v>91</v>
      </c>
      <c r="K30" s="3">
        <v>45</v>
      </c>
      <c r="L30" s="3">
        <v>0.376</v>
      </c>
      <c r="M30" s="3">
        <v>0.22700000000000001</v>
      </c>
      <c r="N30" s="3">
        <v>0.72599999999999998</v>
      </c>
      <c r="O30" s="3">
        <v>10.7</v>
      </c>
      <c r="P30" s="3">
        <v>4.3</v>
      </c>
      <c r="Q30" s="3">
        <v>1.9</v>
      </c>
      <c r="R30" s="3">
        <v>0.9</v>
      </c>
      <c r="S30" s="3">
        <v>0</v>
      </c>
      <c r="T30" s="3">
        <v>3.0000000000000001E-3</v>
      </c>
      <c r="U30" s="3">
        <v>-4.5999999999999996</v>
      </c>
      <c r="V30" s="3">
        <v>-0.4</v>
      </c>
    </row>
    <row r="31" spans="1:22" hidden="1">
      <c r="A31" s="1">
        <v>30</v>
      </c>
      <c r="B31" s="3">
        <v>30</v>
      </c>
      <c r="C31" s="3" t="s">
        <v>184</v>
      </c>
      <c r="D31" s="3" t="s">
        <v>755</v>
      </c>
      <c r="E31" s="3" t="s">
        <v>22</v>
      </c>
      <c r="F31" s="3">
        <v>2</v>
      </c>
      <c r="G31" s="3">
        <v>95</v>
      </c>
      <c r="H31" s="3">
        <v>1691</v>
      </c>
      <c r="I31" s="3">
        <v>642</v>
      </c>
      <c r="J31" s="3">
        <v>413</v>
      </c>
      <c r="K31" s="3">
        <v>94</v>
      </c>
      <c r="L31" s="3">
        <v>0.41699999999999998</v>
      </c>
      <c r="M31" s="3">
        <v>0.36599999999999999</v>
      </c>
      <c r="N31" s="3">
        <v>0.76600000000000001</v>
      </c>
      <c r="O31" s="3">
        <v>17.8</v>
      </c>
      <c r="P31" s="3">
        <v>6.8</v>
      </c>
      <c r="Q31" s="3">
        <v>4.3</v>
      </c>
      <c r="R31" s="3">
        <v>1</v>
      </c>
      <c r="S31" s="3">
        <v>2.4</v>
      </c>
      <c r="T31" s="3">
        <v>6.8000000000000005E-2</v>
      </c>
      <c r="U31" s="3">
        <v>-1.5</v>
      </c>
      <c r="V31" s="3">
        <v>0.2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5">
      <c r="A33" s="1">
        <v>31</v>
      </c>
      <c r="B33" s="3">
        <v>31</v>
      </c>
      <c r="C33" s="3" t="s">
        <v>323</v>
      </c>
      <c r="D33" s="67" t="s">
        <v>756</v>
      </c>
      <c r="E33" s="2"/>
      <c r="F33" s="3">
        <v>2</v>
      </c>
      <c r="G33" s="3">
        <v>108</v>
      </c>
      <c r="H33" s="3">
        <v>1677</v>
      </c>
      <c r="I33" s="3">
        <v>523</v>
      </c>
      <c r="J33" s="3">
        <v>188</v>
      </c>
      <c r="K33" s="3">
        <v>242</v>
      </c>
      <c r="L33" s="3">
        <v>0.39500000000000002</v>
      </c>
      <c r="M33" s="3">
        <v>0.315</v>
      </c>
      <c r="N33" s="3">
        <v>0.73699999999999999</v>
      </c>
      <c r="O33" s="3">
        <v>15.5</v>
      </c>
      <c r="P33" s="3">
        <v>4.8</v>
      </c>
      <c r="Q33" s="3">
        <v>1.7</v>
      </c>
      <c r="R33" s="3">
        <v>2.2000000000000002</v>
      </c>
      <c r="S33" s="3">
        <v>0.5</v>
      </c>
      <c r="T33" s="3">
        <v>1.4E-2</v>
      </c>
      <c r="U33" s="3">
        <v>-4.0999999999999996</v>
      </c>
      <c r="V33" s="3">
        <v>-0.9</v>
      </c>
    </row>
    <row r="34" spans="1:25">
      <c r="A34" s="1">
        <v>32</v>
      </c>
      <c r="B34" s="3">
        <v>32</v>
      </c>
      <c r="C34" s="3" t="s">
        <v>152</v>
      </c>
      <c r="D34" s="82" t="s">
        <v>183</v>
      </c>
      <c r="E34" s="3" t="s">
        <v>87</v>
      </c>
      <c r="F34" s="3">
        <v>7</v>
      </c>
      <c r="G34" s="3">
        <v>401</v>
      </c>
      <c r="H34" s="3">
        <v>6135</v>
      </c>
      <c r="I34" s="3">
        <v>2082</v>
      </c>
      <c r="J34" s="3">
        <v>671</v>
      </c>
      <c r="K34" s="3">
        <v>633</v>
      </c>
      <c r="L34" s="3">
        <v>0.39700000000000002</v>
      </c>
      <c r="M34" s="3">
        <v>0.38200000000000001</v>
      </c>
      <c r="N34" s="3">
        <v>0.79600000000000004</v>
      </c>
      <c r="O34" s="3">
        <v>15.3</v>
      </c>
      <c r="P34" s="3">
        <v>5.2</v>
      </c>
      <c r="Q34" s="3">
        <v>1.7</v>
      </c>
      <c r="R34" s="3">
        <v>1.6</v>
      </c>
      <c r="S34" s="3">
        <v>8.4</v>
      </c>
      <c r="T34" s="3">
        <v>6.6000000000000003E-2</v>
      </c>
      <c r="U34" s="3">
        <v>-1.4</v>
      </c>
      <c r="V34" s="3">
        <v>0.9</v>
      </c>
      <c r="X34" s="53" t="s">
        <v>757</v>
      </c>
      <c r="Y34" s="3">
        <v>1</v>
      </c>
    </row>
    <row r="35" spans="1:25">
      <c r="A35" s="1">
        <v>33</v>
      </c>
      <c r="B35" s="3">
        <v>33</v>
      </c>
      <c r="C35" s="3" t="s">
        <v>20</v>
      </c>
      <c r="D35" s="85" t="s">
        <v>21</v>
      </c>
      <c r="E35" s="3" t="s">
        <v>22</v>
      </c>
      <c r="F35" s="3">
        <v>7</v>
      </c>
      <c r="G35" s="3">
        <v>473</v>
      </c>
      <c r="H35" s="3">
        <v>13739</v>
      </c>
      <c r="I35" s="3">
        <v>8471</v>
      </c>
      <c r="J35" s="3">
        <v>1507</v>
      </c>
      <c r="K35" s="3">
        <v>2355</v>
      </c>
      <c r="L35" s="3">
        <v>0.48899999999999999</v>
      </c>
      <c r="M35" s="3">
        <v>0.39200000000000002</v>
      </c>
      <c r="N35" s="3">
        <v>0.82299999999999995</v>
      </c>
      <c r="O35" s="3">
        <v>29</v>
      </c>
      <c r="P35" s="3">
        <v>17.899999999999999</v>
      </c>
      <c r="Q35" s="3">
        <v>3.2</v>
      </c>
      <c r="R35" s="3">
        <v>5</v>
      </c>
      <c r="S35" s="3">
        <v>44.4</v>
      </c>
      <c r="T35" s="3">
        <v>0.155</v>
      </c>
      <c r="U35" s="3">
        <v>2.2999999999999998</v>
      </c>
      <c r="V35" s="3">
        <v>14.8</v>
      </c>
      <c r="X35" s="54" t="s">
        <v>758</v>
      </c>
      <c r="Y35" s="3">
        <v>0</v>
      </c>
    </row>
    <row r="36" spans="1:25">
      <c r="A36" s="1">
        <v>34</v>
      </c>
      <c r="B36" s="3">
        <v>34</v>
      </c>
      <c r="C36" s="3" t="s">
        <v>184</v>
      </c>
      <c r="D36" s="82" t="s">
        <v>185</v>
      </c>
      <c r="E36" s="3" t="s">
        <v>138</v>
      </c>
      <c r="F36" s="3">
        <v>6</v>
      </c>
      <c r="G36" s="3">
        <v>336</v>
      </c>
      <c r="H36" s="3">
        <v>8359</v>
      </c>
      <c r="I36" s="3">
        <v>3733</v>
      </c>
      <c r="J36" s="3">
        <v>758</v>
      </c>
      <c r="K36" s="3">
        <v>1448</v>
      </c>
      <c r="L36" s="3">
        <v>0.371</v>
      </c>
      <c r="M36" s="3">
        <v>0.35399999999999998</v>
      </c>
      <c r="N36" s="3">
        <v>0.81200000000000006</v>
      </c>
      <c r="O36" s="3">
        <v>24.9</v>
      </c>
      <c r="P36" s="3">
        <v>11.1</v>
      </c>
      <c r="Q36" s="3">
        <v>2.2999999999999998</v>
      </c>
      <c r="R36" s="3">
        <v>4.3</v>
      </c>
      <c r="S36" s="3">
        <v>12.7</v>
      </c>
      <c r="T36" s="3">
        <v>7.2999999999999995E-2</v>
      </c>
      <c r="U36" s="3">
        <v>-0.5</v>
      </c>
      <c r="V36" s="3">
        <v>3.2</v>
      </c>
      <c r="X36" s="58" t="s">
        <v>39</v>
      </c>
      <c r="Y36" s="3">
        <v>1</v>
      </c>
    </row>
    <row r="37" spans="1:25">
      <c r="A37" s="1">
        <v>35</v>
      </c>
      <c r="B37" s="3">
        <v>35</v>
      </c>
      <c r="C37" s="3" t="s">
        <v>179</v>
      </c>
      <c r="D37" s="67" t="s">
        <v>759</v>
      </c>
      <c r="E37" s="3" t="s">
        <v>760</v>
      </c>
      <c r="F37" s="3">
        <v>3</v>
      </c>
      <c r="G37" s="3">
        <v>32</v>
      </c>
      <c r="H37" s="3">
        <v>290</v>
      </c>
      <c r="I37" s="3">
        <v>87</v>
      </c>
      <c r="J37" s="3">
        <v>28</v>
      </c>
      <c r="K37" s="3">
        <v>5</v>
      </c>
      <c r="L37" s="3">
        <v>0.34</v>
      </c>
      <c r="M37" s="3">
        <v>0.20899999999999999</v>
      </c>
      <c r="N37" s="3">
        <v>0.53300000000000003</v>
      </c>
      <c r="O37" s="3">
        <v>9.1</v>
      </c>
      <c r="P37" s="3">
        <v>2.7</v>
      </c>
      <c r="Q37" s="3">
        <v>0.9</v>
      </c>
      <c r="R37" s="3">
        <v>0.2</v>
      </c>
      <c r="S37" s="3">
        <v>-0.4</v>
      </c>
      <c r="T37" s="3">
        <v>-6.2E-2</v>
      </c>
      <c r="U37" s="3">
        <v>-10</v>
      </c>
      <c r="V37" s="3">
        <v>-0.6</v>
      </c>
      <c r="X37" s="59" t="s">
        <v>106</v>
      </c>
      <c r="Y37" s="3">
        <v>2</v>
      </c>
    </row>
    <row r="38" spans="1:25">
      <c r="A38" s="1">
        <v>36</v>
      </c>
      <c r="B38" s="3">
        <v>36</v>
      </c>
      <c r="C38" s="3" t="s">
        <v>50</v>
      </c>
      <c r="D38" s="89" t="s">
        <v>51</v>
      </c>
      <c r="E38" s="2"/>
      <c r="F38" s="3">
        <v>6</v>
      </c>
      <c r="G38" s="3">
        <v>320</v>
      </c>
      <c r="H38" s="3">
        <v>7832</v>
      </c>
      <c r="I38" s="3">
        <v>2549</v>
      </c>
      <c r="J38" s="3">
        <v>2538</v>
      </c>
      <c r="K38" s="3">
        <v>199</v>
      </c>
      <c r="L38" s="3">
        <v>0.70099999999999996</v>
      </c>
      <c r="M38" s="2">
        <v>0</v>
      </c>
      <c r="N38" s="3">
        <v>0.51800000000000002</v>
      </c>
      <c r="O38" s="3">
        <v>24.5</v>
      </c>
      <c r="P38" s="3">
        <v>8</v>
      </c>
      <c r="Q38" s="3">
        <v>7.9</v>
      </c>
      <c r="R38" s="3">
        <v>0.6</v>
      </c>
      <c r="S38" s="3">
        <v>33.9</v>
      </c>
      <c r="T38" s="3">
        <v>0.20699999999999999</v>
      </c>
      <c r="U38" s="3">
        <v>2.1</v>
      </c>
      <c r="V38" s="3">
        <v>8.1</v>
      </c>
      <c r="X38" s="60" t="s">
        <v>678</v>
      </c>
      <c r="Y38" s="3">
        <v>5</v>
      </c>
    </row>
    <row r="39" spans="1:25">
      <c r="A39" s="1">
        <v>37</v>
      </c>
      <c r="B39" s="3">
        <v>37</v>
      </c>
      <c r="C39" s="3" t="s">
        <v>36</v>
      </c>
      <c r="D39" s="82" t="s">
        <v>186</v>
      </c>
      <c r="E39" s="3" t="s">
        <v>171</v>
      </c>
      <c r="F39" s="3">
        <v>7</v>
      </c>
      <c r="G39" s="3">
        <v>387</v>
      </c>
      <c r="H39" s="3">
        <v>10951</v>
      </c>
      <c r="I39" s="3">
        <v>5342</v>
      </c>
      <c r="J39" s="3">
        <v>925</v>
      </c>
      <c r="K39" s="3">
        <v>563</v>
      </c>
      <c r="L39" s="3">
        <v>0.42299999999999999</v>
      </c>
      <c r="M39" s="3">
        <v>0.39</v>
      </c>
      <c r="N39" s="3">
        <v>0.82199999999999995</v>
      </c>
      <c r="O39" s="3">
        <v>28.3</v>
      </c>
      <c r="P39" s="3">
        <v>13.8</v>
      </c>
      <c r="Q39" s="3">
        <v>2.4</v>
      </c>
      <c r="R39" s="3">
        <v>1.5</v>
      </c>
      <c r="S39" s="3">
        <v>17.600000000000001</v>
      </c>
      <c r="T39" s="3">
        <v>7.6999999999999999E-2</v>
      </c>
      <c r="U39" s="3">
        <v>-1.1000000000000001</v>
      </c>
      <c r="V39" s="3">
        <v>2.4</v>
      </c>
      <c r="X39" s="84" t="s">
        <v>680</v>
      </c>
    </row>
    <row r="40" spans="1:25">
      <c r="A40" s="1">
        <v>38</v>
      </c>
      <c r="B40" s="3">
        <v>38</v>
      </c>
      <c r="C40" s="3" t="s">
        <v>66</v>
      </c>
      <c r="D40" s="67" t="s">
        <v>761</v>
      </c>
      <c r="E40" s="3" t="s">
        <v>335</v>
      </c>
      <c r="F40" s="3">
        <v>3</v>
      </c>
      <c r="G40" s="3">
        <v>39</v>
      </c>
      <c r="H40" s="3">
        <v>409</v>
      </c>
      <c r="I40" s="3">
        <v>160</v>
      </c>
      <c r="J40" s="3">
        <v>39</v>
      </c>
      <c r="K40" s="3">
        <v>36</v>
      </c>
      <c r="L40" s="3">
        <v>0.38800000000000001</v>
      </c>
      <c r="M40" s="3">
        <v>0.316</v>
      </c>
      <c r="N40" s="3">
        <v>0.75</v>
      </c>
      <c r="O40" s="3">
        <v>10.5</v>
      </c>
      <c r="P40" s="3">
        <v>4.0999999999999996</v>
      </c>
      <c r="Q40" s="3">
        <v>1</v>
      </c>
      <c r="R40" s="3">
        <v>0.9</v>
      </c>
      <c r="S40" s="3">
        <v>0.5</v>
      </c>
      <c r="T40" s="3">
        <v>5.8000000000000003E-2</v>
      </c>
      <c r="U40" s="3">
        <v>-2.7</v>
      </c>
      <c r="V40" s="3">
        <v>-0.1</v>
      </c>
      <c r="X40" s="57" t="s">
        <v>111</v>
      </c>
    </row>
    <row r="41" spans="1:25">
      <c r="A41" s="1">
        <v>39</v>
      </c>
      <c r="B41" s="3">
        <v>39</v>
      </c>
      <c r="C41" s="3" t="s">
        <v>66</v>
      </c>
      <c r="D41" s="67" t="s">
        <v>762</v>
      </c>
      <c r="E41" s="2"/>
      <c r="F41" s="3">
        <v>4</v>
      </c>
      <c r="G41" s="3">
        <v>143</v>
      </c>
      <c r="H41" s="3">
        <v>1871</v>
      </c>
      <c r="I41" s="3">
        <v>439</v>
      </c>
      <c r="J41" s="3">
        <v>320</v>
      </c>
      <c r="K41" s="3">
        <v>118</v>
      </c>
      <c r="L41" s="3">
        <v>0.432</v>
      </c>
      <c r="M41" s="3">
        <v>0.3</v>
      </c>
      <c r="N41" s="3">
        <v>0.75900000000000001</v>
      </c>
      <c r="O41" s="3">
        <v>13.1</v>
      </c>
      <c r="P41" s="3">
        <v>3.1</v>
      </c>
      <c r="Q41" s="3">
        <v>2.2000000000000002</v>
      </c>
      <c r="R41" s="3">
        <v>0.8</v>
      </c>
      <c r="S41" s="3">
        <v>1.7</v>
      </c>
      <c r="T41" s="3">
        <v>4.3999999999999997E-2</v>
      </c>
      <c r="U41" s="3">
        <v>-3.6</v>
      </c>
      <c r="V41" s="3">
        <v>-0.7</v>
      </c>
    </row>
    <row r="42" spans="1:25">
      <c r="A42" s="1">
        <v>40</v>
      </c>
      <c r="B42" s="3">
        <v>40</v>
      </c>
      <c r="C42" s="3" t="s">
        <v>47</v>
      </c>
      <c r="D42" s="67" t="s">
        <v>763</v>
      </c>
      <c r="E42" s="2"/>
      <c r="F42" s="3">
        <v>3</v>
      </c>
      <c r="G42" s="3">
        <v>131</v>
      </c>
      <c r="H42" s="3">
        <v>2103</v>
      </c>
      <c r="I42" s="3">
        <v>780</v>
      </c>
      <c r="J42" s="3">
        <v>406</v>
      </c>
      <c r="K42" s="3">
        <v>113</v>
      </c>
      <c r="L42" s="3">
        <v>0.44400000000000001</v>
      </c>
      <c r="M42" s="3">
        <v>0.32900000000000001</v>
      </c>
      <c r="N42" s="3">
        <v>0.73899999999999999</v>
      </c>
      <c r="O42" s="3">
        <v>16.100000000000001</v>
      </c>
      <c r="P42" s="3">
        <v>6</v>
      </c>
      <c r="Q42" s="3">
        <v>3.1</v>
      </c>
      <c r="R42" s="3">
        <v>0.9</v>
      </c>
      <c r="S42" s="3">
        <v>2.2999999999999998</v>
      </c>
      <c r="T42" s="3">
        <v>5.1999999999999998E-2</v>
      </c>
      <c r="U42" s="3">
        <v>-2.8</v>
      </c>
      <c r="V42" s="3">
        <v>-0.4</v>
      </c>
    </row>
    <row r="43" spans="1:25">
      <c r="A43" s="1">
        <v>41</v>
      </c>
      <c r="B43" s="3">
        <v>41</v>
      </c>
      <c r="C43" s="3" t="s">
        <v>179</v>
      </c>
      <c r="D43" s="82" t="s">
        <v>187</v>
      </c>
      <c r="E43" s="3" t="s">
        <v>173</v>
      </c>
      <c r="F43" s="3">
        <v>7</v>
      </c>
      <c r="G43" s="3">
        <v>280</v>
      </c>
      <c r="H43" s="3">
        <v>5708</v>
      </c>
      <c r="I43" s="3">
        <v>1686</v>
      </c>
      <c r="J43" s="3">
        <v>1791</v>
      </c>
      <c r="K43" s="3">
        <v>405</v>
      </c>
      <c r="L43" s="3">
        <v>0.56599999999999995</v>
      </c>
      <c r="M43" s="3">
        <v>0.28499999999999998</v>
      </c>
      <c r="N43" s="3">
        <v>0.64400000000000002</v>
      </c>
      <c r="O43" s="3">
        <v>20.399999999999999</v>
      </c>
      <c r="P43" s="3">
        <v>6</v>
      </c>
      <c r="Q43" s="3">
        <v>6.4</v>
      </c>
      <c r="R43" s="3">
        <v>1.4</v>
      </c>
      <c r="S43" s="3">
        <v>15.8</v>
      </c>
      <c r="T43" s="3">
        <v>0.13300000000000001</v>
      </c>
      <c r="U43" s="3">
        <v>0.2</v>
      </c>
      <c r="V43" s="3">
        <v>3.1</v>
      </c>
    </row>
    <row r="44" spans="1:25">
      <c r="A44" s="1">
        <v>42</v>
      </c>
      <c r="B44" s="3">
        <v>42</v>
      </c>
      <c r="C44" s="3" t="s">
        <v>34</v>
      </c>
      <c r="D44" s="80" t="s">
        <v>102</v>
      </c>
      <c r="E44" s="3" t="s">
        <v>103</v>
      </c>
      <c r="F44" s="3">
        <v>7</v>
      </c>
      <c r="G44" s="3">
        <v>434</v>
      </c>
      <c r="H44" s="3">
        <v>10807</v>
      </c>
      <c r="I44" s="3">
        <v>3856</v>
      </c>
      <c r="J44" s="3">
        <v>1833</v>
      </c>
      <c r="K44" s="3">
        <v>1061</v>
      </c>
      <c r="L44" s="3">
        <v>0.47899999999999998</v>
      </c>
      <c r="M44" s="3">
        <v>0.33500000000000002</v>
      </c>
      <c r="N44" s="3">
        <v>0.76900000000000002</v>
      </c>
      <c r="O44" s="3">
        <v>24.9</v>
      </c>
      <c r="P44" s="3">
        <v>8.9</v>
      </c>
      <c r="Q44" s="3">
        <v>4.2</v>
      </c>
      <c r="R44" s="3">
        <v>2.4</v>
      </c>
      <c r="S44" s="3">
        <v>19.600000000000001</v>
      </c>
      <c r="T44" s="3">
        <v>8.6999999999999994E-2</v>
      </c>
      <c r="U44" s="3">
        <v>-1.3</v>
      </c>
      <c r="V44" s="3">
        <v>1.9</v>
      </c>
    </row>
    <row r="45" spans="1:25">
      <c r="A45" s="1">
        <v>43</v>
      </c>
      <c r="B45" s="3">
        <v>43</v>
      </c>
      <c r="C45" s="3" t="s">
        <v>23</v>
      </c>
      <c r="D45" s="67" t="s">
        <v>764</v>
      </c>
      <c r="E45" s="3" t="s">
        <v>89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</row>
    <row r="46" spans="1:25">
      <c r="A46" s="1">
        <v>44</v>
      </c>
      <c r="B46" s="3">
        <v>44</v>
      </c>
      <c r="C46" s="3" t="s">
        <v>69</v>
      </c>
      <c r="D46" s="67" t="s">
        <v>765</v>
      </c>
      <c r="E46" s="2"/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spans="1:25">
      <c r="A47" s="1">
        <v>45</v>
      </c>
      <c r="B47" s="3">
        <v>45</v>
      </c>
      <c r="C47" s="3" t="s">
        <v>47</v>
      </c>
      <c r="D47" s="88" t="s">
        <v>766</v>
      </c>
      <c r="E47" s="3" t="s">
        <v>173</v>
      </c>
      <c r="F47" s="3">
        <v>6</v>
      </c>
      <c r="G47" s="3">
        <v>265</v>
      </c>
      <c r="H47" s="3">
        <v>4918</v>
      </c>
      <c r="I47" s="3">
        <v>2272</v>
      </c>
      <c r="J47" s="3">
        <v>1009</v>
      </c>
      <c r="K47" s="3">
        <v>283</v>
      </c>
      <c r="L47" s="3">
        <v>0.495</v>
      </c>
      <c r="M47" s="3">
        <v>0.27400000000000002</v>
      </c>
      <c r="N47" s="3">
        <v>0.623</v>
      </c>
      <c r="O47" s="3">
        <v>18.600000000000001</v>
      </c>
      <c r="P47" s="3">
        <v>8.6</v>
      </c>
      <c r="Q47" s="3">
        <v>3.8</v>
      </c>
      <c r="R47" s="3">
        <v>1.1000000000000001</v>
      </c>
      <c r="S47" s="3">
        <v>6.2</v>
      </c>
      <c r="T47" s="3">
        <v>0.06</v>
      </c>
      <c r="U47" s="3">
        <v>-2.1</v>
      </c>
      <c r="V47" s="3">
        <v>-0.1</v>
      </c>
    </row>
    <row r="48" spans="1:25">
      <c r="A48" s="1">
        <v>46</v>
      </c>
      <c r="B48" s="3">
        <v>46</v>
      </c>
      <c r="C48" s="3" t="s">
        <v>52</v>
      </c>
      <c r="D48" s="80" t="s">
        <v>104</v>
      </c>
      <c r="E48" s="3" t="s">
        <v>105</v>
      </c>
      <c r="F48" s="3">
        <v>7</v>
      </c>
      <c r="G48" s="3">
        <v>356</v>
      </c>
      <c r="H48" s="3">
        <v>8147</v>
      </c>
      <c r="I48" s="3">
        <v>3231</v>
      </c>
      <c r="J48" s="3">
        <v>1316</v>
      </c>
      <c r="K48" s="3">
        <v>988</v>
      </c>
      <c r="L48" s="3">
        <v>0.41</v>
      </c>
      <c r="M48" s="3">
        <v>0.36899999999999999</v>
      </c>
      <c r="N48" s="3">
        <v>0.77900000000000003</v>
      </c>
      <c r="O48" s="3">
        <v>22.9</v>
      </c>
      <c r="P48" s="3">
        <v>9.1</v>
      </c>
      <c r="Q48" s="3">
        <v>3.7</v>
      </c>
      <c r="R48" s="3">
        <v>2.8</v>
      </c>
      <c r="S48" s="3">
        <v>14.2</v>
      </c>
      <c r="T48" s="3">
        <v>8.4000000000000005E-2</v>
      </c>
      <c r="U48" s="3">
        <v>0.6</v>
      </c>
      <c r="V48" s="3">
        <v>5.3</v>
      </c>
    </row>
    <row r="49" spans="1:37">
      <c r="A49" s="1">
        <v>47</v>
      </c>
      <c r="B49" s="3">
        <v>47</v>
      </c>
      <c r="C49" s="3" t="s">
        <v>31</v>
      </c>
      <c r="D49" s="88" t="s">
        <v>767</v>
      </c>
      <c r="E49" s="3" t="s">
        <v>138</v>
      </c>
      <c r="F49" s="3">
        <v>7</v>
      </c>
      <c r="G49" s="3">
        <v>314</v>
      </c>
      <c r="H49" s="3">
        <v>5039</v>
      </c>
      <c r="I49" s="3">
        <v>2044</v>
      </c>
      <c r="J49" s="3">
        <v>551</v>
      </c>
      <c r="K49" s="3">
        <v>423</v>
      </c>
      <c r="L49" s="3">
        <v>0.40400000000000003</v>
      </c>
      <c r="M49" s="3">
        <v>0.36199999999999999</v>
      </c>
      <c r="N49" s="3">
        <v>0.76</v>
      </c>
      <c r="O49" s="3">
        <v>16</v>
      </c>
      <c r="P49" s="3">
        <v>6.5</v>
      </c>
      <c r="Q49" s="3">
        <v>1.8</v>
      </c>
      <c r="R49" s="3">
        <v>1.3</v>
      </c>
      <c r="S49" s="3">
        <v>4.3</v>
      </c>
      <c r="T49" s="3">
        <v>4.1000000000000002E-2</v>
      </c>
      <c r="U49" s="3">
        <v>-2.4</v>
      </c>
      <c r="V49" s="3">
        <v>-0.5</v>
      </c>
    </row>
    <row r="50" spans="1:37">
      <c r="A50" s="1">
        <v>48</v>
      </c>
      <c r="B50" s="3">
        <v>48</v>
      </c>
      <c r="C50" s="3" t="s">
        <v>135</v>
      </c>
      <c r="D50" s="88" t="s">
        <v>768</v>
      </c>
      <c r="E50" s="3" t="s">
        <v>404</v>
      </c>
      <c r="F50" s="3">
        <v>6</v>
      </c>
      <c r="G50" s="3">
        <v>283</v>
      </c>
      <c r="H50" s="3">
        <v>4566</v>
      </c>
      <c r="I50" s="3">
        <v>1697</v>
      </c>
      <c r="J50" s="3">
        <v>848</v>
      </c>
      <c r="K50" s="3">
        <v>241</v>
      </c>
      <c r="L50" s="3">
        <v>0.47399999999999998</v>
      </c>
      <c r="M50" s="3">
        <v>0.33300000000000002</v>
      </c>
      <c r="N50" s="3">
        <v>0.751</v>
      </c>
      <c r="O50" s="3">
        <v>16.100000000000001</v>
      </c>
      <c r="P50" s="3">
        <v>6</v>
      </c>
      <c r="Q50" s="3">
        <v>3</v>
      </c>
      <c r="R50" s="3">
        <v>0.9</v>
      </c>
      <c r="S50" s="3">
        <v>7.4</v>
      </c>
      <c r="T50" s="3">
        <v>7.8E-2</v>
      </c>
      <c r="U50" s="3">
        <v>-1.6</v>
      </c>
      <c r="V50" s="3">
        <v>0.5</v>
      </c>
    </row>
    <row r="51" spans="1:37">
      <c r="A51" s="1">
        <v>49</v>
      </c>
      <c r="B51" s="3">
        <v>49</v>
      </c>
      <c r="C51" s="3" t="s">
        <v>79</v>
      </c>
      <c r="D51" s="88" t="s">
        <v>769</v>
      </c>
      <c r="E51" s="3" t="s">
        <v>105</v>
      </c>
      <c r="F51" s="3">
        <v>6</v>
      </c>
      <c r="G51" s="3">
        <v>260</v>
      </c>
      <c r="H51" s="3">
        <v>3565</v>
      </c>
      <c r="I51" s="3">
        <v>1522</v>
      </c>
      <c r="J51" s="3">
        <v>908</v>
      </c>
      <c r="K51" s="3">
        <v>197</v>
      </c>
      <c r="L51" s="3">
        <v>0.495</v>
      </c>
      <c r="M51" s="3">
        <v>0.29799999999999999</v>
      </c>
      <c r="N51" s="3">
        <v>0.78700000000000003</v>
      </c>
      <c r="O51" s="3">
        <v>13.7</v>
      </c>
      <c r="P51" s="3">
        <v>5.9</v>
      </c>
      <c r="Q51" s="3">
        <v>3.5</v>
      </c>
      <c r="R51" s="3">
        <v>0.8</v>
      </c>
      <c r="S51" s="3">
        <v>5.7</v>
      </c>
      <c r="T51" s="3">
        <v>7.5999999999999998E-2</v>
      </c>
      <c r="U51" s="3">
        <v>-1.6</v>
      </c>
      <c r="V51" s="3">
        <v>0.3</v>
      </c>
    </row>
    <row r="52" spans="1:37">
      <c r="A52" s="1">
        <v>50</v>
      </c>
      <c r="B52" s="3">
        <v>50</v>
      </c>
      <c r="C52" s="3" t="s">
        <v>41</v>
      </c>
      <c r="D52" s="67" t="s">
        <v>770</v>
      </c>
      <c r="E52" s="3" t="s">
        <v>771</v>
      </c>
      <c r="F52" s="3">
        <v>5</v>
      </c>
      <c r="G52" s="3">
        <v>76</v>
      </c>
      <c r="H52" s="3">
        <v>568</v>
      </c>
      <c r="I52" s="3">
        <v>189</v>
      </c>
      <c r="J52" s="3">
        <v>228</v>
      </c>
      <c r="K52" s="3">
        <v>32</v>
      </c>
      <c r="L52" s="3">
        <v>0.48099999999999998</v>
      </c>
      <c r="M52" s="3">
        <v>0.22700000000000001</v>
      </c>
      <c r="N52" s="3">
        <v>0.71099999999999997</v>
      </c>
      <c r="O52" s="3">
        <v>7.5</v>
      </c>
      <c r="P52" s="3">
        <v>2.5</v>
      </c>
      <c r="Q52" s="3">
        <v>3</v>
      </c>
      <c r="R52" s="3">
        <v>0.4</v>
      </c>
      <c r="S52" s="3">
        <v>1.3</v>
      </c>
      <c r="T52" s="3">
        <v>0.108</v>
      </c>
      <c r="U52" s="3">
        <v>-2.4</v>
      </c>
      <c r="V52" s="3">
        <v>-0.1</v>
      </c>
    </row>
    <row r="53" spans="1:37">
      <c r="A53" s="1">
        <v>51</v>
      </c>
      <c r="B53" s="3">
        <v>51</v>
      </c>
      <c r="C53" s="3" t="s">
        <v>44</v>
      </c>
      <c r="D53" s="67" t="s">
        <v>772</v>
      </c>
      <c r="E53" s="3" t="s">
        <v>409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37">
      <c r="A54" s="1">
        <v>52</v>
      </c>
      <c r="B54" s="3">
        <v>52</v>
      </c>
      <c r="C54" s="3" t="s">
        <v>193</v>
      </c>
      <c r="D54" s="67" t="s">
        <v>773</v>
      </c>
      <c r="E54" s="3" t="s">
        <v>143</v>
      </c>
      <c r="F54" s="3">
        <v>1</v>
      </c>
      <c r="G54" s="3">
        <v>2</v>
      </c>
      <c r="H54" s="3">
        <v>16</v>
      </c>
      <c r="I54" s="3">
        <v>3</v>
      </c>
      <c r="J54" s="3">
        <v>2</v>
      </c>
      <c r="K54" s="3">
        <v>0</v>
      </c>
      <c r="L54" s="3">
        <v>0.25</v>
      </c>
      <c r="M54" s="3">
        <v>0.25</v>
      </c>
      <c r="N54" s="2">
        <v>0</v>
      </c>
      <c r="O54" s="3">
        <v>8</v>
      </c>
      <c r="P54" s="3">
        <v>1.5</v>
      </c>
      <c r="Q54" s="3">
        <v>1</v>
      </c>
      <c r="R54" s="3">
        <v>0</v>
      </c>
      <c r="S54" s="3">
        <v>0</v>
      </c>
      <c r="T54" s="3">
        <v>-1.4E-2</v>
      </c>
      <c r="U54" s="3">
        <v>-6.4</v>
      </c>
      <c r="V54" s="3">
        <v>0</v>
      </c>
    </row>
    <row r="55" spans="1:37">
      <c r="A55" s="1">
        <v>53</v>
      </c>
      <c r="B55" s="3">
        <v>53</v>
      </c>
      <c r="C55" s="3" t="s">
        <v>82</v>
      </c>
      <c r="D55" s="67" t="s">
        <v>774</v>
      </c>
      <c r="E55" s="3" t="s">
        <v>59</v>
      </c>
      <c r="F55" s="3">
        <v>1</v>
      </c>
      <c r="G55" s="3">
        <v>11</v>
      </c>
      <c r="H55" s="3">
        <v>81</v>
      </c>
      <c r="I55" s="3">
        <v>20</v>
      </c>
      <c r="J55" s="3">
        <v>7</v>
      </c>
      <c r="K55" s="3">
        <v>13</v>
      </c>
      <c r="L55" s="3">
        <v>0.2</v>
      </c>
      <c r="M55" s="3">
        <v>0.23499999999999999</v>
      </c>
      <c r="N55" s="3">
        <v>0.5</v>
      </c>
      <c r="O55" s="3">
        <v>7.4</v>
      </c>
      <c r="P55" s="3">
        <v>1.8</v>
      </c>
      <c r="Q55" s="3">
        <v>0.6</v>
      </c>
      <c r="R55" s="3">
        <v>1.2</v>
      </c>
      <c r="S55" s="3">
        <v>-0.2</v>
      </c>
      <c r="T55" s="3">
        <v>-0.11600000000000001</v>
      </c>
      <c r="U55" s="3">
        <v>-6.7</v>
      </c>
      <c r="V55" s="3">
        <v>-0.1</v>
      </c>
    </row>
    <row r="56" spans="1:37">
      <c r="A56" s="1">
        <v>54</v>
      </c>
      <c r="B56" s="3">
        <v>54</v>
      </c>
      <c r="C56" s="3" t="s">
        <v>20</v>
      </c>
      <c r="D56" s="82" t="s">
        <v>188</v>
      </c>
      <c r="E56" s="3" t="s">
        <v>189</v>
      </c>
      <c r="F56" s="3">
        <v>7</v>
      </c>
      <c r="G56" s="3">
        <v>342</v>
      </c>
      <c r="H56" s="3">
        <v>6511</v>
      </c>
      <c r="I56" s="3">
        <v>2827</v>
      </c>
      <c r="J56" s="3">
        <v>754</v>
      </c>
      <c r="K56" s="3">
        <v>840</v>
      </c>
      <c r="L56" s="3">
        <v>0.45100000000000001</v>
      </c>
      <c r="M56" s="3">
        <v>0.35799999999999998</v>
      </c>
      <c r="N56" s="3">
        <v>0.82299999999999995</v>
      </c>
      <c r="O56" s="3">
        <v>19</v>
      </c>
      <c r="P56" s="3">
        <v>8.3000000000000007</v>
      </c>
      <c r="Q56" s="3">
        <v>2.2000000000000002</v>
      </c>
      <c r="R56" s="3">
        <v>2.5</v>
      </c>
      <c r="S56" s="3">
        <v>11.5</v>
      </c>
      <c r="T56" s="3">
        <v>8.5000000000000006E-2</v>
      </c>
      <c r="U56" s="3">
        <v>-2</v>
      </c>
      <c r="V56" s="3">
        <v>0</v>
      </c>
    </row>
    <row r="57" spans="1:37">
      <c r="A57" s="1">
        <v>55</v>
      </c>
      <c r="B57" s="3">
        <v>55</v>
      </c>
      <c r="C57" s="3" t="s">
        <v>119</v>
      </c>
      <c r="D57" s="67" t="s">
        <v>775</v>
      </c>
      <c r="E57" s="2"/>
      <c r="F57" s="3">
        <v>1</v>
      </c>
      <c r="G57" s="3">
        <v>2</v>
      </c>
      <c r="H57" s="3">
        <v>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2">
        <v>0</v>
      </c>
      <c r="O57" s="3">
        <v>2.5</v>
      </c>
      <c r="P57" s="3">
        <v>0</v>
      </c>
      <c r="Q57" s="3">
        <v>0</v>
      </c>
      <c r="R57" s="3">
        <v>0</v>
      </c>
      <c r="S57" s="3">
        <v>0</v>
      </c>
      <c r="T57" s="3">
        <v>-0.217</v>
      </c>
      <c r="U57" s="3">
        <v>-21.8</v>
      </c>
      <c r="V57" s="3">
        <v>0</v>
      </c>
    </row>
    <row r="58" spans="1:37">
      <c r="A58" s="1">
        <v>56</v>
      </c>
      <c r="B58" s="3">
        <v>56</v>
      </c>
      <c r="C58" s="3" t="s">
        <v>66</v>
      </c>
      <c r="D58" s="67" t="s">
        <v>776</v>
      </c>
      <c r="E58" s="3" t="s">
        <v>61</v>
      </c>
      <c r="F58" s="3">
        <v>2</v>
      </c>
      <c r="G58" s="3">
        <v>16</v>
      </c>
      <c r="H58" s="3">
        <v>167</v>
      </c>
      <c r="I58" s="3">
        <v>58</v>
      </c>
      <c r="J58" s="3">
        <v>52</v>
      </c>
      <c r="K58" s="3">
        <v>5</v>
      </c>
      <c r="L58" s="3">
        <v>0.52900000000000003</v>
      </c>
      <c r="M58" s="3">
        <v>0</v>
      </c>
      <c r="N58" s="3">
        <v>0.28599999999999998</v>
      </c>
      <c r="O58" s="3">
        <v>10.4</v>
      </c>
      <c r="P58" s="3">
        <v>3.6</v>
      </c>
      <c r="Q58" s="3">
        <v>3.3</v>
      </c>
      <c r="R58" s="3">
        <v>0.3</v>
      </c>
      <c r="S58" s="3">
        <v>0.1</v>
      </c>
      <c r="T58" s="3">
        <v>2.4E-2</v>
      </c>
      <c r="U58" s="3">
        <v>-6.2</v>
      </c>
      <c r="V58" s="3">
        <v>-0.2</v>
      </c>
    </row>
    <row r="59" spans="1:37">
      <c r="A59" s="1">
        <v>57</v>
      </c>
      <c r="B59" s="3">
        <v>57</v>
      </c>
      <c r="C59" s="3" t="s">
        <v>82</v>
      </c>
      <c r="D59" s="67" t="s">
        <v>777</v>
      </c>
      <c r="E59" s="3" t="s">
        <v>778</v>
      </c>
      <c r="F59" s="3">
        <v>1</v>
      </c>
      <c r="G59" s="3">
        <v>10</v>
      </c>
      <c r="H59" s="3">
        <v>52</v>
      </c>
      <c r="I59" s="3">
        <v>17</v>
      </c>
      <c r="J59" s="3">
        <v>12</v>
      </c>
      <c r="K59" s="3">
        <v>5</v>
      </c>
      <c r="L59" s="3">
        <v>0.25900000000000001</v>
      </c>
      <c r="M59" s="3">
        <v>0.15</v>
      </c>
      <c r="N59" s="2">
        <v>0</v>
      </c>
      <c r="O59" s="3">
        <v>5.2</v>
      </c>
      <c r="P59" s="3">
        <v>1.7</v>
      </c>
      <c r="Q59" s="3">
        <v>1.2</v>
      </c>
      <c r="R59" s="3">
        <v>0.5</v>
      </c>
      <c r="S59" s="3">
        <v>-0.1</v>
      </c>
      <c r="T59" s="3">
        <v>-8.5000000000000006E-2</v>
      </c>
      <c r="U59" s="3">
        <v>-5.0999999999999996</v>
      </c>
      <c r="V59" s="3">
        <v>0</v>
      </c>
    </row>
    <row r="60" spans="1:37">
      <c r="A60" s="1">
        <v>58</v>
      </c>
      <c r="B60" s="3">
        <v>58</v>
      </c>
      <c r="C60" s="3" t="s">
        <v>23</v>
      </c>
      <c r="D60" s="67" t="s">
        <v>779</v>
      </c>
      <c r="E60" s="3" t="s">
        <v>63</v>
      </c>
      <c r="F60" s="3">
        <v>1</v>
      </c>
      <c r="G60" s="3">
        <v>11</v>
      </c>
      <c r="H60" s="3">
        <v>36</v>
      </c>
      <c r="I60" s="3">
        <v>18</v>
      </c>
      <c r="J60" s="3">
        <v>4</v>
      </c>
      <c r="K60" s="3">
        <v>5</v>
      </c>
      <c r="L60" s="3">
        <v>0.53800000000000003</v>
      </c>
      <c r="M60" s="3">
        <v>0.42899999999999999</v>
      </c>
      <c r="N60" s="3">
        <v>0.5</v>
      </c>
      <c r="O60" s="3">
        <v>3.3</v>
      </c>
      <c r="P60" s="3">
        <v>1.6</v>
      </c>
      <c r="Q60" s="3">
        <v>0.4</v>
      </c>
      <c r="R60" s="3">
        <v>0.5</v>
      </c>
      <c r="S60" s="3">
        <v>0.1</v>
      </c>
      <c r="T60" s="3">
        <v>0.16200000000000001</v>
      </c>
      <c r="U60" s="3">
        <v>1.2</v>
      </c>
      <c r="V60" s="3">
        <v>0</v>
      </c>
    </row>
    <row r="61" spans="1:37">
      <c r="A61" s="1">
        <v>59</v>
      </c>
      <c r="B61" s="3">
        <v>59</v>
      </c>
      <c r="C61" s="3" t="s">
        <v>323</v>
      </c>
      <c r="D61" s="67" t="s">
        <v>780</v>
      </c>
      <c r="E61" s="3" t="s">
        <v>65</v>
      </c>
      <c r="F61" s="3">
        <v>2</v>
      </c>
      <c r="G61" s="3">
        <v>5</v>
      </c>
      <c r="H61" s="3">
        <v>25</v>
      </c>
      <c r="I61" s="3">
        <v>1</v>
      </c>
      <c r="J61" s="3">
        <v>6</v>
      </c>
      <c r="K61" s="3">
        <v>0</v>
      </c>
      <c r="L61" s="3">
        <v>0</v>
      </c>
      <c r="M61" s="3">
        <v>0</v>
      </c>
      <c r="N61" s="3">
        <v>0.5</v>
      </c>
      <c r="O61" s="3">
        <v>5</v>
      </c>
      <c r="P61" s="3">
        <v>0.2</v>
      </c>
      <c r="Q61" s="3">
        <v>1.2</v>
      </c>
      <c r="R61" s="3">
        <v>0</v>
      </c>
      <c r="S61" s="3">
        <v>-0.1</v>
      </c>
      <c r="T61" s="3">
        <v>-0.22500000000000001</v>
      </c>
      <c r="U61" s="3">
        <v>-17.2</v>
      </c>
      <c r="V61" s="3">
        <v>-0.1</v>
      </c>
    </row>
    <row r="62" spans="1:37">
      <c r="A62" s="1">
        <v>60</v>
      </c>
      <c r="B62" s="3">
        <v>60</v>
      </c>
      <c r="C62" s="3" t="s">
        <v>66</v>
      </c>
      <c r="D62" s="67" t="s">
        <v>781</v>
      </c>
      <c r="E62" s="3" t="s">
        <v>325</v>
      </c>
      <c r="F62" s="3">
        <v>3</v>
      </c>
      <c r="G62" s="3">
        <v>22</v>
      </c>
      <c r="H62" s="3">
        <v>87</v>
      </c>
      <c r="I62" s="3">
        <v>21</v>
      </c>
      <c r="J62" s="3">
        <v>23</v>
      </c>
      <c r="K62" s="3">
        <v>3</v>
      </c>
      <c r="L62" s="3">
        <v>0.375</v>
      </c>
      <c r="M62" s="2"/>
      <c r="N62" s="3">
        <v>0.47399999999999998</v>
      </c>
      <c r="O62" s="3">
        <v>4</v>
      </c>
      <c r="P62" s="3">
        <v>1</v>
      </c>
      <c r="Q62" s="3">
        <v>1</v>
      </c>
      <c r="R62" s="3">
        <v>0.1</v>
      </c>
      <c r="S62" s="3">
        <v>-0.2</v>
      </c>
      <c r="T62" s="3">
        <v>-9.8000000000000004E-2</v>
      </c>
      <c r="U62" s="3">
        <v>-9.9</v>
      </c>
      <c r="V62" s="3">
        <v>-0.2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782</v>
      </c>
      <c r="E65" s="3" t="s">
        <v>722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783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784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785</v>
      </c>
      <c r="E68" s="3" t="s">
        <v>722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786</v>
      </c>
      <c r="E69" s="3" t="s">
        <v>506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787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788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</sheetData>
  <conditionalFormatting sqref="G1:G62">
    <cfRule type="cellIs" dxfId="18" priority="1" operator="greaterThan">
      <formula>82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A256-C725-0344-8C7B-4870799FE6E2}">
  <dimension ref="A1:AK79"/>
  <sheetViews>
    <sheetView zoomScale="118" workbookViewId="0">
      <pane ySplit="1" topLeftCell="A33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4.375" bestFit="1" customWidth="1"/>
    <col min="5" max="5" width="11.875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4.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66</v>
      </c>
      <c r="D2" s="3" t="s">
        <v>789</v>
      </c>
      <c r="E2" s="3" t="s">
        <v>38</v>
      </c>
      <c r="F2" s="3">
        <v>7</v>
      </c>
      <c r="G2" s="3">
        <v>234</v>
      </c>
      <c r="H2" s="3">
        <v>5939</v>
      </c>
      <c r="I2" s="3">
        <v>2595</v>
      </c>
      <c r="J2" s="3">
        <v>797</v>
      </c>
      <c r="K2" s="3">
        <v>1084</v>
      </c>
      <c r="L2" s="3">
        <v>0.47199999999999998</v>
      </c>
      <c r="M2" s="3">
        <v>0.27400000000000002</v>
      </c>
      <c r="N2" s="3">
        <v>0.73099999999999998</v>
      </c>
      <c r="O2" s="3">
        <v>25.4</v>
      </c>
      <c r="P2" s="3">
        <v>11.1</v>
      </c>
      <c r="Q2" s="3">
        <v>3.4</v>
      </c>
      <c r="R2" s="3">
        <v>4.5999999999999996</v>
      </c>
      <c r="S2" s="3">
        <v>8.5</v>
      </c>
      <c r="T2" s="3">
        <v>6.9000000000000006E-2</v>
      </c>
      <c r="U2" s="3">
        <v>-1.1000000000000001</v>
      </c>
      <c r="V2" s="3">
        <v>1.3</v>
      </c>
    </row>
    <row r="3" spans="1:22" hidden="1">
      <c r="A3" s="1">
        <v>2</v>
      </c>
      <c r="B3" s="3">
        <v>2</v>
      </c>
      <c r="C3" s="3" t="s">
        <v>31</v>
      </c>
      <c r="D3" s="3" t="s">
        <v>790</v>
      </c>
      <c r="E3" s="3" t="s">
        <v>63</v>
      </c>
      <c r="F3" s="3">
        <v>6</v>
      </c>
      <c r="G3" s="3">
        <v>282</v>
      </c>
      <c r="H3" s="3">
        <v>8834</v>
      </c>
      <c r="I3" s="3">
        <v>3210</v>
      </c>
      <c r="J3" s="3">
        <v>1550</v>
      </c>
      <c r="K3" s="3">
        <v>1667</v>
      </c>
      <c r="L3" s="3">
        <v>0.39800000000000002</v>
      </c>
      <c r="M3" s="3">
        <v>0.36199999999999999</v>
      </c>
      <c r="N3" s="3">
        <v>0.59699999999999998</v>
      </c>
      <c r="O3" s="3">
        <v>31.3</v>
      </c>
      <c r="P3" s="3">
        <v>11.4</v>
      </c>
      <c r="Q3" s="3">
        <v>5.5</v>
      </c>
      <c r="R3" s="3">
        <v>5.9</v>
      </c>
      <c r="S3" s="3">
        <v>12.5</v>
      </c>
      <c r="T3" s="3">
        <v>6.8000000000000005E-2</v>
      </c>
      <c r="U3" s="3">
        <v>1</v>
      </c>
      <c r="V3" s="3">
        <v>6.7</v>
      </c>
    </row>
    <row r="4" spans="1:22" hidden="1">
      <c r="A4" s="1">
        <v>3</v>
      </c>
      <c r="B4" s="3">
        <v>3</v>
      </c>
      <c r="C4" s="3" t="s">
        <v>190</v>
      </c>
      <c r="D4" s="3" t="s">
        <v>791</v>
      </c>
      <c r="E4" s="3" t="s">
        <v>171</v>
      </c>
      <c r="F4" s="3">
        <v>8</v>
      </c>
      <c r="G4" s="3">
        <v>563</v>
      </c>
      <c r="H4" s="3">
        <v>19377</v>
      </c>
      <c r="I4" s="3">
        <v>13193</v>
      </c>
      <c r="J4" s="3">
        <v>4100</v>
      </c>
      <c r="K4" s="3">
        <v>2093</v>
      </c>
      <c r="L4" s="3">
        <v>0.46</v>
      </c>
      <c r="M4" s="3">
        <v>0.373</v>
      </c>
      <c r="N4" s="3">
        <v>0.83899999999999997</v>
      </c>
      <c r="O4" s="3">
        <v>34.4</v>
      </c>
      <c r="P4" s="3">
        <v>23.4</v>
      </c>
      <c r="Q4" s="3">
        <v>7.3</v>
      </c>
      <c r="R4" s="3">
        <v>3.7</v>
      </c>
      <c r="S4" s="3">
        <v>62.6</v>
      </c>
      <c r="T4" s="3">
        <v>0.155</v>
      </c>
      <c r="U4" s="3">
        <v>3.7</v>
      </c>
      <c r="V4" s="3">
        <v>28</v>
      </c>
    </row>
    <row r="5" spans="1:22" hidden="1">
      <c r="A5" s="1">
        <v>4</v>
      </c>
      <c r="B5" s="3">
        <v>4</v>
      </c>
      <c r="C5" s="3" t="s">
        <v>323</v>
      </c>
      <c r="D5" s="3" t="s">
        <v>792</v>
      </c>
      <c r="E5" s="3" t="s">
        <v>138</v>
      </c>
      <c r="F5" s="3">
        <v>5</v>
      </c>
      <c r="G5" s="3">
        <v>291</v>
      </c>
      <c r="H5" s="3">
        <v>6718</v>
      </c>
      <c r="I5" s="3">
        <v>3276</v>
      </c>
      <c r="J5" s="3">
        <v>1159</v>
      </c>
      <c r="K5" s="3">
        <v>534</v>
      </c>
      <c r="L5" s="3">
        <v>0.41599999999999998</v>
      </c>
      <c r="M5" s="3">
        <v>0.29199999999999998</v>
      </c>
      <c r="N5" s="3">
        <v>0.68</v>
      </c>
      <c r="O5" s="3">
        <v>23.1</v>
      </c>
      <c r="P5" s="3">
        <v>11.3</v>
      </c>
      <c r="Q5" s="3">
        <v>4</v>
      </c>
      <c r="R5" s="3">
        <v>1.8</v>
      </c>
      <c r="S5" s="3">
        <v>-1.7</v>
      </c>
      <c r="T5" s="3">
        <v>-1.2E-2</v>
      </c>
      <c r="U5" s="3">
        <v>-3.8</v>
      </c>
      <c r="V5" s="3">
        <v>-3.1</v>
      </c>
    </row>
    <row r="6" spans="1:22" hidden="1">
      <c r="A6" s="1">
        <v>5</v>
      </c>
      <c r="B6" s="3">
        <v>5</v>
      </c>
      <c r="C6" s="3" t="s">
        <v>36</v>
      </c>
      <c r="D6" s="3" t="s">
        <v>793</v>
      </c>
      <c r="E6" s="3" t="s">
        <v>173</v>
      </c>
      <c r="F6" s="3">
        <v>8</v>
      </c>
      <c r="G6" s="3">
        <v>517</v>
      </c>
      <c r="H6" s="3">
        <v>17187</v>
      </c>
      <c r="I6" s="3">
        <v>11119</v>
      </c>
      <c r="J6" s="3">
        <v>2019</v>
      </c>
      <c r="K6" s="3">
        <v>3174</v>
      </c>
      <c r="L6" s="3">
        <v>0.47099999999999997</v>
      </c>
      <c r="M6" s="3">
        <v>0.33200000000000002</v>
      </c>
      <c r="N6" s="3">
        <v>0.74399999999999999</v>
      </c>
      <c r="O6" s="3">
        <v>33.200000000000003</v>
      </c>
      <c r="P6" s="3">
        <v>21.5</v>
      </c>
      <c r="Q6" s="3">
        <v>3.9</v>
      </c>
      <c r="R6" s="3">
        <v>6.1</v>
      </c>
      <c r="S6" s="3">
        <v>33.5</v>
      </c>
      <c r="T6" s="3">
        <v>9.4E-2</v>
      </c>
      <c r="U6" s="3">
        <v>0.9</v>
      </c>
      <c r="V6" s="3">
        <v>12.7</v>
      </c>
    </row>
    <row r="7" spans="1:22" hidden="1">
      <c r="A7" s="1">
        <v>6</v>
      </c>
      <c r="B7" s="3">
        <v>6</v>
      </c>
      <c r="C7" s="3" t="s">
        <v>179</v>
      </c>
      <c r="D7" s="3" t="s">
        <v>794</v>
      </c>
      <c r="E7" s="3" t="s">
        <v>182</v>
      </c>
      <c r="F7" s="3">
        <v>6</v>
      </c>
      <c r="G7" s="3">
        <v>253</v>
      </c>
      <c r="H7" s="3">
        <v>5346</v>
      </c>
      <c r="I7" s="3">
        <v>2008</v>
      </c>
      <c r="J7" s="3">
        <v>1280</v>
      </c>
      <c r="K7" s="3">
        <v>206</v>
      </c>
      <c r="L7" s="3">
        <v>0.44400000000000001</v>
      </c>
      <c r="M7" s="3">
        <v>0.32600000000000001</v>
      </c>
      <c r="N7" s="3">
        <v>0.752</v>
      </c>
      <c r="O7" s="3">
        <v>21.1</v>
      </c>
      <c r="P7" s="3">
        <v>7.9</v>
      </c>
      <c r="Q7" s="3">
        <v>5.0999999999999996</v>
      </c>
      <c r="R7" s="3">
        <v>0.8</v>
      </c>
      <c r="S7" s="3">
        <v>13</v>
      </c>
      <c r="T7" s="3">
        <v>0.11700000000000001</v>
      </c>
      <c r="U7" s="3">
        <v>1</v>
      </c>
      <c r="V7" s="3">
        <v>4</v>
      </c>
    </row>
    <row r="8" spans="1:22" hidden="1">
      <c r="A8" s="1">
        <v>7</v>
      </c>
      <c r="B8" s="3">
        <v>7</v>
      </c>
      <c r="C8" s="3" t="s">
        <v>135</v>
      </c>
      <c r="D8" s="3" t="s">
        <v>795</v>
      </c>
      <c r="E8" s="3" t="s">
        <v>224</v>
      </c>
      <c r="F8" s="3">
        <v>8</v>
      </c>
      <c r="G8" s="3">
        <v>441</v>
      </c>
      <c r="H8" s="3">
        <v>13701</v>
      </c>
      <c r="I8" s="3">
        <v>8041</v>
      </c>
      <c r="J8" s="3">
        <v>3159</v>
      </c>
      <c r="K8" s="3">
        <v>651</v>
      </c>
      <c r="L8" s="3">
        <v>0.45600000000000002</v>
      </c>
      <c r="M8" s="3">
        <v>0.373</v>
      </c>
      <c r="N8" s="3">
        <v>0.86599999999999999</v>
      </c>
      <c r="O8" s="3">
        <v>31.1</v>
      </c>
      <c r="P8" s="3">
        <v>18.2</v>
      </c>
      <c r="Q8" s="3">
        <v>7.2</v>
      </c>
      <c r="R8" s="3">
        <v>1.5</v>
      </c>
      <c r="S8" s="3">
        <v>33.4</v>
      </c>
      <c r="T8" s="3">
        <v>0.11700000000000001</v>
      </c>
      <c r="U8" s="3">
        <v>1.1000000000000001</v>
      </c>
      <c r="V8" s="3">
        <v>10.6</v>
      </c>
    </row>
    <row r="9" spans="1:22" hidden="1">
      <c r="A9" s="1">
        <v>8</v>
      </c>
      <c r="B9" s="3">
        <v>8</v>
      </c>
      <c r="C9" s="3" t="s">
        <v>50</v>
      </c>
      <c r="D9" s="3" t="s">
        <v>796</v>
      </c>
      <c r="E9" s="2"/>
      <c r="F9" s="3">
        <v>7</v>
      </c>
      <c r="G9" s="3">
        <v>321</v>
      </c>
      <c r="H9" s="3">
        <v>5454</v>
      </c>
      <c r="I9" s="3">
        <v>1535</v>
      </c>
      <c r="J9" s="3">
        <v>563</v>
      </c>
      <c r="K9" s="3">
        <v>693</v>
      </c>
      <c r="L9" s="3">
        <v>0.36899999999999999</v>
      </c>
      <c r="M9" s="3">
        <v>0.32</v>
      </c>
      <c r="N9" s="3">
        <v>0.76200000000000001</v>
      </c>
      <c r="O9" s="3">
        <v>17</v>
      </c>
      <c r="P9" s="3">
        <v>4.8</v>
      </c>
      <c r="Q9" s="3">
        <v>1.8</v>
      </c>
      <c r="R9" s="3">
        <v>2.2000000000000002</v>
      </c>
      <c r="S9" s="3">
        <v>0.3</v>
      </c>
      <c r="T9" s="3">
        <v>3.0000000000000001E-3</v>
      </c>
      <c r="U9" s="3">
        <v>-4.4000000000000004</v>
      </c>
      <c r="V9" s="3">
        <v>-3.4</v>
      </c>
    </row>
    <row r="10" spans="1:22" hidden="1">
      <c r="A10" s="1">
        <v>9</v>
      </c>
      <c r="B10" s="3">
        <v>9</v>
      </c>
      <c r="C10" s="3" t="s">
        <v>20</v>
      </c>
      <c r="D10" s="3" t="s">
        <v>797</v>
      </c>
      <c r="E10" s="3" t="s">
        <v>798</v>
      </c>
      <c r="F10" s="3">
        <v>7</v>
      </c>
      <c r="G10" s="3">
        <v>326</v>
      </c>
      <c r="H10" s="3">
        <v>7601</v>
      </c>
      <c r="I10" s="3">
        <v>3160</v>
      </c>
      <c r="J10" s="3">
        <v>967</v>
      </c>
      <c r="K10" s="3">
        <v>1381</v>
      </c>
      <c r="L10" s="3">
        <v>0.40699999999999997</v>
      </c>
      <c r="M10" s="3">
        <v>0.29799999999999999</v>
      </c>
      <c r="N10" s="3">
        <v>0.67400000000000004</v>
      </c>
      <c r="O10" s="3">
        <v>23.3</v>
      </c>
      <c r="P10" s="3">
        <v>9.6999999999999993</v>
      </c>
      <c r="Q10" s="3">
        <v>3</v>
      </c>
      <c r="R10" s="3">
        <v>4.2</v>
      </c>
      <c r="S10" s="3">
        <v>2.2999999999999998</v>
      </c>
      <c r="T10" s="3">
        <v>1.4999999999999999E-2</v>
      </c>
      <c r="U10" s="3">
        <v>-2.1</v>
      </c>
      <c r="V10" s="3">
        <v>-0.2</v>
      </c>
    </row>
    <row r="11" spans="1:22" hidden="1">
      <c r="A11" s="1">
        <v>10</v>
      </c>
      <c r="B11" s="3">
        <v>10</v>
      </c>
      <c r="C11" s="3" t="s">
        <v>36</v>
      </c>
      <c r="D11" s="3" t="s">
        <v>799</v>
      </c>
      <c r="E11" s="3" t="s">
        <v>43</v>
      </c>
      <c r="F11" s="3">
        <v>7</v>
      </c>
      <c r="G11" s="3">
        <v>350</v>
      </c>
      <c r="H11" s="3">
        <v>6585</v>
      </c>
      <c r="I11" s="3">
        <v>2773</v>
      </c>
      <c r="J11" s="3">
        <v>1640</v>
      </c>
      <c r="K11" s="3">
        <v>626</v>
      </c>
      <c r="L11" s="3">
        <v>0.47799999999999998</v>
      </c>
      <c r="M11" s="3">
        <v>0.33400000000000002</v>
      </c>
      <c r="N11" s="3">
        <v>0.75900000000000001</v>
      </c>
      <c r="O11" s="3">
        <v>18.8</v>
      </c>
      <c r="P11" s="3">
        <v>7.9</v>
      </c>
      <c r="Q11" s="3">
        <v>4.7</v>
      </c>
      <c r="R11" s="3">
        <v>1.8</v>
      </c>
      <c r="S11" s="3">
        <v>10.199999999999999</v>
      </c>
      <c r="T11" s="3">
        <v>7.4999999999999997E-2</v>
      </c>
      <c r="U11" s="3">
        <v>-1.6</v>
      </c>
      <c r="V11" s="3">
        <v>0.6</v>
      </c>
    </row>
    <row r="12" spans="1:22" hidden="1">
      <c r="A12" s="1">
        <v>11</v>
      </c>
      <c r="B12" s="3">
        <v>11</v>
      </c>
      <c r="C12" s="3" t="s">
        <v>119</v>
      </c>
      <c r="D12" s="3" t="s">
        <v>800</v>
      </c>
      <c r="E12" s="3" t="s">
        <v>173</v>
      </c>
      <c r="F12" s="3">
        <v>8</v>
      </c>
      <c r="G12" s="3">
        <v>502</v>
      </c>
      <c r="H12" s="3">
        <v>11300</v>
      </c>
      <c r="I12" s="3">
        <v>6118</v>
      </c>
      <c r="J12" s="3">
        <v>1299</v>
      </c>
      <c r="K12" s="3">
        <v>1549</v>
      </c>
      <c r="L12" s="3">
        <v>0.434</v>
      </c>
      <c r="M12" s="3">
        <v>0.35199999999999998</v>
      </c>
      <c r="N12" s="3">
        <v>0.84799999999999998</v>
      </c>
      <c r="O12" s="3">
        <v>22.5</v>
      </c>
      <c r="P12" s="3">
        <v>12.2</v>
      </c>
      <c r="Q12" s="3">
        <v>2.6</v>
      </c>
      <c r="R12" s="3">
        <v>3.1</v>
      </c>
      <c r="S12" s="3">
        <v>15.1</v>
      </c>
      <c r="T12" s="3">
        <v>6.4000000000000001E-2</v>
      </c>
      <c r="U12" s="3">
        <v>-0.9</v>
      </c>
      <c r="V12" s="3">
        <v>3</v>
      </c>
    </row>
    <row r="13" spans="1:22" hidden="1">
      <c r="A13" s="1">
        <v>12</v>
      </c>
      <c r="B13" s="3">
        <v>12</v>
      </c>
      <c r="C13" s="3" t="s">
        <v>34</v>
      </c>
      <c r="D13" s="3" t="s">
        <v>801</v>
      </c>
      <c r="E13" s="3" t="s">
        <v>171</v>
      </c>
      <c r="F13" s="3">
        <v>8</v>
      </c>
      <c r="G13" s="3">
        <v>434</v>
      </c>
      <c r="H13" s="3">
        <v>10145</v>
      </c>
      <c r="I13" s="3">
        <v>4313</v>
      </c>
      <c r="J13" s="3">
        <v>1231</v>
      </c>
      <c r="K13" s="3">
        <v>962</v>
      </c>
      <c r="L13" s="3">
        <v>0.45600000000000002</v>
      </c>
      <c r="M13" s="3">
        <v>0.442</v>
      </c>
      <c r="N13" s="3">
        <v>0.879</v>
      </c>
      <c r="O13" s="3">
        <v>23.4</v>
      </c>
      <c r="P13" s="3">
        <v>9.9</v>
      </c>
      <c r="Q13" s="3">
        <v>2.8</v>
      </c>
      <c r="R13" s="3">
        <v>2.2000000000000002</v>
      </c>
      <c r="S13" s="3">
        <v>22.5</v>
      </c>
      <c r="T13" s="3">
        <v>0.107</v>
      </c>
      <c r="U13" s="3">
        <v>0</v>
      </c>
      <c r="V13" s="3">
        <v>5.3</v>
      </c>
    </row>
    <row r="14" spans="1:22" hidden="1">
      <c r="A14" s="1">
        <v>13</v>
      </c>
      <c r="B14" s="3">
        <v>13</v>
      </c>
      <c r="C14" s="3" t="s">
        <v>23</v>
      </c>
      <c r="D14" s="3" t="s">
        <v>802</v>
      </c>
      <c r="E14" s="3" t="s">
        <v>61</v>
      </c>
      <c r="F14" s="3">
        <v>8</v>
      </c>
      <c r="G14" s="3">
        <v>517</v>
      </c>
      <c r="H14" s="3">
        <v>17545</v>
      </c>
      <c r="I14" s="3">
        <v>12796</v>
      </c>
      <c r="J14" s="3">
        <v>2215</v>
      </c>
      <c r="K14" s="3">
        <v>2408</v>
      </c>
      <c r="L14" s="3">
        <v>0.45</v>
      </c>
      <c r="M14" s="3">
        <v>0.36899999999999999</v>
      </c>
      <c r="N14" s="3">
        <v>0.84299999999999997</v>
      </c>
      <c r="O14" s="3">
        <v>33.9</v>
      </c>
      <c r="P14" s="3">
        <v>24.8</v>
      </c>
      <c r="Q14" s="3">
        <v>4.3</v>
      </c>
      <c r="R14" s="3">
        <v>4.7</v>
      </c>
      <c r="S14" s="3">
        <v>49.5</v>
      </c>
      <c r="T14" s="3">
        <v>0.13600000000000001</v>
      </c>
      <c r="U14" s="3">
        <v>3.5</v>
      </c>
      <c r="V14" s="3">
        <v>24.2</v>
      </c>
    </row>
    <row r="15" spans="1:22" hidden="1">
      <c r="A15" s="1">
        <v>14</v>
      </c>
      <c r="B15" s="3">
        <v>14</v>
      </c>
      <c r="C15" s="3" t="s">
        <v>72</v>
      </c>
      <c r="D15" s="3" t="s">
        <v>803</v>
      </c>
      <c r="E15" s="3" t="s">
        <v>173</v>
      </c>
      <c r="F15" s="3">
        <v>8</v>
      </c>
      <c r="G15" s="3">
        <v>538</v>
      </c>
      <c r="H15" s="3">
        <v>16344</v>
      </c>
      <c r="I15" s="3">
        <v>8318</v>
      </c>
      <c r="J15" s="3">
        <v>4763</v>
      </c>
      <c r="K15" s="3">
        <v>1928</v>
      </c>
      <c r="L15" s="3">
        <v>0.53900000000000003</v>
      </c>
      <c r="M15" s="3">
        <v>0.25800000000000001</v>
      </c>
      <c r="N15" s="3">
        <v>0.752</v>
      </c>
      <c r="O15" s="3">
        <v>30.4</v>
      </c>
      <c r="P15" s="3">
        <v>15.5</v>
      </c>
      <c r="Q15" s="3">
        <v>8.9</v>
      </c>
      <c r="R15" s="3">
        <v>3.6</v>
      </c>
      <c r="S15" s="3">
        <v>54</v>
      </c>
      <c r="T15" s="3">
        <v>0.158</v>
      </c>
      <c r="U15" s="3">
        <v>2.4</v>
      </c>
      <c r="V15" s="3">
        <v>18.3</v>
      </c>
    </row>
    <row r="16" spans="1:22" hidden="1">
      <c r="A16" s="1">
        <v>15</v>
      </c>
      <c r="B16" s="3">
        <v>15</v>
      </c>
      <c r="C16" s="3" t="s">
        <v>124</v>
      </c>
      <c r="D16" s="3" t="s">
        <v>764</v>
      </c>
      <c r="E16" s="3" t="s">
        <v>78</v>
      </c>
      <c r="F16" s="3">
        <v>7</v>
      </c>
      <c r="G16" s="3">
        <v>280</v>
      </c>
      <c r="H16" s="3">
        <v>4886</v>
      </c>
      <c r="I16" s="3">
        <v>1676</v>
      </c>
      <c r="J16" s="3">
        <v>654</v>
      </c>
      <c r="K16" s="3">
        <v>285</v>
      </c>
      <c r="L16" s="3">
        <v>0.42299999999999999</v>
      </c>
      <c r="M16" s="3">
        <v>0.31900000000000001</v>
      </c>
      <c r="N16" s="3">
        <v>0.79600000000000004</v>
      </c>
      <c r="O16" s="3">
        <v>17.5</v>
      </c>
      <c r="P16" s="3">
        <v>6</v>
      </c>
      <c r="Q16" s="3">
        <v>2.2999999999999998</v>
      </c>
      <c r="R16" s="3">
        <v>1</v>
      </c>
      <c r="S16" s="3">
        <v>5.3</v>
      </c>
      <c r="T16" s="3">
        <v>5.1999999999999998E-2</v>
      </c>
      <c r="U16" s="3">
        <v>-2.8</v>
      </c>
      <c r="V16" s="3">
        <v>-1</v>
      </c>
    </row>
    <row r="17" spans="1:22" hidden="1">
      <c r="A17" s="1">
        <v>16</v>
      </c>
      <c r="B17" s="3">
        <v>16</v>
      </c>
      <c r="C17" s="3" t="s">
        <v>99</v>
      </c>
      <c r="D17" s="3" t="s">
        <v>804</v>
      </c>
      <c r="E17" s="3" t="s">
        <v>335</v>
      </c>
      <c r="F17" s="3">
        <v>4</v>
      </c>
      <c r="G17" s="3">
        <v>22</v>
      </c>
      <c r="H17" s="3">
        <v>296</v>
      </c>
      <c r="I17" s="3">
        <v>86</v>
      </c>
      <c r="J17" s="3">
        <v>60</v>
      </c>
      <c r="K17" s="3">
        <v>19</v>
      </c>
      <c r="L17" s="3">
        <v>0.40400000000000003</v>
      </c>
      <c r="M17" s="3">
        <v>0.25</v>
      </c>
      <c r="N17" s="3">
        <v>0.66700000000000004</v>
      </c>
      <c r="O17" s="3">
        <v>13.5</v>
      </c>
      <c r="P17" s="3">
        <v>3.9</v>
      </c>
      <c r="Q17" s="3">
        <v>2.7</v>
      </c>
      <c r="R17" s="3">
        <v>0.9</v>
      </c>
      <c r="S17" s="3">
        <v>0.4</v>
      </c>
      <c r="T17" s="3">
        <v>6.6000000000000003E-2</v>
      </c>
      <c r="U17" s="3">
        <v>-2.8</v>
      </c>
      <c r="V17" s="3">
        <v>-0.1</v>
      </c>
    </row>
    <row r="18" spans="1:22" hidden="1">
      <c r="A18" s="1">
        <v>17</v>
      </c>
      <c r="B18" s="3">
        <v>17</v>
      </c>
      <c r="C18" s="3" t="s">
        <v>57</v>
      </c>
      <c r="D18" s="3" t="s">
        <v>805</v>
      </c>
      <c r="E18" s="3" t="s">
        <v>151</v>
      </c>
      <c r="F18" s="3">
        <v>6</v>
      </c>
      <c r="G18" s="3">
        <v>148</v>
      </c>
      <c r="H18" s="3">
        <v>1818</v>
      </c>
      <c r="I18" s="3">
        <v>657</v>
      </c>
      <c r="J18" s="3">
        <v>454</v>
      </c>
      <c r="K18" s="3">
        <v>110</v>
      </c>
      <c r="L18" s="3">
        <v>0.42199999999999999</v>
      </c>
      <c r="M18" s="3">
        <v>0.33100000000000002</v>
      </c>
      <c r="N18" s="3">
        <v>0.61799999999999999</v>
      </c>
      <c r="O18" s="3">
        <v>12.3</v>
      </c>
      <c r="P18" s="3">
        <v>4.4000000000000004</v>
      </c>
      <c r="Q18" s="3">
        <v>3.1</v>
      </c>
      <c r="R18" s="3">
        <v>0.7</v>
      </c>
      <c r="S18" s="3">
        <v>2.9</v>
      </c>
      <c r="T18" s="3">
        <v>7.6999999999999999E-2</v>
      </c>
      <c r="U18" s="3">
        <v>-2.4</v>
      </c>
      <c r="V18" s="3">
        <v>-0.2</v>
      </c>
    </row>
    <row r="19" spans="1:22" hidden="1">
      <c r="A19" s="1">
        <v>18</v>
      </c>
      <c r="B19" s="3">
        <v>18</v>
      </c>
      <c r="C19" s="3" t="s">
        <v>41</v>
      </c>
      <c r="D19" s="3" t="s">
        <v>806</v>
      </c>
      <c r="E19" s="3" t="s">
        <v>63</v>
      </c>
      <c r="F19" s="3">
        <v>4</v>
      </c>
      <c r="G19" s="3">
        <v>146</v>
      </c>
      <c r="H19" s="3">
        <v>1238</v>
      </c>
      <c r="I19" s="3">
        <v>477</v>
      </c>
      <c r="J19" s="3">
        <v>283</v>
      </c>
      <c r="K19" s="3">
        <v>43</v>
      </c>
      <c r="L19" s="3">
        <v>0.49199999999999999</v>
      </c>
      <c r="M19" s="3">
        <v>0.34100000000000003</v>
      </c>
      <c r="N19" s="3">
        <v>0.58499999999999996</v>
      </c>
      <c r="O19" s="3">
        <v>8.5</v>
      </c>
      <c r="P19" s="3">
        <v>3.3</v>
      </c>
      <c r="Q19" s="3">
        <v>1.9</v>
      </c>
      <c r="R19" s="3">
        <v>0.3</v>
      </c>
      <c r="S19" s="3">
        <v>2.7</v>
      </c>
      <c r="T19" s="3">
        <v>0.104</v>
      </c>
      <c r="U19" s="3">
        <v>-1.8</v>
      </c>
      <c r="V19" s="3">
        <v>0.1</v>
      </c>
    </row>
    <row r="20" spans="1:22" hidden="1">
      <c r="A20" s="1">
        <v>19</v>
      </c>
      <c r="B20" s="3">
        <v>19</v>
      </c>
      <c r="C20" s="3" t="s">
        <v>184</v>
      </c>
      <c r="D20" s="3" t="s">
        <v>807</v>
      </c>
      <c r="E20" s="3" t="s">
        <v>463</v>
      </c>
      <c r="F20" s="3">
        <v>8</v>
      </c>
      <c r="G20" s="3">
        <v>465</v>
      </c>
      <c r="H20" s="3">
        <v>13515</v>
      </c>
      <c r="I20" s="3">
        <v>7397</v>
      </c>
      <c r="J20" s="3">
        <v>3747</v>
      </c>
      <c r="K20" s="3">
        <v>691</v>
      </c>
      <c r="L20" s="3">
        <v>0.54600000000000004</v>
      </c>
      <c r="M20" s="3">
        <v>0.36499999999999999</v>
      </c>
      <c r="N20" s="3">
        <v>0.79200000000000004</v>
      </c>
      <c r="O20" s="3">
        <v>29.1</v>
      </c>
      <c r="P20" s="3">
        <v>15.9</v>
      </c>
      <c r="Q20" s="3">
        <v>8.1</v>
      </c>
      <c r="R20" s="3">
        <v>1.5</v>
      </c>
      <c r="S20" s="3">
        <v>39</v>
      </c>
      <c r="T20" s="3">
        <v>0.13900000000000001</v>
      </c>
      <c r="U20" s="3">
        <v>0.7</v>
      </c>
      <c r="V20" s="3">
        <v>9.1</v>
      </c>
    </row>
    <row r="21" spans="1:22" hidden="1">
      <c r="A21" s="1">
        <v>20</v>
      </c>
      <c r="B21" s="3">
        <v>20</v>
      </c>
      <c r="C21" s="3" t="s">
        <v>124</v>
      </c>
      <c r="D21" s="3" t="s">
        <v>808</v>
      </c>
      <c r="E21" s="3" t="s">
        <v>171</v>
      </c>
      <c r="F21" s="3">
        <v>4</v>
      </c>
      <c r="G21" s="3">
        <v>165</v>
      </c>
      <c r="H21" s="3">
        <v>1935</v>
      </c>
      <c r="I21" s="3">
        <v>888</v>
      </c>
      <c r="J21" s="3">
        <v>573</v>
      </c>
      <c r="K21" s="3">
        <v>180</v>
      </c>
      <c r="L21" s="3">
        <v>0.50800000000000001</v>
      </c>
      <c r="M21" s="3">
        <v>0.24399999999999999</v>
      </c>
      <c r="N21" s="3">
        <v>0.66100000000000003</v>
      </c>
      <c r="O21" s="3">
        <v>11.7</v>
      </c>
      <c r="P21" s="3">
        <v>5.4</v>
      </c>
      <c r="Q21" s="3">
        <v>3.5</v>
      </c>
      <c r="R21" s="3">
        <v>1.1000000000000001</v>
      </c>
      <c r="S21" s="3">
        <v>3.1</v>
      </c>
      <c r="T21" s="3">
        <v>7.5999999999999998E-2</v>
      </c>
      <c r="U21" s="3">
        <v>-2.5</v>
      </c>
      <c r="V21" s="3">
        <v>-0.2</v>
      </c>
    </row>
    <row r="22" spans="1:22" hidden="1">
      <c r="A22" s="1">
        <v>21</v>
      </c>
      <c r="B22" s="3">
        <v>21</v>
      </c>
      <c r="C22" s="3" t="s">
        <v>82</v>
      </c>
      <c r="D22" s="3" t="s">
        <v>809</v>
      </c>
      <c r="E22" s="2"/>
      <c r="F22" s="3">
        <v>4</v>
      </c>
      <c r="G22" s="3">
        <v>204</v>
      </c>
      <c r="H22" s="3">
        <v>4000</v>
      </c>
      <c r="I22" s="3">
        <v>924</v>
      </c>
      <c r="J22" s="3">
        <v>263</v>
      </c>
      <c r="K22" s="3">
        <v>144</v>
      </c>
      <c r="L22" s="3">
        <v>0.40400000000000003</v>
      </c>
      <c r="M22" s="3">
        <v>0.33400000000000002</v>
      </c>
      <c r="N22" s="3">
        <v>0.753</v>
      </c>
      <c r="O22" s="3">
        <v>19.600000000000001</v>
      </c>
      <c r="P22" s="3">
        <v>4.5</v>
      </c>
      <c r="Q22" s="3">
        <v>1.3</v>
      </c>
      <c r="R22" s="3">
        <v>0.7</v>
      </c>
      <c r="S22" s="3">
        <v>4.4000000000000004</v>
      </c>
      <c r="T22" s="3">
        <v>5.2999999999999999E-2</v>
      </c>
      <c r="U22" s="3">
        <v>-4</v>
      </c>
      <c r="V22" s="3">
        <v>-2.1</v>
      </c>
    </row>
    <row r="23" spans="1:22" hidden="1">
      <c r="A23" s="1">
        <v>22</v>
      </c>
      <c r="B23" s="3">
        <v>22</v>
      </c>
      <c r="C23" s="3" t="s">
        <v>47</v>
      </c>
      <c r="D23" s="3" t="s">
        <v>810</v>
      </c>
      <c r="E23" s="3" t="s">
        <v>530</v>
      </c>
      <c r="F23" s="3">
        <v>8</v>
      </c>
      <c r="G23" s="3">
        <v>538</v>
      </c>
      <c r="H23" s="3">
        <v>15229</v>
      </c>
      <c r="I23" s="3">
        <v>6893</v>
      </c>
      <c r="J23" s="3">
        <v>4976</v>
      </c>
      <c r="K23" s="3">
        <v>895</v>
      </c>
      <c r="L23" s="3">
        <v>0.63700000000000001</v>
      </c>
      <c r="M23" s="3">
        <v>0.16800000000000001</v>
      </c>
      <c r="N23" s="3">
        <v>0.71399999999999997</v>
      </c>
      <c r="O23" s="3">
        <v>28.3</v>
      </c>
      <c r="P23" s="3">
        <v>12.8</v>
      </c>
      <c r="Q23" s="3">
        <v>9.1999999999999993</v>
      </c>
      <c r="R23" s="3">
        <v>1.7</v>
      </c>
      <c r="S23" s="3">
        <v>62.8</v>
      </c>
      <c r="T23" s="3">
        <v>0.19800000000000001</v>
      </c>
      <c r="U23" s="3">
        <v>2.2999999999999998</v>
      </c>
      <c r="V23" s="3">
        <v>16.399999999999999</v>
      </c>
    </row>
    <row r="24" spans="1:22" hidden="1">
      <c r="A24" s="1">
        <v>23</v>
      </c>
      <c r="B24" s="3">
        <v>23</v>
      </c>
      <c r="C24" s="3" t="s">
        <v>163</v>
      </c>
      <c r="D24" s="3" t="s">
        <v>811</v>
      </c>
      <c r="E24" s="3" t="s">
        <v>195</v>
      </c>
      <c r="F24" s="3">
        <v>8</v>
      </c>
      <c r="G24" s="3">
        <v>467</v>
      </c>
      <c r="H24" s="3">
        <v>13926</v>
      </c>
      <c r="I24" s="3">
        <v>5803</v>
      </c>
      <c r="J24" s="3">
        <v>2017</v>
      </c>
      <c r="K24" s="3">
        <v>766</v>
      </c>
      <c r="L24" s="3">
        <v>0.47499999999999998</v>
      </c>
      <c r="M24" s="3">
        <v>0.375</v>
      </c>
      <c r="N24" s="3">
        <v>0.752</v>
      </c>
      <c r="O24" s="3">
        <v>29.8</v>
      </c>
      <c r="P24" s="3">
        <v>12.4</v>
      </c>
      <c r="Q24" s="3">
        <v>4.3</v>
      </c>
      <c r="R24" s="3">
        <v>1.6</v>
      </c>
      <c r="S24" s="3">
        <v>28.7</v>
      </c>
      <c r="T24" s="3">
        <v>9.9000000000000005E-2</v>
      </c>
      <c r="U24" s="3">
        <v>0</v>
      </c>
      <c r="V24" s="3">
        <v>7.2</v>
      </c>
    </row>
    <row r="25" spans="1:22" hidden="1">
      <c r="A25" s="1">
        <v>24</v>
      </c>
      <c r="B25" s="3">
        <v>24</v>
      </c>
      <c r="C25" s="3" t="s">
        <v>193</v>
      </c>
      <c r="D25" s="3" t="s">
        <v>812</v>
      </c>
      <c r="E25" s="3" t="s">
        <v>68</v>
      </c>
      <c r="F25" s="3">
        <v>2</v>
      </c>
      <c r="G25" s="3">
        <v>26</v>
      </c>
      <c r="H25" s="3">
        <v>96</v>
      </c>
      <c r="I25" s="3">
        <v>23</v>
      </c>
      <c r="J25" s="3">
        <v>18</v>
      </c>
      <c r="K25" s="3">
        <v>6</v>
      </c>
      <c r="L25" s="3">
        <v>0.5</v>
      </c>
      <c r="M25" s="3">
        <v>0.4</v>
      </c>
      <c r="N25" s="3">
        <v>0.33300000000000002</v>
      </c>
      <c r="O25" s="3">
        <v>3.7</v>
      </c>
      <c r="P25" s="3">
        <v>0.9</v>
      </c>
      <c r="Q25" s="3">
        <v>0.7</v>
      </c>
      <c r="R25" s="3">
        <v>0.2</v>
      </c>
      <c r="S25" s="3">
        <v>0.2</v>
      </c>
      <c r="T25" s="3">
        <v>8.4000000000000005E-2</v>
      </c>
      <c r="U25" s="3">
        <v>-4.3</v>
      </c>
      <c r="V25" s="3">
        <v>-0.1</v>
      </c>
    </row>
    <row r="26" spans="1:22" hidden="1">
      <c r="A26" s="1">
        <v>25</v>
      </c>
      <c r="B26" s="3">
        <v>25</v>
      </c>
      <c r="C26" s="3" t="s">
        <v>179</v>
      </c>
      <c r="D26" s="3" t="s">
        <v>813</v>
      </c>
      <c r="E26" s="2"/>
      <c r="F26" s="3">
        <v>2</v>
      </c>
      <c r="G26" s="3">
        <v>28</v>
      </c>
      <c r="H26" s="3">
        <v>443</v>
      </c>
      <c r="I26" s="3">
        <v>156</v>
      </c>
      <c r="J26" s="3">
        <v>108</v>
      </c>
      <c r="K26" s="3">
        <v>19</v>
      </c>
      <c r="L26" s="3">
        <v>0.52100000000000002</v>
      </c>
      <c r="M26" s="3">
        <v>0</v>
      </c>
      <c r="N26" s="3">
        <v>0.58599999999999997</v>
      </c>
      <c r="O26" s="3">
        <v>15.8</v>
      </c>
      <c r="P26" s="3">
        <v>5.6</v>
      </c>
      <c r="Q26" s="3">
        <v>3.9</v>
      </c>
      <c r="R26" s="3">
        <v>0.7</v>
      </c>
      <c r="S26" s="3">
        <v>0.4</v>
      </c>
      <c r="T26" s="3">
        <v>3.7999999999999999E-2</v>
      </c>
      <c r="U26" s="3">
        <v>-6.2</v>
      </c>
      <c r="V26" s="3">
        <v>-0.5</v>
      </c>
    </row>
    <row r="27" spans="1:22" hidden="1">
      <c r="A27" s="1">
        <v>26</v>
      </c>
      <c r="B27" s="3">
        <v>26</v>
      </c>
      <c r="C27" s="3" t="s">
        <v>124</v>
      </c>
      <c r="D27" s="3" t="s">
        <v>814</v>
      </c>
      <c r="E27" s="3" t="s">
        <v>143</v>
      </c>
      <c r="F27" s="3">
        <v>3</v>
      </c>
      <c r="G27" s="3">
        <v>75</v>
      </c>
      <c r="H27" s="3">
        <v>655</v>
      </c>
      <c r="I27" s="3">
        <v>169</v>
      </c>
      <c r="J27" s="3">
        <v>218</v>
      </c>
      <c r="K27" s="3">
        <v>56</v>
      </c>
      <c r="L27" s="3">
        <v>0.438</v>
      </c>
      <c r="M27" s="3">
        <v>0.11799999999999999</v>
      </c>
      <c r="N27" s="3">
        <v>0.61399999999999999</v>
      </c>
      <c r="O27" s="3">
        <v>8.6999999999999993</v>
      </c>
      <c r="P27" s="3">
        <v>2.2999999999999998</v>
      </c>
      <c r="Q27" s="3">
        <v>2.9</v>
      </c>
      <c r="R27" s="3">
        <v>0.7</v>
      </c>
      <c r="S27" s="3">
        <v>-0.2</v>
      </c>
      <c r="T27" s="3">
        <v>-1.4999999999999999E-2</v>
      </c>
      <c r="U27" s="3">
        <v>-6.2</v>
      </c>
      <c r="V27" s="3">
        <v>-0.7</v>
      </c>
    </row>
    <row r="28" spans="1:22" hidden="1">
      <c r="A28" s="1">
        <v>27</v>
      </c>
      <c r="B28" s="3">
        <v>27</v>
      </c>
      <c r="C28" s="3" t="s">
        <v>47</v>
      </c>
      <c r="D28" s="3" t="s">
        <v>815</v>
      </c>
      <c r="E28" s="3" t="s">
        <v>816</v>
      </c>
      <c r="F28" s="3">
        <v>8</v>
      </c>
      <c r="G28" s="3">
        <v>510</v>
      </c>
      <c r="H28" s="3">
        <v>15866</v>
      </c>
      <c r="I28" s="3">
        <v>8757</v>
      </c>
      <c r="J28" s="3">
        <v>3243</v>
      </c>
      <c r="K28" s="3">
        <v>1379</v>
      </c>
      <c r="L28" s="3">
        <v>0.44900000000000001</v>
      </c>
      <c r="M28" s="3">
        <v>0.33400000000000002</v>
      </c>
      <c r="N28" s="3">
        <v>0.72499999999999998</v>
      </c>
      <c r="O28" s="3">
        <v>31.1</v>
      </c>
      <c r="P28" s="3">
        <v>17.2</v>
      </c>
      <c r="Q28" s="3">
        <v>6.4</v>
      </c>
      <c r="R28" s="3">
        <v>2.7</v>
      </c>
      <c r="S28" s="3">
        <v>14</v>
      </c>
      <c r="T28" s="3">
        <v>4.2000000000000003E-2</v>
      </c>
      <c r="U28" s="3">
        <v>-1.4</v>
      </c>
      <c r="V28" s="3">
        <v>2.5</v>
      </c>
    </row>
    <row r="29" spans="1:22" hidden="1">
      <c r="A29" s="1">
        <v>28</v>
      </c>
      <c r="B29" s="3">
        <v>28</v>
      </c>
      <c r="C29" s="3" t="s">
        <v>31</v>
      </c>
      <c r="D29" s="3" t="s">
        <v>817</v>
      </c>
      <c r="E29" s="3" t="s">
        <v>78</v>
      </c>
      <c r="F29" s="3">
        <v>6</v>
      </c>
      <c r="G29" s="3">
        <v>179</v>
      </c>
      <c r="H29" s="3">
        <v>1994</v>
      </c>
      <c r="I29" s="3">
        <v>792</v>
      </c>
      <c r="J29" s="3">
        <v>729</v>
      </c>
      <c r="K29" s="3">
        <v>90</v>
      </c>
      <c r="L29" s="3">
        <v>0.63100000000000001</v>
      </c>
      <c r="M29" s="3">
        <v>0.5</v>
      </c>
      <c r="N29" s="3">
        <v>0.68100000000000005</v>
      </c>
      <c r="O29" s="3">
        <v>11.1</v>
      </c>
      <c r="P29" s="3">
        <v>4.4000000000000004</v>
      </c>
      <c r="Q29" s="3">
        <v>4.0999999999999996</v>
      </c>
      <c r="R29" s="3">
        <v>0.5</v>
      </c>
      <c r="S29" s="3">
        <v>7.5</v>
      </c>
      <c r="T29" s="3">
        <v>0.18099999999999999</v>
      </c>
      <c r="U29" s="3">
        <v>0.2</v>
      </c>
      <c r="V29" s="3">
        <v>1.1000000000000001</v>
      </c>
    </row>
    <row r="30" spans="1:22" hidden="1">
      <c r="A30" s="1">
        <v>29</v>
      </c>
      <c r="B30" s="3">
        <v>29</v>
      </c>
      <c r="C30" s="3" t="s">
        <v>79</v>
      </c>
      <c r="D30" s="3" t="s">
        <v>818</v>
      </c>
      <c r="E30" s="3" t="s">
        <v>65</v>
      </c>
      <c r="F30" s="3">
        <v>8</v>
      </c>
      <c r="G30" s="3">
        <v>468</v>
      </c>
      <c r="H30" s="3">
        <v>13179</v>
      </c>
      <c r="I30" s="3">
        <v>5957</v>
      </c>
      <c r="J30" s="3">
        <v>1676</v>
      </c>
      <c r="K30" s="3">
        <v>1911</v>
      </c>
      <c r="L30" s="3">
        <v>0.44900000000000001</v>
      </c>
      <c r="M30" s="3">
        <v>0.36699999999999999</v>
      </c>
      <c r="N30" s="3">
        <v>0.85099999999999998</v>
      </c>
      <c r="O30" s="3">
        <v>28.2</v>
      </c>
      <c r="P30" s="3">
        <v>12.7</v>
      </c>
      <c r="Q30" s="3">
        <v>3.6</v>
      </c>
      <c r="R30" s="3">
        <v>4.0999999999999996</v>
      </c>
      <c r="S30" s="3">
        <v>36.4</v>
      </c>
      <c r="T30" s="3">
        <v>0.13300000000000001</v>
      </c>
      <c r="U30" s="3">
        <v>2.1</v>
      </c>
      <c r="V30" s="3">
        <v>13.5</v>
      </c>
    </row>
    <row r="31" spans="1:22" hidden="1">
      <c r="A31" s="1">
        <v>30</v>
      </c>
      <c r="B31" s="3">
        <v>30</v>
      </c>
      <c r="C31" s="3" t="s">
        <v>193</v>
      </c>
      <c r="D31" s="3" t="s">
        <v>819</v>
      </c>
      <c r="E31" s="3" t="s">
        <v>22</v>
      </c>
      <c r="F31" s="3">
        <v>8</v>
      </c>
      <c r="G31" s="3">
        <v>504</v>
      </c>
      <c r="H31" s="3">
        <v>15149</v>
      </c>
      <c r="I31" s="3">
        <v>5154</v>
      </c>
      <c r="J31" s="3">
        <v>3460</v>
      </c>
      <c r="K31" s="3">
        <v>1527</v>
      </c>
      <c r="L31" s="3">
        <v>0.47099999999999997</v>
      </c>
      <c r="M31" s="3">
        <v>0.34399999999999997</v>
      </c>
      <c r="N31" s="3">
        <v>0.755</v>
      </c>
      <c r="O31" s="3">
        <v>30.1</v>
      </c>
      <c r="P31" s="3">
        <v>10.199999999999999</v>
      </c>
      <c r="Q31" s="3">
        <v>6.9</v>
      </c>
      <c r="R31" s="3">
        <v>3</v>
      </c>
      <c r="S31" s="3">
        <v>34.4</v>
      </c>
      <c r="T31" s="3">
        <v>0.109</v>
      </c>
      <c r="U31" s="3">
        <v>0.4</v>
      </c>
      <c r="V31" s="3">
        <v>9.3000000000000007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5">
      <c r="A33" s="1">
        <v>31</v>
      </c>
      <c r="B33" s="3">
        <v>31</v>
      </c>
      <c r="C33" s="3" t="s">
        <v>119</v>
      </c>
      <c r="D33" s="88" t="s">
        <v>820</v>
      </c>
      <c r="E33" s="3" t="s">
        <v>171</v>
      </c>
      <c r="F33" s="3">
        <v>5</v>
      </c>
      <c r="G33" s="3">
        <v>214</v>
      </c>
      <c r="H33" s="3">
        <v>3873</v>
      </c>
      <c r="I33" s="3">
        <v>1816</v>
      </c>
      <c r="J33" s="3">
        <v>392</v>
      </c>
      <c r="K33" s="3">
        <v>222</v>
      </c>
      <c r="L33" s="3">
        <v>0.42099999999999999</v>
      </c>
      <c r="M33" s="3">
        <v>0.33200000000000002</v>
      </c>
      <c r="N33" s="3">
        <v>0.78600000000000003</v>
      </c>
      <c r="O33" s="3">
        <v>18.100000000000001</v>
      </c>
      <c r="P33" s="3">
        <v>8.5</v>
      </c>
      <c r="Q33" s="3">
        <v>1.8</v>
      </c>
      <c r="R33" s="3">
        <v>1</v>
      </c>
      <c r="S33" s="3">
        <v>2.5</v>
      </c>
      <c r="T33" s="3">
        <v>3.1E-2</v>
      </c>
      <c r="U33" s="3">
        <v>-3.9</v>
      </c>
      <c r="V33" s="3">
        <v>-1.9</v>
      </c>
    </row>
    <row r="34" spans="1:25">
      <c r="A34" s="1">
        <v>32</v>
      </c>
      <c r="B34" s="3">
        <v>32</v>
      </c>
      <c r="C34" s="3" t="s">
        <v>323</v>
      </c>
      <c r="D34" s="67" t="s">
        <v>821</v>
      </c>
      <c r="E34" s="3" t="s">
        <v>103</v>
      </c>
      <c r="F34" s="3">
        <v>4</v>
      </c>
      <c r="G34" s="3">
        <v>122</v>
      </c>
      <c r="H34" s="3">
        <v>1299</v>
      </c>
      <c r="I34" s="3">
        <v>373</v>
      </c>
      <c r="J34" s="3">
        <v>212</v>
      </c>
      <c r="K34" s="3">
        <v>92</v>
      </c>
      <c r="L34" s="3">
        <v>0.40799999999999997</v>
      </c>
      <c r="M34" s="3">
        <v>0.38500000000000001</v>
      </c>
      <c r="N34" s="3">
        <v>0.66700000000000004</v>
      </c>
      <c r="O34" s="3">
        <v>10.6</v>
      </c>
      <c r="P34" s="3">
        <v>3.1</v>
      </c>
      <c r="Q34" s="3">
        <v>1.7</v>
      </c>
      <c r="R34" s="3">
        <v>0.8</v>
      </c>
      <c r="S34" s="3">
        <v>1.5</v>
      </c>
      <c r="T34" s="3">
        <v>5.3999999999999999E-2</v>
      </c>
      <c r="U34" s="3">
        <v>-2.9</v>
      </c>
      <c r="V34" s="3">
        <v>-0.3</v>
      </c>
      <c r="X34" s="135" t="s">
        <v>296</v>
      </c>
      <c r="Y34" s="3">
        <v>0</v>
      </c>
    </row>
    <row r="35" spans="1:25">
      <c r="A35" s="1">
        <v>33</v>
      </c>
      <c r="B35" s="3">
        <v>33</v>
      </c>
      <c r="C35" s="3" t="s">
        <v>179</v>
      </c>
      <c r="D35" s="88" t="s">
        <v>822</v>
      </c>
      <c r="E35" s="3" t="s">
        <v>432</v>
      </c>
      <c r="F35" s="3">
        <v>5</v>
      </c>
      <c r="G35" s="3">
        <v>226</v>
      </c>
      <c r="H35" s="3">
        <v>3827</v>
      </c>
      <c r="I35" s="3">
        <v>989</v>
      </c>
      <c r="J35" s="3">
        <v>555</v>
      </c>
      <c r="K35" s="3">
        <v>208</v>
      </c>
      <c r="L35" s="3">
        <v>0.40799999999999997</v>
      </c>
      <c r="M35" s="3">
        <v>0.29199999999999998</v>
      </c>
      <c r="N35" s="3">
        <v>0.79800000000000004</v>
      </c>
      <c r="O35" s="3">
        <v>16.899999999999999</v>
      </c>
      <c r="P35" s="3">
        <v>4.4000000000000004</v>
      </c>
      <c r="Q35" s="3">
        <v>2.5</v>
      </c>
      <c r="R35" s="3">
        <v>0.9</v>
      </c>
      <c r="S35" s="3">
        <v>4.2</v>
      </c>
      <c r="T35" s="3">
        <v>5.2999999999999999E-2</v>
      </c>
      <c r="U35" s="3">
        <v>-3.9</v>
      </c>
      <c r="V35" s="3">
        <v>-1.8</v>
      </c>
      <c r="X35" s="136" t="s">
        <v>298</v>
      </c>
      <c r="Y35" s="3">
        <v>0</v>
      </c>
    </row>
    <row r="36" spans="1:25">
      <c r="A36" s="1">
        <v>34</v>
      </c>
      <c r="B36" s="3">
        <v>34</v>
      </c>
      <c r="C36" s="3" t="s">
        <v>36</v>
      </c>
      <c r="D36" s="67" t="s">
        <v>823</v>
      </c>
      <c r="E36" s="3" t="s">
        <v>138</v>
      </c>
      <c r="F36" s="3">
        <v>4</v>
      </c>
      <c r="G36" s="3">
        <v>103</v>
      </c>
      <c r="H36" s="3">
        <v>1616</v>
      </c>
      <c r="I36" s="3">
        <v>695</v>
      </c>
      <c r="J36" s="3">
        <v>204</v>
      </c>
      <c r="K36" s="3">
        <v>272</v>
      </c>
      <c r="L36" s="3">
        <v>0.39600000000000002</v>
      </c>
      <c r="M36" s="3">
        <v>0.30099999999999999</v>
      </c>
      <c r="N36" s="3">
        <v>0.755</v>
      </c>
      <c r="O36" s="3">
        <v>15.7</v>
      </c>
      <c r="P36" s="3">
        <v>6.7</v>
      </c>
      <c r="Q36" s="3">
        <v>2</v>
      </c>
      <c r="R36" s="3">
        <v>2.6</v>
      </c>
      <c r="S36" s="3">
        <v>1.2</v>
      </c>
      <c r="T36" s="3">
        <v>3.5000000000000003E-2</v>
      </c>
      <c r="U36" s="3">
        <v>-2.7</v>
      </c>
      <c r="V36" s="3">
        <v>-0.3</v>
      </c>
      <c r="X36" s="137" t="s">
        <v>39</v>
      </c>
      <c r="Y36" s="3">
        <v>2</v>
      </c>
    </row>
    <row r="37" spans="1:25">
      <c r="A37" s="1">
        <v>35</v>
      </c>
      <c r="B37" s="3">
        <v>35</v>
      </c>
      <c r="C37" s="3" t="s">
        <v>179</v>
      </c>
      <c r="D37" s="67" t="s">
        <v>824</v>
      </c>
      <c r="E37" s="3" t="s">
        <v>200</v>
      </c>
      <c r="F37" s="3">
        <v>2</v>
      </c>
      <c r="G37" s="3">
        <v>85</v>
      </c>
      <c r="H37" s="3">
        <v>1237</v>
      </c>
      <c r="I37" s="3">
        <v>485</v>
      </c>
      <c r="J37" s="3">
        <v>364</v>
      </c>
      <c r="K37" s="3">
        <v>86</v>
      </c>
      <c r="L37" s="3">
        <v>0.55500000000000005</v>
      </c>
      <c r="M37" s="3">
        <v>0.2</v>
      </c>
      <c r="N37" s="3">
        <v>0.74299999999999999</v>
      </c>
      <c r="O37" s="3">
        <v>14.6</v>
      </c>
      <c r="P37" s="3">
        <v>5.7</v>
      </c>
      <c r="Q37" s="3">
        <v>4.3</v>
      </c>
      <c r="R37" s="3">
        <v>1</v>
      </c>
      <c r="S37" s="3">
        <v>3.2</v>
      </c>
      <c r="T37" s="3">
        <v>0.125</v>
      </c>
      <c r="U37" s="3">
        <v>-1.7</v>
      </c>
      <c r="V37" s="3">
        <v>0.1</v>
      </c>
      <c r="X37" s="138" t="s">
        <v>106</v>
      </c>
      <c r="Y37" s="3">
        <v>1</v>
      </c>
    </row>
    <row r="38" spans="1:25">
      <c r="A38" s="1">
        <v>36</v>
      </c>
      <c r="B38" s="3">
        <v>36</v>
      </c>
      <c r="C38" s="3" t="s">
        <v>66</v>
      </c>
      <c r="D38" s="67" t="s">
        <v>825</v>
      </c>
      <c r="E38" s="2"/>
      <c r="F38" s="3">
        <v>2</v>
      </c>
      <c r="G38" s="3">
        <v>51</v>
      </c>
      <c r="H38" s="3">
        <v>686</v>
      </c>
      <c r="I38" s="3">
        <v>217</v>
      </c>
      <c r="J38" s="3">
        <v>174</v>
      </c>
      <c r="K38" s="3">
        <v>40</v>
      </c>
      <c r="L38" s="3">
        <v>0.48599999999999999</v>
      </c>
      <c r="M38" s="3">
        <v>0.34</v>
      </c>
      <c r="N38" s="3">
        <v>0.48399999999999999</v>
      </c>
      <c r="O38" s="3">
        <v>13.5</v>
      </c>
      <c r="P38" s="3">
        <v>4.3</v>
      </c>
      <c r="Q38" s="3">
        <v>3.4</v>
      </c>
      <c r="R38" s="3">
        <v>0.8</v>
      </c>
      <c r="S38" s="3">
        <v>1.4</v>
      </c>
      <c r="T38" s="3">
        <v>9.8000000000000004E-2</v>
      </c>
      <c r="U38" s="3">
        <v>-1.3</v>
      </c>
      <c r="V38" s="3">
        <v>0.1</v>
      </c>
      <c r="X38" s="139" t="s">
        <v>678</v>
      </c>
      <c r="Y38" s="3">
        <v>3</v>
      </c>
    </row>
    <row r="39" spans="1:25">
      <c r="A39" s="1">
        <v>37</v>
      </c>
      <c r="B39" s="3">
        <v>37</v>
      </c>
      <c r="C39" s="3" t="s">
        <v>190</v>
      </c>
      <c r="D39" s="82" t="s">
        <v>191</v>
      </c>
      <c r="E39" s="3" t="s">
        <v>189</v>
      </c>
      <c r="F39" s="3">
        <v>5</v>
      </c>
      <c r="G39" s="3">
        <v>284</v>
      </c>
      <c r="H39" s="3">
        <v>4111</v>
      </c>
      <c r="I39" s="3">
        <v>975</v>
      </c>
      <c r="J39" s="3">
        <v>613</v>
      </c>
      <c r="K39" s="3">
        <v>126</v>
      </c>
      <c r="L39" s="3">
        <v>0.38400000000000001</v>
      </c>
      <c r="M39" s="3">
        <v>0.34399999999999997</v>
      </c>
      <c r="N39" s="3">
        <v>0.71699999999999997</v>
      </c>
      <c r="O39" s="3">
        <v>14.5</v>
      </c>
      <c r="P39" s="3">
        <v>3.4</v>
      </c>
      <c r="Q39" s="3">
        <v>2.2000000000000002</v>
      </c>
      <c r="R39" s="3">
        <v>0.4</v>
      </c>
      <c r="S39" s="3">
        <v>5.2</v>
      </c>
      <c r="T39" s="3">
        <v>0.06</v>
      </c>
      <c r="U39" s="3">
        <v>-3.4</v>
      </c>
      <c r="V39" s="3">
        <v>-1.5</v>
      </c>
      <c r="X39" s="140" t="s">
        <v>680</v>
      </c>
    </row>
    <row r="40" spans="1:25">
      <c r="A40" s="1">
        <v>38</v>
      </c>
      <c r="B40" s="3">
        <v>38</v>
      </c>
      <c r="C40" s="3" t="s">
        <v>99</v>
      </c>
      <c r="D40" s="82" t="s">
        <v>192</v>
      </c>
      <c r="E40" s="3" t="s">
        <v>55</v>
      </c>
      <c r="F40" s="3">
        <v>5</v>
      </c>
      <c r="G40" s="3">
        <v>161</v>
      </c>
      <c r="H40" s="3">
        <v>1937</v>
      </c>
      <c r="I40" s="3">
        <v>593</v>
      </c>
      <c r="J40" s="3">
        <v>497</v>
      </c>
      <c r="K40" s="3">
        <v>201</v>
      </c>
      <c r="L40" s="3">
        <v>0.55200000000000005</v>
      </c>
      <c r="M40" s="3">
        <v>0.2</v>
      </c>
      <c r="N40" s="3">
        <v>0.63600000000000001</v>
      </c>
      <c r="O40" s="3">
        <v>12</v>
      </c>
      <c r="P40" s="3">
        <v>3.7</v>
      </c>
      <c r="Q40" s="3">
        <v>3.1</v>
      </c>
      <c r="R40" s="3">
        <v>1.2</v>
      </c>
      <c r="S40" s="3">
        <v>4.9000000000000004</v>
      </c>
      <c r="T40" s="3">
        <v>0.121</v>
      </c>
      <c r="U40" s="3">
        <v>0.2</v>
      </c>
      <c r="V40" s="3">
        <v>1.1000000000000001</v>
      </c>
      <c r="X40" s="141" t="s">
        <v>111</v>
      </c>
    </row>
    <row r="41" spans="1:25">
      <c r="A41" s="1">
        <v>39</v>
      </c>
      <c r="B41" s="3">
        <v>39</v>
      </c>
      <c r="C41" s="3" t="s">
        <v>66</v>
      </c>
      <c r="D41" s="67" t="s">
        <v>826</v>
      </c>
      <c r="E41" s="3" t="s">
        <v>511</v>
      </c>
      <c r="F41" s="3">
        <v>2</v>
      </c>
      <c r="G41" s="3">
        <v>56</v>
      </c>
      <c r="H41" s="3">
        <v>843</v>
      </c>
      <c r="I41" s="3">
        <v>237</v>
      </c>
      <c r="J41" s="3">
        <v>96</v>
      </c>
      <c r="K41" s="3">
        <v>110</v>
      </c>
      <c r="L41" s="3">
        <v>0.34499999999999997</v>
      </c>
      <c r="M41" s="3">
        <v>0.26300000000000001</v>
      </c>
      <c r="N41" s="3">
        <v>0.77600000000000002</v>
      </c>
      <c r="O41" s="3">
        <v>15.1</v>
      </c>
      <c r="P41" s="3">
        <v>4.2</v>
      </c>
      <c r="Q41" s="3">
        <v>1.7</v>
      </c>
      <c r="R41" s="3">
        <v>2</v>
      </c>
      <c r="S41" s="3">
        <v>-0.4</v>
      </c>
      <c r="T41" s="3">
        <v>-2.1999999999999999E-2</v>
      </c>
      <c r="U41" s="3">
        <v>-5.4</v>
      </c>
      <c r="V41" s="3">
        <v>-0.7</v>
      </c>
    </row>
    <row r="42" spans="1:25">
      <c r="A42" s="1">
        <v>40</v>
      </c>
      <c r="B42" s="3">
        <v>40</v>
      </c>
      <c r="C42" s="3" t="s">
        <v>44</v>
      </c>
      <c r="D42" s="88" t="s">
        <v>827</v>
      </c>
      <c r="E42" s="3" t="s">
        <v>182</v>
      </c>
      <c r="F42" s="3">
        <v>4</v>
      </c>
      <c r="G42" s="3">
        <v>207</v>
      </c>
      <c r="H42" s="3">
        <v>4012</v>
      </c>
      <c r="I42" s="3">
        <v>1503</v>
      </c>
      <c r="J42" s="3">
        <v>537</v>
      </c>
      <c r="K42" s="3">
        <v>230</v>
      </c>
      <c r="L42" s="3">
        <v>0.40200000000000002</v>
      </c>
      <c r="M42" s="3">
        <v>0.314</v>
      </c>
      <c r="N42" s="3">
        <v>0.78</v>
      </c>
      <c r="O42" s="3">
        <v>19.399999999999999</v>
      </c>
      <c r="P42" s="3">
        <v>7.3</v>
      </c>
      <c r="Q42" s="3">
        <v>2.6</v>
      </c>
      <c r="R42" s="3">
        <v>1.1000000000000001</v>
      </c>
      <c r="S42" s="3">
        <v>0.8</v>
      </c>
      <c r="T42" s="3">
        <v>0.01</v>
      </c>
      <c r="U42" s="3">
        <v>-5.0999999999999996</v>
      </c>
      <c r="V42" s="3">
        <v>-3.1</v>
      </c>
    </row>
    <row r="43" spans="1:25">
      <c r="A43" s="1">
        <v>41</v>
      </c>
      <c r="B43" s="3">
        <v>41</v>
      </c>
      <c r="C43" s="3" t="s">
        <v>184</v>
      </c>
      <c r="D43" s="67" t="s">
        <v>828</v>
      </c>
      <c r="E43" s="3" t="s">
        <v>55</v>
      </c>
      <c r="F43" s="3">
        <v>3</v>
      </c>
      <c r="G43" s="3">
        <v>107</v>
      </c>
      <c r="H43" s="3">
        <v>1680</v>
      </c>
      <c r="I43" s="3">
        <v>710</v>
      </c>
      <c r="J43" s="3">
        <v>245</v>
      </c>
      <c r="K43" s="3">
        <v>135</v>
      </c>
      <c r="L43" s="3">
        <v>0.39200000000000002</v>
      </c>
      <c r="M43" s="3">
        <v>0.35099999999999998</v>
      </c>
      <c r="N43" s="3">
        <v>0.66900000000000004</v>
      </c>
      <c r="O43" s="3">
        <v>15.7</v>
      </c>
      <c r="P43" s="3">
        <v>6.6</v>
      </c>
      <c r="Q43" s="3">
        <v>2.2999999999999998</v>
      </c>
      <c r="R43" s="3">
        <v>1.3</v>
      </c>
      <c r="S43" s="3">
        <v>1.1000000000000001</v>
      </c>
      <c r="T43" s="3">
        <v>3.1E-2</v>
      </c>
      <c r="U43" s="3">
        <v>-3</v>
      </c>
      <c r="V43" s="3">
        <v>-0.5</v>
      </c>
    </row>
    <row r="44" spans="1:25">
      <c r="A44" s="1">
        <v>42</v>
      </c>
      <c r="B44" s="3">
        <v>42</v>
      </c>
      <c r="C44" s="3" t="s">
        <v>193</v>
      </c>
      <c r="D44" s="82" t="s">
        <v>194</v>
      </c>
      <c r="E44" s="3" t="s">
        <v>195</v>
      </c>
      <c r="F44" s="3">
        <v>8</v>
      </c>
      <c r="G44" s="3">
        <v>302</v>
      </c>
      <c r="H44" s="3">
        <v>5449</v>
      </c>
      <c r="I44" s="3">
        <v>2756</v>
      </c>
      <c r="J44" s="3">
        <v>1587</v>
      </c>
      <c r="K44" s="3">
        <v>307</v>
      </c>
      <c r="L44" s="3">
        <v>0.58899999999999997</v>
      </c>
      <c r="M44" s="3">
        <v>0.35899999999999999</v>
      </c>
      <c r="N44" s="3">
        <v>0.77400000000000002</v>
      </c>
      <c r="O44" s="3">
        <v>18</v>
      </c>
      <c r="P44" s="3">
        <v>9.1</v>
      </c>
      <c r="Q44" s="3">
        <v>5.3</v>
      </c>
      <c r="R44" s="3">
        <v>1</v>
      </c>
      <c r="S44" s="3">
        <v>19.3</v>
      </c>
      <c r="T44" s="3">
        <v>0.17</v>
      </c>
      <c r="U44" s="3">
        <v>1.2</v>
      </c>
      <c r="V44" s="3">
        <v>4.4000000000000004</v>
      </c>
    </row>
    <row r="45" spans="1:25">
      <c r="A45" s="1">
        <v>43</v>
      </c>
      <c r="B45" s="3">
        <v>43</v>
      </c>
      <c r="C45" s="3" t="s">
        <v>52</v>
      </c>
      <c r="D45" s="89" t="s">
        <v>53</v>
      </c>
      <c r="E45" s="2"/>
      <c r="F45" s="3">
        <v>7</v>
      </c>
      <c r="G45" s="3">
        <v>353</v>
      </c>
      <c r="H45" s="3">
        <v>6691</v>
      </c>
      <c r="I45" s="3">
        <v>2302</v>
      </c>
      <c r="J45" s="3">
        <v>2185</v>
      </c>
      <c r="K45" s="3">
        <v>668</v>
      </c>
      <c r="L45" s="3">
        <v>0.59</v>
      </c>
      <c r="M45" s="3">
        <v>0.27</v>
      </c>
      <c r="N45" s="3">
        <v>0.68300000000000005</v>
      </c>
      <c r="O45" s="3">
        <v>19</v>
      </c>
      <c r="P45" s="3">
        <v>6.5</v>
      </c>
      <c r="Q45" s="3">
        <v>6.2</v>
      </c>
      <c r="R45" s="3">
        <v>1.9</v>
      </c>
      <c r="S45" s="3">
        <v>25.2</v>
      </c>
      <c r="T45" s="3">
        <v>0.18099999999999999</v>
      </c>
      <c r="U45" s="3">
        <v>2</v>
      </c>
      <c r="V45" s="3">
        <v>6.8</v>
      </c>
    </row>
    <row r="46" spans="1:25">
      <c r="A46" s="1">
        <v>44</v>
      </c>
      <c r="B46" s="3">
        <v>44</v>
      </c>
      <c r="C46" s="3" t="s">
        <v>50</v>
      </c>
      <c r="D46" s="88" t="s">
        <v>829</v>
      </c>
      <c r="E46" s="3" t="s">
        <v>55</v>
      </c>
      <c r="F46" s="3">
        <v>5</v>
      </c>
      <c r="G46" s="3">
        <v>213</v>
      </c>
      <c r="H46" s="3">
        <v>4242</v>
      </c>
      <c r="I46" s="3">
        <v>1594</v>
      </c>
      <c r="J46" s="3">
        <v>532</v>
      </c>
      <c r="K46" s="3">
        <v>315</v>
      </c>
      <c r="L46" s="3">
        <v>0.41699999999999998</v>
      </c>
      <c r="M46" s="3">
        <v>0.34499999999999997</v>
      </c>
      <c r="N46" s="3">
        <v>0.71099999999999997</v>
      </c>
      <c r="O46" s="3">
        <v>19.899999999999999</v>
      </c>
      <c r="P46" s="3">
        <v>7.5</v>
      </c>
      <c r="Q46" s="3">
        <v>2.5</v>
      </c>
      <c r="R46" s="3">
        <v>1.5</v>
      </c>
      <c r="S46" s="3">
        <v>3</v>
      </c>
      <c r="T46" s="3">
        <v>3.4000000000000002E-2</v>
      </c>
      <c r="U46" s="3">
        <v>-2.8</v>
      </c>
      <c r="V46" s="3">
        <v>-0.9</v>
      </c>
    </row>
    <row r="47" spans="1:25">
      <c r="A47" s="1">
        <v>45</v>
      </c>
      <c r="B47" s="3">
        <v>45</v>
      </c>
      <c r="C47" s="3" t="s">
        <v>52</v>
      </c>
      <c r="D47" s="89" t="s">
        <v>54</v>
      </c>
      <c r="E47" s="3" t="s">
        <v>55</v>
      </c>
      <c r="F47" s="3">
        <v>8</v>
      </c>
      <c r="G47" s="3">
        <v>467</v>
      </c>
      <c r="H47" s="3">
        <v>13740</v>
      </c>
      <c r="I47" s="3">
        <v>6597</v>
      </c>
      <c r="J47" s="3">
        <v>1512</v>
      </c>
      <c r="K47" s="3">
        <v>930</v>
      </c>
      <c r="L47" s="3">
        <v>0.41699999999999998</v>
      </c>
      <c r="M47" s="3">
        <v>0.35</v>
      </c>
      <c r="N47" s="3">
        <v>0.80500000000000005</v>
      </c>
      <c r="O47" s="3">
        <v>29.4</v>
      </c>
      <c r="P47" s="3">
        <v>14.1</v>
      </c>
      <c r="Q47" s="3">
        <v>3.2</v>
      </c>
      <c r="R47" s="3">
        <v>2</v>
      </c>
      <c r="S47" s="3">
        <v>12.7</v>
      </c>
      <c r="T47" s="3">
        <v>4.4999999999999998E-2</v>
      </c>
      <c r="U47" s="3">
        <v>-3.6</v>
      </c>
      <c r="V47" s="3">
        <v>-5.5</v>
      </c>
    </row>
    <row r="48" spans="1:25">
      <c r="A48" s="1">
        <v>46</v>
      </c>
      <c r="B48" s="3">
        <v>46</v>
      </c>
      <c r="C48" s="3" t="s">
        <v>66</v>
      </c>
      <c r="D48" s="88" t="s">
        <v>830</v>
      </c>
      <c r="E48" s="3" t="s">
        <v>189</v>
      </c>
      <c r="F48" s="3">
        <v>6</v>
      </c>
      <c r="G48" s="3">
        <v>268</v>
      </c>
      <c r="H48" s="3">
        <v>4458</v>
      </c>
      <c r="I48" s="3">
        <v>1431</v>
      </c>
      <c r="J48" s="3">
        <v>891</v>
      </c>
      <c r="K48" s="3">
        <v>268</v>
      </c>
      <c r="L48" s="3">
        <v>0.41899999999999998</v>
      </c>
      <c r="M48" s="3">
        <v>0.36299999999999999</v>
      </c>
      <c r="N48" s="3">
        <v>0.79600000000000004</v>
      </c>
      <c r="O48" s="3">
        <v>16.600000000000001</v>
      </c>
      <c r="P48" s="3">
        <v>5.3</v>
      </c>
      <c r="Q48" s="3">
        <v>3.3</v>
      </c>
      <c r="R48" s="3">
        <v>1</v>
      </c>
      <c r="S48" s="3">
        <v>6.6</v>
      </c>
      <c r="T48" s="3">
        <v>7.0999999999999994E-2</v>
      </c>
      <c r="U48" s="3">
        <v>-2.1</v>
      </c>
      <c r="V48" s="3">
        <v>-0.1</v>
      </c>
    </row>
    <row r="49" spans="1:37">
      <c r="A49" s="1">
        <v>47</v>
      </c>
      <c r="B49" s="3">
        <v>47</v>
      </c>
      <c r="C49" s="3" t="s">
        <v>41</v>
      </c>
      <c r="D49" s="67" t="s">
        <v>831</v>
      </c>
      <c r="E49" s="3" t="s">
        <v>63</v>
      </c>
      <c r="F49" s="3">
        <v>2</v>
      </c>
      <c r="G49" s="3">
        <v>14</v>
      </c>
      <c r="H49" s="3">
        <v>36</v>
      </c>
      <c r="I49" s="3">
        <v>13</v>
      </c>
      <c r="J49" s="3">
        <v>12</v>
      </c>
      <c r="K49" s="3">
        <v>1</v>
      </c>
      <c r="L49" s="3">
        <v>0.33300000000000002</v>
      </c>
      <c r="M49" s="2">
        <v>0</v>
      </c>
      <c r="N49" s="3">
        <v>0.83299999999999996</v>
      </c>
      <c r="O49" s="3">
        <v>2.6</v>
      </c>
      <c r="P49" s="3">
        <v>0.9</v>
      </c>
      <c r="Q49" s="3">
        <v>0.9</v>
      </c>
      <c r="R49" s="3">
        <v>0.1</v>
      </c>
      <c r="S49" s="3">
        <v>0</v>
      </c>
      <c r="T49" s="3">
        <v>5.7000000000000002E-2</v>
      </c>
      <c r="U49" s="3">
        <v>-1.1000000000000001</v>
      </c>
      <c r="V49" s="3">
        <v>0</v>
      </c>
    </row>
    <row r="50" spans="1:37">
      <c r="A50" s="1">
        <v>48</v>
      </c>
      <c r="B50" s="3">
        <v>48</v>
      </c>
      <c r="C50" s="3" t="s">
        <v>57</v>
      </c>
      <c r="D50" s="88" t="s">
        <v>832</v>
      </c>
      <c r="E50" s="3" t="s">
        <v>425</v>
      </c>
      <c r="F50" s="3">
        <v>4</v>
      </c>
      <c r="G50" s="3">
        <v>160</v>
      </c>
      <c r="H50" s="3">
        <v>1721</v>
      </c>
      <c r="I50" s="3">
        <v>401</v>
      </c>
      <c r="J50" s="3">
        <v>206</v>
      </c>
      <c r="K50" s="3">
        <v>111</v>
      </c>
      <c r="L50" s="3">
        <v>0.40699999999999997</v>
      </c>
      <c r="M50" s="3">
        <v>0.34</v>
      </c>
      <c r="N50" s="3">
        <v>0.67200000000000004</v>
      </c>
      <c r="O50" s="3">
        <v>10.8</v>
      </c>
      <c r="P50" s="3">
        <v>2.5</v>
      </c>
      <c r="Q50" s="3">
        <v>1.3</v>
      </c>
      <c r="R50" s="3">
        <v>0.7</v>
      </c>
      <c r="S50" s="3">
        <v>1.1000000000000001</v>
      </c>
      <c r="T50" s="3">
        <v>3.2000000000000001E-2</v>
      </c>
      <c r="U50" s="3">
        <v>-3.1</v>
      </c>
      <c r="V50" s="3">
        <v>-0.5</v>
      </c>
    </row>
    <row r="51" spans="1:37">
      <c r="A51" s="1">
        <v>49</v>
      </c>
      <c r="B51" s="3">
        <v>49</v>
      </c>
      <c r="C51" s="3" t="s">
        <v>23</v>
      </c>
      <c r="D51" s="88" t="s">
        <v>833</v>
      </c>
      <c r="E51" s="2"/>
      <c r="F51" s="3">
        <v>5</v>
      </c>
      <c r="G51" s="3">
        <v>134</v>
      </c>
      <c r="H51" s="3">
        <v>1425</v>
      </c>
      <c r="I51" s="3">
        <v>470</v>
      </c>
      <c r="J51" s="3">
        <v>227</v>
      </c>
      <c r="K51" s="3">
        <v>114</v>
      </c>
      <c r="L51" s="3">
        <v>0.48099999999999998</v>
      </c>
      <c r="M51" s="3">
        <v>0.36299999999999999</v>
      </c>
      <c r="N51" s="3">
        <v>0.84699999999999998</v>
      </c>
      <c r="O51" s="3">
        <v>10.6</v>
      </c>
      <c r="P51" s="3">
        <v>3.5</v>
      </c>
      <c r="Q51" s="3">
        <v>1.7</v>
      </c>
      <c r="R51" s="3">
        <v>0.9</v>
      </c>
      <c r="S51" s="3">
        <v>2.5</v>
      </c>
      <c r="T51" s="3">
        <v>8.5999999999999993E-2</v>
      </c>
      <c r="U51" s="3">
        <v>-2.2000000000000002</v>
      </c>
      <c r="V51" s="3">
        <v>-0.1</v>
      </c>
    </row>
    <row r="52" spans="1:37">
      <c r="A52" s="1">
        <v>50</v>
      </c>
      <c r="B52" s="3">
        <v>50</v>
      </c>
      <c r="C52" s="3" t="s">
        <v>66</v>
      </c>
      <c r="D52" s="67" t="s">
        <v>834</v>
      </c>
      <c r="E52" s="2"/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37">
      <c r="A53" s="1">
        <v>51</v>
      </c>
      <c r="B53" s="3">
        <v>51</v>
      </c>
      <c r="C53" s="3" t="s">
        <v>23</v>
      </c>
      <c r="D53" s="80" t="s">
        <v>107</v>
      </c>
      <c r="E53" s="3" t="s">
        <v>108</v>
      </c>
      <c r="F53" s="3">
        <v>8</v>
      </c>
      <c r="G53" s="3">
        <v>415</v>
      </c>
      <c r="H53" s="3">
        <v>9759</v>
      </c>
      <c r="I53" s="3">
        <v>3941</v>
      </c>
      <c r="J53" s="3">
        <v>979</v>
      </c>
      <c r="K53" s="3">
        <v>1503</v>
      </c>
      <c r="L53" s="3">
        <v>0.47299999999999998</v>
      </c>
      <c r="M53" s="3">
        <v>0.38600000000000001</v>
      </c>
      <c r="N53" s="3">
        <v>0.82599999999999996</v>
      </c>
      <c r="O53" s="3">
        <v>23.5</v>
      </c>
      <c r="P53" s="3">
        <v>9.5</v>
      </c>
      <c r="Q53" s="3">
        <v>2.4</v>
      </c>
      <c r="R53" s="3">
        <v>3.6</v>
      </c>
      <c r="S53" s="3">
        <v>24.5</v>
      </c>
      <c r="T53" s="3">
        <v>0.12</v>
      </c>
      <c r="U53" s="3">
        <v>0.2</v>
      </c>
      <c r="V53" s="3">
        <v>5.5</v>
      </c>
    </row>
    <row r="54" spans="1:37">
      <c r="A54" s="1">
        <v>52</v>
      </c>
      <c r="B54" s="3">
        <v>52</v>
      </c>
      <c r="C54" s="3" t="s">
        <v>44</v>
      </c>
      <c r="D54" s="88" t="s">
        <v>835</v>
      </c>
      <c r="E54" s="3" t="s">
        <v>412</v>
      </c>
      <c r="F54" s="3">
        <v>5</v>
      </c>
      <c r="G54" s="3">
        <v>161</v>
      </c>
      <c r="H54" s="3">
        <v>2256</v>
      </c>
      <c r="I54" s="3">
        <v>997</v>
      </c>
      <c r="J54" s="3">
        <v>244</v>
      </c>
      <c r="K54" s="3">
        <v>182</v>
      </c>
      <c r="L54" s="3">
        <v>0.47</v>
      </c>
      <c r="M54" s="3">
        <v>0.34100000000000003</v>
      </c>
      <c r="N54" s="3">
        <v>0.81100000000000005</v>
      </c>
      <c r="O54" s="3">
        <v>14</v>
      </c>
      <c r="P54" s="3">
        <v>6.2</v>
      </c>
      <c r="Q54" s="3">
        <v>1.5</v>
      </c>
      <c r="R54" s="3">
        <v>1.1000000000000001</v>
      </c>
      <c r="S54" s="3">
        <v>3.2</v>
      </c>
      <c r="T54" s="3">
        <v>6.9000000000000006E-2</v>
      </c>
      <c r="U54" s="3">
        <v>-3</v>
      </c>
      <c r="V54" s="3">
        <v>-0.6</v>
      </c>
    </row>
    <row r="55" spans="1:37">
      <c r="A55" s="1">
        <v>53</v>
      </c>
      <c r="B55" s="3">
        <v>53</v>
      </c>
      <c r="C55" s="3" t="s">
        <v>190</v>
      </c>
      <c r="D55" s="67" t="s">
        <v>836</v>
      </c>
      <c r="E55" s="3" t="s">
        <v>224</v>
      </c>
      <c r="F55" s="3">
        <v>3</v>
      </c>
      <c r="G55" s="3">
        <v>47</v>
      </c>
      <c r="H55" s="3">
        <v>640</v>
      </c>
      <c r="I55" s="3">
        <v>258</v>
      </c>
      <c r="J55" s="3">
        <v>71</v>
      </c>
      <c r="K55" s="3">
        <v>109</v>
      </c>
      <c r="L55" s="3">
        <v>0.435</v>
      </c>
      <c r="M55" s="3">
        <v>0.34899999999999998</v>
      </c>
      <c r="N55" s="3">
        <v>0.75700000000000001</v>
      </c>
      <c r="O55" s="3">
        <v>13.6</v>
      </c>
      <c r="P55" s="3">
        <v>5.5</v>
      </c>
      <c r="Q55" s="3">
        <v>1.5</v>
      </c>
      <c r="R55" s="3">
        <v>2.2999999999999998</v>
      </c>
      <c r="S55" s="3">
        <v>1</v>
      </c>
      <c r="T55" s="3">
        <v>7.4999999999999997E-2</v>
      </c>
      <c r="U55" s="3">
        <v>-1.2</v>
      </c>
      <c r="V55" s="3">
        <v>0.1</v>
      </c>
    </row>
    <row r="56" spans="1:37">
      <c r="A56" s="1">
        <v>54</v>
      </c>
      <c r="B56" s="3">
        <v>54</v>
      </c>
      <c r="C56" s="3" t="s">
        <v>323</v>
      </c>
      <c r="D56" s="67" t="s">
        <v>837</v>
      </c>
      <c r="E56" s="3" t="s">
        <v>838</v>
      </c>
      <c r="F56" s="3">
        <v>1</v>
      </c>
      <c r="G56" s="3">
        <v>20</v>
      </c>
      <c r="H56" s="3">
        <v>225</v>
      </c>
      <c r="I56" s="3">
        <v>82</v>
      </c>
      <c r="J56" s="3">
        <v>37</v>
      </c>
      <c r="K56" s="3">
        <v>12</v>
      </c>
      <c r="L56" s="3">
        <v>0.378</v>
      </c>
      <c r="M56" s="3">
        <v>0.31</v>
      </c>
      <c r="N56" s="3">
        <v>0.8</v>
      </c>
      <c r="O56" s="3">
        <v>11.3</v>
      </c>
      <c r="P56" s="3">
        <v>4.0999999999999996</v>
      </c>
      <c r="Q56" s="3">
        <v>1.9</v>
      </c>
      <c r="R56" s="3">
        <v>0.6</v>
      </c>
      <c r="S56" s="3">
        <v>0.3</v>
      </c>
      <c r="T56" s="3">
        <v>5.5E-2</v>
      </c>
      <c r="U56" s="3">
        <v>-2.8</v>
      </c>
      <c r="V56" s="3">
        <v>0</v>
      </c>
    </row>
    <row r="57" spans="1:37">
      <c r="A57" s="1">
        <v>55</v>
      </c>
      <c r="B57" s="3">
        <v>55</v>
      </c>
      <c r="C57" s="3" t="s">
        <v>193</v>
      </c>
      <c r="D57" s="67" t="s">
        <v>839</v>
      </c>
      <c r="E57" s="3" t="s">
        <v>43</v>
      </c>
      <c r="F57" s="3">
        <v>1</v>
      </c>
      <c r="G57" s="3">
        <v>10</v>
      </c>
      <c r="H57" s="3">
        <v>50</v>
      </c>
      <c r="I57" s="3">
        <v>14</v>
      </c>
      <c r="J57" s="3">
        <v>6</v>
      </c>
      <c r="K57" s="3">
        <v>6</v>
      </c>
      <c r="L57" s="3">
        <v>0.313</v>
      </c>
      <c r="M57" s="3">
        <v>0.28599999999999998</v>
      </c>
      <c r="N57" s="3">
        <v>1</v>
      </c>
      <c r="O57" s="3">
        <v>5</v>
      </c>
      <c r="P57" s="3">
        <v>1.4</v>
      </c>
      <c r="Q57" s="3">
        <v>0.6</v>
      </c>
      <c r="R57" s="3">
        <v>0.6</v>
      </c>
      <c r="S57" s="3">
        <v>0</v>
      </c>
      <c r="T57" s="3">
        <v>1.7000000000000001E-2</v>
      </c>
      <c r="U57" s="3">
        <v>-3.9</v>
      </c>
      <c r="V57" s="3">
        <v>0</v>
      </c>
    </row>
    <row r="58" spans="1:37">
      <c r="A58" s="1">
        <v>56</v>
      </c>
      <c r="B58" s="3">
        <v>56</v>
      </c>
      <c r="C58" s="3" t="s">
        <v>190</v>
      </c>
      <c r="D58" s="67" t="s">
        <v>840</v>
      </c>
      <c r="E58" s="3" t="s">
        <v>200</v>
      </c>
      <c r="F58" s="3">
        <v>1</v>
      </c>
      <c r="G58" s="3">
        <v>13</v>
      </c>
      <c r="H58" s="3">
        <v>115</v>
      </c>
      <c r="I58" s="3">
        <v>39</v>
      </c>
      <c r="J58" s="3">
        <v>19</v>
      </c>
      <c r="K58" s="3">
        <v>8</v>
      </c>
      <c r="L58" s="3">
        <v>0.57699999999999996</v>
      </c>
      <c r="M58" s="3">
        <v>0.42899999999999999</v>
      </c>
      <c r="N58" s="3">
        <v>0.46200000000000002</v>
      </c>
      <c r="O58" s="3">
        <v>8.8000000000000007</v>
      </c>
      <c r="P58" s="3">
        <v>3</v>
      </c>
      <c r="Q58" s="3">
        <v>1.5</v>
      </c>
      <c r="R58" s="3">
        <v>0.6</v>
      </c>
      <c r="S58" s="3">
        <v>0.2</v>
      </c>
      <c r="T58" s="3">
        <v>9.8000000000000004E-2</v>
      </c>
      <c r="U58" s="3">
        <v>-3.1</v>
      </c>
      <c r="V58" s="3">
        <v>0</v>
      </c>
    </row>
    <row r="59" spans="1:37">
      <c r="A59" s="1">
        <v>57</v>
      </c>
      <c r="B59" s="3">
        <v>57</v>
      </c>
      <c r="C59" s="3" t="s">
        <v>47</v>
      </c>
      <c r="D59" s="67" t="s">
        <v>841</v>
      </c>
      <c r="E59" s="2"/>
      <c r="F59" s="3">
        <v>1</v>
      </c>
      <c r="G59" s="3">
        <v>42</v>
      </c>
      <c r="H59" s="3">
        <v>511</v>
      </c>
      <c r="I59" s="3">
        <v>225</v>
      </c>
      <c r="J59" s="3">
        <v>96</v>
      </c>
      <c r="K59" s="3">
        <v>19</v>
      </c>
      <c r="L59" s="3">
        <v>0.44</v>
      </c>
      <c r="M59" s="3">
        <v>0.375</v>
      </c>
      <c r="N59" s="3">
        <v>0.8</v>
      </c>
      <c r="O59" s="3">
        <v>12.2</v>
      </c>
      <c r="P59" s="3">
        <v>5.4</v>
      </c>
      <c r="Q59" s="3">
        <v>2.2999999999999998</v>
      </c>
      <c r="R59" s="3">
        <v>0.5</v>
      </c>
      <c r="S59" s="3">
        <v>1</v>
      </c>
      <c r="T59" s="3">
        <v>9.8000000000000004E-2</v>
      </c>
      <c r="U59" s="3">
        <v>-0.9</v>
      </c>
      <c r="V59" s="3">
        <v>0.1</v>
      </c>
    </row>
    <row r="60" spans="1:37">
      <c r="A60" s="1">
        <v>58</v>
      </c>
      <c r="B60" s="3">
        <v>58</v>
      </c>
      <c r="C60" s="3" t="s">
        <v>50</v>
      </c>
      <c r="D60" s="67" t="s">
        <v>842</v>
      </c>
      <c r="E60" s="2"/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</row>
    <row r="61" spans="1:37">
      <c r="A61" s="1">
        <v>59</v>
      </c>
      <c r="B61" s="3">
        <v>59</v>
      </c>
      <c r="C61" s="3" t="s">
        <v>79</v>
      </c>
      <c r="D61" s="67" t="s">
        <v>843</v>
      </c>
      <c r="E61" s="3" t="s">
        <v>416</v>
      </c>
      <c r="F61" s="3">
        <v>1</v>
      </c>
      <c r="G61" s="3">
        <v>27</v>
      </c>
      <c r="H61" s="3">
        <v>439</v>
      </c>
      <c r="I61" s="3">
        <v>114</v>
      </c>
      <c r="J61" s="3">
        <v>98</v>
      </c>
      <c r="K61" s="3">
        <v>13</v>
      </c>
      <c r="L61" s="3">
        <v>0.443</v>
      </c>
      <c r="M61" s="3">
        <v>0.25600000000000001</v>
      </c>
      <c r="N61" s="3">
        <v>0.76900000000000002</v>
      </c>
      <c r="O61" s="3">
        <v>16.3</v>
      </c>
      <c r="P61" s="3">
        <v>4.2</v>
      </c>
      <c r="Q61" s="3">
        <v>3.6</v>
      </c>
      <c r="R61" s="3">
        <v>0.5</v>
      </c>
      <c r="S61" s="3">
        <v>0.3</v>
      </c>
      <c r="T61" s="3">
        <v>0.03</v>
      </c>
      <c r="U61" s="3">
        <v>-3.8</v>
      </c>
      <c r="V61" s="3">
        <v>-0.2</v>
      </c>
    </row>
    <row r="62" spans="1:37">
      <c r="A62" s="1">
        <v>60</v>
      </c>
      <c r="B62" s="3">
        <v>60</v>
      </c>
      <c r="C62" s="3" t="s">
        <v>184</v>
      </c>
      <c r="D62" s="67" t="s">
        <v>844</v>
      </c>
      <c r="E62" s="2"/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845</v>
      </c>
      <c r="E65" s="3" t="s">
        <v>846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847</v>
      </c>
      <c r="E66" s="3" t="s">
        <v>570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848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849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850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851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852</v>
      </c>
      <c r="E71" s="3" t="s">
        <v>722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853</v>
      </c>
      <c r="E72" s="3" t="s">
        <v>846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854</v>
      </c>
      <c r="E73" s="3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4:37">
      <c r="D74" s="3" t="s">
        <v>855</v>
      </c>
      <c r="E74" s="3" t="s">
        <v>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4:37">
      <c r="D75" s="3" t="s">
        <v>856</v>
      </c>
      <c r="E75" s="3" t="s">
        <v>506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4:37">
      <c r="D76" s="3" t="s">
        <v>857</v>
      </c>
      <c r="E76" s="3" t="s">
        <v>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4:37">
      <c r="D77" s="3" t="s">
        <v>858</v>
      </c>
      <c r="E77" s="3" t="s">
        <v>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4:37">
      <c r="D78" s="3" t="s">
        <v>859</v>
      </c>
      <c r="E78" s="3" t="s">
        <v>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4:37">
      <c r="D79" s="3" t="s">
        <v>860</v>
      </c>
      <c r="E79" s="3" t="s">
        <v>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</sheetData>
  <conditionalFormatting sqref="G1:G62">
    <cfRule type="cellIs" dxfId="17" priority="1" operator="greaterThan">
      <formula>82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E086-E377-4642-9FD0-CD2294993DFA}">
  <dimension ref="A1:AK81"/>
  <sheetViews>
    <sheetView zoomScale="113" workbookViewId="0">
      <pane ySplit="1" topLeftCell="A33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8.875" bestFit="1" customWidth="1"/>
    <col min="5" max="5" width="13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4.5" bestFit="1" customWidth="1"/>
    <col min="20" max="20" width="5.875" bestFit="1" customWidth="1"/>
    <col min="21" max="22" width="5" bestFit="1" customWidth="1"/>
    <col min="24" max="24" width="19.375" customWidth="1"/>
  </cols>
  <sheetData>
    <row r="1" spans="1:25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5" ht="45" hidden="1">
      <c r="A2" s="1">
        <v>1</v>
      </c>
      <c r="B2" s="3">
        <v>1</v>
      </c>
      <c r="C2" s="3" t="s">
        <v>66</v>
      </c>
      <c r="D2" s="3" t="s">
        <v>861</v>
      </c>
      <c r="E2" s="3" t="s">
        <v>145</v>
      </c>
      <c r="F2" s="3">
        <v>7</v>
      </c>
      <c r="G2" s="3">
        <v>365</v>
      </c>
      <c r="H2" s="3">
        <v>11615</v>
      </c>
      <c r="I2" s="3">
        <v>4969</v>
      </c>
      <c r="J2" s="3">
        <v>2771</v>
      </c>
      <c r="K2" s="3">
        <v>2698</v>
      </c>
      <c r="L2" s="3">
        <v>0.56000000000000005</v>
      </c>
      <c r="M2" s="3">
        <v>0.13900000000000001</v>
      </c>
      <c r="N2" s="3">
        <v>0.59099999999999997</v>
      </c>
      <c r="O2" s="3">
        <v>31.8</v>
      </c>
      <c r="P2" s="3">
        <v>13.6</v>
      </c>
      <c r="Q2" s="3">
        <v>7.6</v>
      </c>
      <c r="R2" s="3">
        <v>7.4</v>
      </c>
      <c r="S2" s="3">
        <v>34.799999999999997</v>
      </c>
      <c r="T2" s="3">
        <v>0.14399999999999999</v>
      </c>
      <c r="U2" s="3">
        <v>3</v>
      </c>
      <c r="V2" s="3">
        <v>14.7</v>
      </c>
      <c r="X2" s="1" t="s">
        <v>294</v>
      </c>
    </row>
    <row r="3" spans="1:25" hidden="1">
      <c r="A3" s="1">
        <v>2</v>
      </c>
      <c r="B3" s="3">
        <v>2</v>
      </c>
      <c r="C3" s="3" t="s">
        <v>31</v>
      </c>
      <c r="D3" s="3" t="s">
        <v>862</v>
      </c>
      <c r="E3" s="3" t="s">
        <v>171</v>
      </c>
      <c r="F3" s="3">
        <v>9</v>
      </c>
      <c r="G3" s="3">
        <v>495</v>
      </c>
      <c r="H3" s="3">
        <v>16316</v>
      </c>
      <c r="I3" s="3">
        <v>9656</v>
      </c>
      <c r="J3" s="3">
        <v>2566</v>
      </c>
      <c r="K3" s="3">
        <v>2130</v>
      </c>
      <c r="L3" s="3">
        <v>0.46800000000000003</v>
      </c>
      <c r="M3" s="3">
        <v>0.36299999999999999</v>
      </c>
      <c r="N3" s="3">
        <v>0.78800000000000003</v>
      </c>
      <c r="O3" s="3">
        <v>33</v>
      </c>
      <c r="P3" s="3">
        <v>19.5</v>
      </c>
      <c r="Q3" s="3">
        <v>5.2</v>
      </c>
      <c r="R3" s="3">
        <v>4.3</v>
      </c>
      <c r="S3" s="3">
        <v>27.3</v>
      </c>
      <c r="T3" s="3">
        <v>0.08</v>
      </c>
      <c r="U3" s="3">
        <v>0.1</v>
      </c>
      <c r="V3" s="3">
        <v>8.6</v>
      </c>
      <c r="X3" s="53" t="s">
        <v>296</v>
      </c>
    </row>
    <row r="4" spans="1:25" hidden="1">
      <c r="A4" s="1">
        <v>3</v>
      </c>
      <c r="B4" s="3">
        <v>3</v>
      </c>
      <c r="C4" s="3" t="s">
        <v>190</v>
      </c>
      <c r="D4" s="3" t="s">
        <v>863</v>
      </c>
      <c r="E4" s="3" t="s">
        <v>200</v>
      </c>
      <c r="F4" s="3">
        <v>9</v>
      </c>
      <c r="G4" s="3">
        <v>586</v>
      </c>
      <c r="H4" s="3">
        <v>17931</v>
      </c>
      <c r="I4" s="3">
        <v>11093</v>
      </c>
      <c r="J4" s="3">
        <v>3118</v>
      </c>
      <c r="K4" s="3">
        <v>1523</v>
      </c>
      <c r="L4" s="3">
        <v>0.47799999999999998</v>
      </c>
      <c r="M4" s="3">
        <v>0.36</v>
      </c>
      <c r="N4" s="3">
        <v>0.72299999999999998</v>
      </c>
      <c r="O4" s="3">
        <v>30.6</v>
      </c>
      <c r="P4" s="3">
        <v>18.899999999999999</v>
      </c>
      <c r="Q4" s="3">
        <v>5.3</v>
      </c>
      <c r="R4" s="3">
        <v>2.6</v>
      </c>
      <c r="S4" s="3">
        <v>39.1</v>
      </c>
      <c r="T4" s="3">
        <v>0.105</v>
      </c>
      <c r="U4" s="3">
        <v>0.3</v>
      </c>
      <c r="V4" s="3">
        <v>10.5</v>
      </c>
      <c r="X4" s="54" t="s">
        <v>298</v>
      </c>
    </row>
    <row r="5" spans="1:25" hidden="1">
      <c r="A5" s="1">
        <v>4</v>
      </c>
      <c r="B5" s="3">
        <v>4</v>
      </c>
      <c r="C5" s="3" t="s">
        <v>323</v>
      </c>
      <c r="D5" s="3" t="s">
        <v>864</v>
      </c>
      <c r="E5" s="2"/>
      <c r="F5" s="3">
        <v>4</v>
      </c>
      <c r="G5" s="3">
        <v>187</v>
      </c>
      <c r="H5" s="3">
        <v>3755</v>
      </c>
      <c r="I5" s="3">
        <v>1014</v>
      </c>
      <c r="J5" s="3">
        <v>720</v>
      </c>
      <c r="K5" s="3">
        <v>237</v>
      </c>
      <c r="L5" s="3">
        <v>0.39900000000000002</v>
      </c>
      <c r="M5" s="3">
        <v>0.32300000000000001</v>
      </c>
      <c r="N5" s="3">
        <v>0.65400000000000003</v>
      </c>
      <c r="O5" s="3">
        <v>20.100000000000001</v>
      </c>
      <c r="P5" s="3">
        <v>5.4</v>
      </c>
      <c r="Q5" s="3">
        <v>3.9</v>
      </c>
      <c r="R5" s="3">
        <v>1.3</v>
      </c>
      <c r="S5" s="3">
        <v>0.5</v>
      </c>
      <c r="T5" s="3">
        <v>6.0000000000000001E-3</v>
      </c>
      <c r="U5" s="3">
        <v>-3.9</v>
      </c>
      <c r="V5" s="3">
        <v>-1.9</v>
      </c>
      <c r="X5" s="58" t="s">
        <v>39</v>
      </c>
    </row>
    <row r="6" spans="1:25" hidden="1">
      <c r="A6" s="1">
        <v>5</v>
      </c>
      <c r="B6" s="3">
        <v>5</v>
      </c>
      <c r="C6" s="3" t="s">
        <v>135</v>
      </c>
      <c r="D6" s="3" t="s">
        <v>865</v>
      </c>
      <c r="E6" s="3" t="s">
        <v>314</v>
      </c>
      <c r="F6" s="3">
        <v>9</v>
      </c>
      <c r="G6" s="3">
        <v>378</v>
      </c>
      <c r="H6" s="3">
        <v>8726</v>
      </c>
      <c r="I6" s="3">
        <v>2901</v>
      </c>
      <c r="J6" s="3">
        <v>1255</v>
      </c>
      <c r="K6" s="3">
        <v>1531</v>
      </c>
      <c r="L6" s="3">
        <v>0.435</v>
      </c>
      <c r="M6" s="3">
        <v>0.31900000000000001</v>
      </c>
      <c r="N6" s="3">
        <v>0.73099999999999998</v>
      </c>
      <c r="O6" s="3">
        <v>23.1</v>
      </c>
      <c r="P6" s="3">
        <v>7.7</v>
      </c>
      <c r="Q6" s="3">
        <v>3.3</v>
      </c>
      <c r="R6" s="3">
        <v>4.0999999999999996</v>
      </c>
      <c r="S6" s="3">
        <v>9.5</v>
      </c>
      <c r="T6" s="3">
        <v>5.1999999999999998E-2</v>
      </c>
      <c r="U6" s="3">
        <v>-1.3</v>
      </c>
      <c r="V6" s="3">
        <v>1.4</v>
      </c>
      <c r="X6" s="59" t="s">
        <v>302</v>
      </c>
    </row>
    <row r="7" spans="1:25" hidden="1">
      <c r="A7" s="1">
        <v>6</v>
      </c>
      <c r="B7" s="3">
        <v>6</v>
      </c>
      <c r="C7" s="3" t="s">
        <v>44</v>
      </c>
      <c r="D7" s="3" t="s">
        <v>866</v>
      </c>
      <c r="E7" s="3" t="s">
        <v>728</v>
      </c>
      <c r="F7" s="3">
        <v>9</v>
      </c>
      <c r="G7" s="3">
        <v>684</v>
      </c>
      <c r="H7" s="3">
        <v>19540</v>
      </c>
      <c r="I7" s="3">
        <v>10431</v>
      </c>
      <c r="J7" s="3">
        <v>2844</v>
      </c>
      <c r="K7" s="3">
        <v>1730</v>
      </c>
      <c r="L7" s="3">
        <v>0.433</v>
      </c>
      <c r="M7" s="3">
        <v>0.39800000000000002</v>
      </c>
      <c r="N7" s="3">
        <v>0.85799999999999998</v>
      </c>
      <c r="O7" s="3">
        <v>28.6</v>
      </c>
      <c r="P7" s="3">
        <v>15.3</v>
      </c>
      <c r="Q7" s="3">
        <v>4.2</v>
      </c>
      <c r="R7" s="3">
        <v>2.5</v>
      </c>
      <c r="S7" s="3">
        <v>26.4</v>
      </c>
      <c r="T7" s="3">
        <v>6.5000000000000002E-2</v>
      </c>
      <c r="U7" s="3">
        <v>0.3</v>
      </c>
      <c r="V7" s="3">
        <v>11.2</v>
      </c>
      <c r="X7" s="60" t="s">
        <v>867</v>
      </c>
    </row>
    <row r="8" spans="1:25" hidden="1">
      <c r="A8" s="1">
        <v>7</v>
      </c>
      <c r="B8" s="3">
        <v>7</v>
      </c>
      <c r="C8" s="3" t="s">
        <v>23</v>
      </c>
      <c r="D8" s="3" t="s">
        <v>868</v>
      </c>
      <c r="E8" s="3" t="s">
        <v>173</v>
      </c>
      <c r="F8" s="3">
        <v>8</v>
      </c>
      <c r="G8" s="3">
        <v>515</v>
      </c>
      <c r="H8" s="3">
        <v>16035</v>
      </c>
      <c r="I8" s="3">
        <v>9124</v>
      </c>
      <c r="J8" s="3">
        <v>1940</v>
      </c>
      <c r="K8" s="3">
        <v>2386</v>
      </c>
      <c r="L8" s="3">
        <v>0.45300000000000001</v>
      </c>
      <c r="M8" s="3">
        <v>0.379</v>
      </c>
      <c r="N8" s="3">
        <v>0.86799999999999999</v>
      </c>
      <c r="O8" s="3">
        <v>31.1</v>
      </c>
      <c r="P8" s="3">
        <v>17.7</v>
      </c>
      <c r="Q8" s="3">
        <v>3.8</v>
      </c>
      <c r="R8" s="3">
        <v>4.5999999999999996</v>
      </c>
      <c r="S8" s="3">
        <v>35.700000000000003</v>
      </c>
      <c r="T8" s="3">
        <v>0.107</v>
      </c>
      <c r="U8" s="3">
        <v>0.8</v>
      </c>
      <c r="V8" s="3">
        <v>11.6</v>
      </c>
      <c r="X8" s="55" t="s">
        <v>306</v>
      </c>
    </row>
    <row r="9" spans="1:25" hidden="1">
      <c r="A9" s="1">
        <v>8</v>
      </c>
      <c r="B9" s="3">
        <v>8</v>
      </c>
      <c r="C9" s="3" t="s">
        <v>36</v>
      </c>
      <c r="D9" s="3" t="s">
        <v>869</v>
      </c>
      <c r="E9" s="3" t="s">
        <v>38</v>
      </c>
      <c r="F9" s="3">
        <v>6</v>
      </c>
      <c r="G9" s="3">
        <v>292</v>
      </c>
      <c r="H9" s="3">
        <v>5338</v>
      </c>
      <c r="I9" s="3">
        <v>2206</v>
      </c>
      <c r="J9" s="3">
        <v>1366</v>
      </c>
      <c r="K9" s="3">
        <v>298</v>
      </c>
      <c r="L9" s="3">
        <v>0.45600000000000002</v>
      </c>
      <c r="M9" s="3">
        <v>0.28999999999999998</v>
      </c>
      <c r="N9" s="3">
        <v>0.66700000000000004</v>
      </c>
      <c r="O9" s="3">
        <v>18.3</v>
      </c>
      <c r="P9" s="3">
        <v>7.6</v>
      </c>
      <c r="Q9" s="3">
        <v>4.7</v>
      </c>
      <c r="R9" s="3">
        <v>1</v>
      </c>
      <c r="S9" s="3">
        <v>6.5</v>
      </c>
      <c r="T9" s="3">
        <v>5.8000000000000003E-2</v>
      </c>
      <c r="U9" s="3">
        <v>-2.4</v>
      </c>
      <c r="V9" s="3">
        <v>-0.5</v>
      </c>
      <c r="X9" s="56" t="s">
        <v>308</v>
      </c>
    </row>
    <row r="10" spans="1:25" hidden="1">
      <c r="A10" s="1">
        <v>9</v>
      </c>
      <c r="B10" s="3">
        <v>9</v>
      </c>
      <c r="C10" s="3" t="s">
        <v>163</v>
      </c>
      <c r="D10" s="3" t="s">
        <v>870</v>
      </c>
      <c r="E10" s="3" t="s">
        <v>816</v>
      </c>
      <c r="F10" s="3">
        <v>9</v>
      </c>
      <c r="G10" s="3">
        <v>583</v>
      </c>
      <c r="H10" s="3">
        <v>13023</v>
      </c>
      <c r="I10" s="3">
        <v>5124</v>
      </c>
      <c r="J10" s="3">
        <v>4061</v>
      </c>
      <c r="K10" s="3">
        <v>1053</v>
      </c>
      <c r="L10" s="3">
        <v>0.629</v>
      </c>
      <c r="M10" s="3">
        <v>0.33300000000000002</v>
      </c>
      <c r="N10" s="3">
        <v>0.55100000000000005</v>
      </c>
      <c r="O10" s="3">
        <v>22.3</v>
      </c>
      <c r="P10" s="3">
        <v>8.8000000000000007</v>
      </c>
      <c r="Q10" s="3">
        <v>7</v>
      </c>
      <c r="R10" s="3">
        <v>1.8</v>
      </c>
      <c r="S10" s="3">
        <v>42.7</v>
      </c>
      <c r="T10" s="3">
        <v>0.157</v>
      </c>
      <c r="U10" s="3">
        <v>1.1000000000000001</v>
      </c>
      <c r="V10" s="3">
        <v>10.199999999999999</v>
      </c>
      <c r="X10" s="57" t="s">
        <v>111</v>
      </c>
      <c r="Y10" t="s">
        <v>871</v>
      </c>
    </row>
    <row r="11" spans="1:25" hidden="1">
      <c r="A11" s="1">
        <v>10</v>
      </c>
      <c r="B11" s="3">
        <v>10</v>
      </c>
      <c r="C11" s="3" t="s">
        <v>57</v>
      </c>
      <c r="D11" s="3" t="s">
        <v>872</v>
      </c>
      <c r="E11" s="2"/>
      <c r="F11" s="3">
        <v>5</v>
      </c>
      <c r="G11" s="3">
        <v>263</v>
      </c>
      <c r="H11" s="3">
        <v>3624</v>
      </c>
      <c r="I11" s="3">
        <v>1216</v>
      </c>
      <c r="J11" s="3">
        <v>726</v>
      </c>
      <c r="K11" s="3">
        <v>161</v>
      </c>
      <c r="L11" s="3">
        <v>0.435</v>
      </c>
      <c r="M11" s="3">
        <v>0.32700000000000001</v>
      </c>
      <c r="N11" s="3">
        <v>0.68</v>
      </c>
      <c r="O11" s="3">
        <v>13.8</v>
      </c>
      <c r="P11" s="3">
        <v>4.5999999999999996</v>
      </c>
      <c r="Q11" s="3">
        <v>2.8</v>
      </c>
      <c r="R11" s="3">
        <v>0.6</v>
      </c>
      <c r="S11" s="3">
        <v>6.6</v>
      </c>
      <c r="T11" s="3">
        <v>8.6999999999999994E-2</v>
      </c>
      <c r="U11" s="3">
        <v>-2.1</v>
      </c>
      <c r="V11" s="3">
        <v>-0.1</v>
      </c>
    </row>
    <row r="12" spans="1:25" hidden="1">
      <c r="A12" s="1">
        <v>11</v>
      </c>
      <c r="B12" s="3">
        <v>11</v>
      </c>
      <c r="C12" s="3" t="s">
        <v>179</v>
      </c>
      <c r="D12" s="3" t="s">
        <v>873</v>
      </c>
      <c r="E12" s="3" t="s">
        <v>43</v>
      </c>
      <c r="F12" s="3">
        <v>9</v>
      </c>
      <c r="G12" s="3">
        <v>625</v>
      </c>
      <c r="H12" s="3">
        <v>19232</v>
      </c>
      <c r="I12" s="3">
        <v>10070</v>
      </c>
      <c r="J12" s="3">
        <v>6609</v>
      </c>
      <c r="K12" s="3">
        <v>3045</v>
      </c>
      <c r="L12" s="3">
        <v>0.56000000000000005</v>
      </c>
      <c r="M12" s="3">
        <v>0.35</v>
      </c>
      <c r="N12" s="3">
        <v>0.72899999999999998</v>
      </c>
      <c r="O12" s="3">
        <v>30.8</v>
      </c>
      <c r="P12" s="3">
        <v>16.100000000000001</v>
      </c>
      <c r="Q12" s="3">
        <v>10.6</v>
      </c>
      <c r="R12" s="3">
        <v>4.9000000000000004</v>
      </c>
      <c r="S12" s="3">
        <v>67.599999999999994</v>
      </c>
      <c r="T12" s="3">
        <v>0.16900000000000001</v>
      </c>
      <c r="U12" s="3">
        <v>3.4</v>
      </c>
      <c r="V12" s="3">
        <v>26.1</v>
      </c>
    </row>
    <row r="13" spans="1:25" hidden="1">
      <c r="A13" s="1">
        <v>12</v>
      </c>
      <c r="B13" s="3">
        <v>12</v>
      </c>
      <c r="C13" s="3" t="s">
        <v>193</v>
      </c>
      <c r="D13" s="3" t="s">
        <v>874</v>
      </c>
      <c r="E13" s="3" t="s">
        <v>208</v>
      </c>
      <c r="F13" s="3">
        <v>9</v>
      </c>
      <c r="G13" s="3">
        <v>553</v>
      </c>
      <c r="H13" s="3">
        <v>13549</v>
      </c>
      <c r="I13" s="3">
        <v>5480</v>
      </c>
      <c r="J13" s="3">
        <v>1990</v>
      </c>
      <c r="K13" s="3">
        <v>952</v>
      </c>
      <c r="L13" s="3">
        <v>0.42599999999999999</v>
      </c>
      <c r="M13" s="3">
        <v>0.38200000000000001</v>
      </c>
      <c r="N13" s="3">
        <v>0.81100000000000005</v>
      </c>
      <c r="O13" s="3">
        <v>24.5</v>
      </c>
      <c r="P13" s="3">
        <v>9.9</v>
      </c>
      <c r="Q13" s="3">
        <v>3.6</v>
      </c>
      <c r="R13" s="3">
        <v>1.7</v>
      </c>
      <c r="S13" s="3">
        <v>13.7</v>
      </c>
      <c r="T13" s="3">
        <v>4.8000000000000001E-2</v>
      </c>
      <c r="U13" s="3">
        <v>-2.1</v>
      </c>
      <c r="V13" s="3">
        <v>-0.3</v>
      </c>
    </row>
    <row r="14" spans="1:25" hidden="1">
      <c r="A14" s="1">
        <v>13</v>
      </c>
      <c r="B14" s="3">
        <v>13</v>
      </c>
      <c r="C14" s="3" t="s">
        <v>323</v>
      </c>
      <c r="D14" s="3" t="s">
        <v>875</v>
      </c>
      <c r="E14" s="2"/>
      <c r="F14" s="3">
        <v>2</v>
      </c>
      <c r="G14" s="3">
        <v>39</v>
      </c>
      <c r="H14" s="3">
        <v>477</v>
      </c>
      <c r="I14" s="3">
        <v>160</v>
      </c>
      <c r="J14" s="3">
        <v>123</v>
      </c>
      <c r="K14" s="3">
        <v>29</v>
      </c>
      <c r="L14" s="3">
        <v>0.51400000000000001</v>
      </c>
      <c r="M14" s="3">
        <v>0</v>
      </c>
      <c r="N14" s="3">
        <v>0.85699999999999998</v>
      </c>
      <c r="O14" s="3">
        <v>12.2</v>
      </c>
      <c r="P14" s="3">
        <v>4.0999999999999996</v>
      </c>
      <c r="Q14" s="3">
        <v>3.2</v>
      </c>
      <c r="R14" s="3">
        <v>0.7</v>
      </c>
      <c r="S14" s="3">
        <v>0.4</v>
      </c>
      <c r="T14" s="3">
        <v>4.3999999999999997E-2</v>
      </c>
      <c r="U14" s="3">
        <v>-3.9</v>
      </c>
      <c r="V14" s="3">
        <v>-0.2</v>
      </c>
    </row>
    <row r="15" spans="1:25" hidden="1">
      <c r="A15" s="1">
        <v>14</v>
      </c>
      <c r="B15" s="3">
        <v>14</v>
      </c>
      <c r="C15" s="3" t="s">
        <v>99</v>
      </c>
      <c r="D15" s="3" t="s">
        <v>876</v>
      </c>
      <c r="E15" s="3" t="s">
        <v>27</v>
      </c>
      <c r="F15" s="3">
        <v>5</v>
      </c>
      <c r="G15" s="3">
        <v>256</v>
      </c>
      <c r="H15" s="3">
        <v>4817</v>
      </c>
      <c r="I15" s="3">
        <v>1795</v>
      </c>
      <c r="J15" s="3">
        <v>857</v>
      </c>
      <c r="K15" s="3">
        <v>466</v>
      </c>
      <c r="L15" s="3">
        <v>0.39400000000000002</v>
      </c>
      <c r="M15" s="3">
        <v>0.36</v>
      </c>
      <c r="N15" s="3">
        <v>0.78700000000000003</v>
      </c>
      <c r="O15" s="3">
        <v>18.8</v>
      </c>
      <c r="P15" s="3">
        <v>7</v>
      </c>
      <c r="Q15" s="3">
        <v>3.3</v>
      </c>
      <c r="R15" s="3">
        <v>1.8</v>
      </c>
      <c r="S15" s="3">
        <v>4.5</v>
      </c>
      <c r="T15" s="3">
        <v>4.3999999999999997E-2</v>
      </c>
      <c r="U15" s="3">
        <v>-1.9</v>
      </c>
      <c r="V15" s="3">
        <v>0.2</v>
      </c>
    </row>
    <row r="16" spans="1:25" hidden="1">
      <c r="A16" s="1">
        <v>15</v>
      </c>
      <c r="B16" s="3">
        <v>15</v>
      </c>
      <c r="C16" s="3" t="s">
        <v>23</v>
      </c>
      <c r="D16" s="3" t="s">
        <v>877</v>
      </c>
      <c r="E16" s="2"/>
      <c r="F16" s="3">
        <v>7</v>
      </c>
      <c r="G16" s="3">
        <v>339</v>
      </c>
      <c r="H16" s="3">
        <v>5269</v>
      </c>
      <c r="I16" s="3">
        <v>1711</v>
      </c>
      <c r="J16" s="3">
        <v>1131</v>
      </c>
      <c r="K16" s="3">
        <v>216</v>
      </c>
      <c r="L16" s="3">
        <v>0.42799999999999999</v>
      </c>
      <c r="M16" s="3">
        <v>0.34200000000000003</v>
      </c>
      <c r="N16" s="3">
        <v>0.67600000000000005</v>
      </c>
      <c r="O16" s="3">
        <v>15.5</v>
      </c>
      <c r="P16" s="3">
        <v>5</v>
      </c>
      <c r="Q16" s="3">
        <v>3.3</v>
      </c>
      <c r="R16" s="3">
        <v>0.6</v>
      </c>
      <c r="S16" s="3">
        <v>8.6999999999999993</v>
      </c>
      <c r="T16" s="3">
        <v>0.08</v>
      </c>
      <c r="U16" s="3">
        <v>-1.9</v>
      </c>
      <c r="V16" s="3">
        <v>0.1</v>
      </c>
    </row>
    <row r="17" spans="1:22" hidden="1">
      <c r="A17" s="1">
        <v>16</v>
      </c>
      <c r="B17" s="3">
        <v>16</v>
      </c>
      <c r="C17" s="3" t="s">
        <v>190</v>
      </c>
      <c r="D17" s="3" t="s">
        <v>878</v>
      </c>
      <c r="E17" s="2"/>
      <c r="F17" s="3">
        <v>3</v>
      </c>
      <c r="G17" s="3">
        <v>123</v>
      </c>
      <c r="H17" s="3">
        <v>1799</v>
      </c>
      <c r="I17" s="3">
        <v>724</v>
      </c>
      <c r="J17" s="3">
        <v>379</v>
      </c>
      <c r="K17" s="3">
        <v>130</v>
      </c>
      <c r="L17" s="3">
        <v>0.503</v>
      </c>
      <c r="M17" s="3">
        <v>0.38300000000000001</v>
      </c>
      <c r="N17" s="3">
        <v>0.71899999999999997</v>
      </c>
      <c r="O17" s="3">
        <v>14.6</v>
      </c>
      <c r="P17" s="3">
        <v>5.9</v>
      </c>
      <c r="Q17" s="3">
        <v>3.1</v>
      </c>
      <c r="R17" s="3">
        <v>1.1000000000000001</v>
      </c>
      <c r="S17" s="3">
        <v>4.4000000000000004</v>
      </c>
      <c r="T17" s="3">
        <v>0.11600000000000001</v>
      </c>
      <c r="U17" s="3">
        <v>-0.6</v>
      </c>
      <c r="V17" s="3">
        <v>0.6</v>
      </c>
    </row>
    <row r="18" spans="1:22" hidden="1">
      <c r="A18" s="1">
        <v>17</v>
      </c>
      <c r="B18" s="3">
        <v>17</v>
      </c>
      <c r="C18" s="3" t="s">
        <v>152</v>
      </c>
      <c r="D18" s="3" t="s">
        <v>879</v>
      </c>
      <c r="E18" s="3" t="s">
        <v>592</v>
      </c>
      <c r="F18" s="3">
        <v>3</v>
      </c>
      <c r="G18" s="3">
        <v>56</v>
      </c>
      <c r="H18" s="3">
        <v>579</v>
      </c>
      <c r="I18" s="3">
        <v>174</v>
      </c>
      <c r="J18" s="3">
        <v>69</v>
      </c>
      <c r="K18" s="3">
        <v>78</v>
      </c>
      <c r="L18" s="3">
        <v>0.35499999999999998</v>
      </c>
      <c r="M18" s="3">
        <v>0.25</v>
      </c>
      <c r="N18" s="3">
        <v>0.77600000000000002</v>
      </c>
      <c r="O18" s="3">
        <v>10.3</v>
      </c>
      <c r="P18" s="3">
        <v>3.1</v>
      </c>
      <c r="Q18" s="3">
        <v>1.2</v>
      </c>
      <c r="R18" s="3">
        <v>1.4</v>
      </c>
      <c r="S18" s="3">
        <v>-0.3</v>
      </c>
      <c r="T18" s="3">
        <v>-2.8000000000000001E-2</v>
      </c>
      <c r="U18" s="3">
        <v>-5.3</v>
      </c>
      <c r="V18" s="3">
        <v>-0.5</v>
      </c>
    </row>
    <row r="19" spans="1:22" hidden="1">
      <c r="A19" s="1">
        <v>18</v>
      </c>
      <c r="B19" s="3">
        <v>18</v>
      </c>
      <c r="C19" s="3" t="s">
        <v>34</v>
      </c>
      <c r="D19" s="3" t="s">
        <v>880</v>
      </c>
      <c r="E19" s="3" t="s">
        <v>123</v>
      </c>
      <c r="F19" s="3">
        <v>5</v>
      </c>
      <c r="G19" s="3">
        <v>83</v>
      </c>
      <c r="H19" s="3">
        <v>787</v>
      </c>
      <c r="I19" s="3">
        <v>342</v>
      </c>
      <c r="J19" s="3">
        <v>206</v>
      </c>
      <c r="K19" s="3">
        <v>49</v>
      </c>
      <c r="L19" s="3">
        <v>0.371</v>
      </c>
      <c r="M19" s="3">
        <v>0.33600000000000002</v>
      </c>
      <c r="N19" s="3">
        <v>0.77300000000000002</v>
      </c>
      <c r="O19" s="3">
        <v>9.5</v>
      </c>
      <c r="P19" s="3">
        <v>4.0999999999999996</v>
      </c>
      <c r="Q19" s="3">
        <v>2.5</v>
      </c>
      <c r="R19" s="3">
        <v>0.6</v>
      </c>
      <c r="S19" s="3">
        <v>0.4</v>
      </c>
      <c r="T19" s="3">
        <v>2.3E-2</v>
      </c>
      <c r="U19" s="3">
        <v>-3.7</v>
      </c>
      <c r="V19" s="3">
        <v>-0.3</v>
      </c>
    </row>
    <row r="20" spans="1:22" hidden="1">
      <c r="A20" s="1">
        <v>19</v>
      </c>
      <c r="B20" s="3">
        <v>19</v>
      </c>
      <c r="C20" s="3" t="s">
        <v>23</v>
      </c>
      <c r="D20" s="3" t="s">
        <v>881</v>
      </c>
      <c r="E20" s="3" t="s">
        <v>182</v>
      </c>
      <c r="F20" s="3">
        <v>9</v>
      </c>
      <c r="G20" s="3">
        <v>549</v>
      </c>
      <c r="H20" s="3">
        <v>12934</v>
      </c>
      <c r="I20" s="3">
        <v>6272</v>
      </c>
      <c r="J20" s="3">
        <v>1550</v>
      </c>
      <c r="K20" s="3">
        <v>744</v>
      </c>
      <c r="L20" s="3">
        <v>0.42599999999999999</v>
      </c>
      <c r="M20" s="3">
        <v>0.38800000000000001</v>
      </c>
      <c r="N20" s="3">
        <v>0.77600000000000002</v>
      </c>
      <c r="O20" s="3">
        <v>23.6</v>
      </c>
      <c r="P20" s="3">
        <v>11.4</v>
      </c>
      <c r="Q20" s="3">
        <v>2.8</v>
      </c>
      <c r="R20" s="3">
        <v>1.4</v>
      </c>
      <c r="S20" s="3">
        <v>18.399999999999999</v>
      </c>
      <c r="T20" s="3">
        <v>6.8000000000000005E-2</v>
      </c>
      <c r="U20" s="3">
        <v>-1</v>
      </c>
      <c r="V20" s="3">
        <v>3.1</v>
      </c>
    </row>
    <row r="21" spans="1:22" hidden="1">
      <c r="A21" s="1">
        <v>20</v>
      </c>
      <c r="B21" s="3">
        <v>20</v>
      </c>
      <c r="C21" s="3" t="s">
        <v>41</v>
      </c>
      <c r="D21" s="3" t="s">
        <v>882</v>
      </c>
      <c r="E21" s="3" t="s">
        <v>151</v>
      </c>
      <c r="F21" s="3">
        <v>9</v>
      </c>
      <c r="G21" s="3">
        <v>499</v>
      </c>
      <c r="H21" s="3">
        <v>13874</v>
      </c>
      <c r="I21" s="3">
        <v>6895</v>
      </c>
      <c r="J21" s="3">
        <v>1888</v>
      </c>
      <c r="K21" s="3">
        <v>2030</v>
      </c>
      <c r="L21" s="3">
        <v>0.435</v>
      </c>
      <c r="M21" s="3">
        <v>0.34499999999999997</v>
      </c>
      <c r="N21" s="3">
        <v>0.73799999999999999</v>
      </c>
      <c r="O21" s="3">
        <v>27.8</v>
      </c>
      <c r="P21" s="3">
        <v>13.8</v>
      </c>
      <c r="Q21" s="3">
        <v>3.8</v>
      </c>
      <c r="R21" s="3">
        <v>4.0999999999999996</v>
      </c>
      <c r="S21" s="3">
        <v>22.2</v>
      </c>
      <c r="T21" s="3">
        <v>7.6999999999999999E-2</v>
      </c>
      <c r="U21" s="3">
        <v>-0.3</v>
      </c>
      <c r="V21" s="3">
        <v>6</v>
      </c>
    </row>
    <row r="22" spans="1:22" hidden="1">
      <c r="A22" s="1">
        <v>21</v>
      </c>
      <c r="B22" s="3">
        <v>21</v>
      </c>
      <c r="C22" s="3" t="s">
        <v>184</v>
      </c>
      <c r="D22" s="3" t="s">
        <v>883</v>
      </c>
      <c r="E22" s="3" t="s">
        <v>884</v>
      </c>
      <c r="F22" s="3">
        <v>6</v>
      </c>
      <c r="G22" s="3">
        <v>296</v>
      </c>
      <c r="H22" s="3">
        <v>5670</v>
      </c>
      <c r="I22" s="3">
        <v>1750</v>
      </c>
      <c r="J22" s="3">
        <v>950</v>
      </c>
      <c r="K22" s="3">
        <v>533</v>
      </c>
      <c r="L22" s="3">
        <v>0.47399999999999998</v>
      </c>
      <c r="M22" s="3">
        <v>0.28299999999999997</v>
      </c>
      <c r="N22" s="3">
        <v>0.61099999999999999</v>
      </c>
      <c r="O22" s="3">
        <v>19.2</v>
      </c>
      <c r="P22" s="3">
        <v>5.9</v>
      </c>
      <c r="Q22" s="3">
        <v>3.2</v>
      </c>
      <c r="R22" s="3">
        <v>1.8</v>
      </c>
      <c r="S22" s="3">
        <v>4.4000000000000004</v>
      </c>
      <c r="T22" s="3">
        <v>3.7999999999999999E-2</v>
      </c>
      <c r="U22" s="3">
        <v>-2.2999999999999998</v>
      </c>
      <c r="V22" s="3">
        <v>-0.4</v>
      </c>
    </row>
    <row r="23" spans="1:22" hidden="1">
      <c r="A23" s="1">
        <v>22</v>
      </c>
      <c r="B23" s="3">
        <v>22</v>
      </c>
      <c r="C23" s="3" t="s">
        <v>119</v>
      </c>
      <c r="D23" s="3" t="s">
        <v>885</v>
      </c>
      <c r="E23" s="3" t="s">
        <v>68</v>
      </c>
      <c r="F23" s="3">
        <v>3</v>
      </c>
      <c r="G23" s="3">
        <v>70</v>
      </c>
      <c r="H23" s="3">
        <v>625</v>
      </c>
      <c r="I23" s="3">
        <v>198</v>
      </c>
      <c r="J23" s="3">
        <v>70</v>
      </c>
      <c r="K23" s="3">
        <v>24</v>
      </c>
      <c r="L23" s="3">
        <v>0.35799999999999998</v>
      </c>
      <c r="M23" s="3">
        <v>0.30099999999999999</v>
      </c>
      <c r="N23" s="3">
        <v>0.78300000000000003</v>
      </c>
      <c r="O23" s="3">
        <v>8.9</v>
      </c>
      <c r="P23" s="3">
        <v>2.8</v>
      </c>
      <c r="Q23" s="3">
        <v>1</v>
      </c>
      <c r="R23" s="3">
        <v>0.3</v>
      </c>
      <c r="S23" s="3">
        <v>-0.1</v>
      </c>
      <c r="T23" s="3">
        <v>-8.9999999999999993E-3</v>
      </c>
      <c r="U23" s="3">
        <v>-6.1</v>
      </c>
      <c r="V23" s="3">
        <v>-0.7</v>
      </c>
    </row>
    <row r="24" spans="1:22" hidden="1">
      <c r="A24" s="1">
        <v>23</v>
      </c>
      <c r="B24" s="3">
        <v>23</v>
      </c>
      <c r="C24" s="3" t="s">
        <v>190</v>
      </c>
      <c r="D24" s="3" t="s">
        <v>886</v>
      </c>
      <c r="E24" s="2"/>
      <c r="F24" s="3">
        <v>3</v>
      </c>
      <c r="G24" s="3">
        <v>113</v>
      </c>
      <c r="H24" s="3">
        <v>1517</v>
      </c>
      <c r="I24" s="3">
        <v>674</v>
      </c>
      <c r="J24" s="3">
        <v>446</v>
      </c>
      <c r="K24" s="3">
        <v>64</v>
      </c>
      <c r="L24" s="3">
        <v>0.58099999999999996</v>
      </c>
      <c r="M24" s="2"/>
      <c r="N24" s="3">
        <v>0.71099999999999997</v>
      </c>
      <c r="O24" s="3">
        <v>13.4</v>
      </c>
      <c r="P24" s="3">
        <v>6</v>
      </c>
      <c r="Q24" s="3">
        <v>3.9</v>
      </c>
      <c r="R24" s="3">
        <v>0.6</v>
      </c>
      <c r="S24" s="3">
        <v>3.5</v>
      </c>
      <c r="T24" s="3">
        <v>0.11</v>
      </c>
      <c r="U24" s="3">
        <v>-2.6</v>
      </c>
      <c r="V24" s="3">
        <v>-0.2</v>
      </c>
    </row>
    <row r="25" spans="1:22" ht="30" hidden="1">
      <c r="A25" s="1">
        <v>24</v>
      </c>
      <c r="B25" s="3">
        <v>24</v>
      </c>
      <c r="C25" s="3" t="s">
        <v>66</v>
      </c>
      <c r="D25" s="3" t="s">
        <v>887</v>
      </c>
      <c r="E25" s="2"/>
      <c r="F25" s="3">
        <v>6</v>
      </c>
      <c r="G25" s="3">
        <v>328</v>
      </c>
      <c r="H25" s="3">
        <v>5254</v>
      </c>
      <c r="I25" s="3">
        <v>1937</v>
      </c>
      <c r="J25" s="3">
        <v>656</v>
      </c>
      <c r="K25" s="3">
        <v>293</v>
      </c>
      <c r="L25" s="3">
        <v>0.39100000000000001</v>
      </c>
      <c r="M25" s="3">
        <v>0.33500000000000002</v>
      </c>
      <c r="N25" s="3">
        <v>0.82899999999999996</v>
      </c>
      <c r="O25" s="3">
        <v>16</v>
      </c>
      <c r="P25" s="3">
        <v>5.9</v>
      </c>
      <c r="Q25" s="3">
        <v>2</v>
      </c>
      <c r="R25" s="3">
        <v>0.9</v>
      </c>
      <c r="S25" s="3">
        <v>4.7</v>
      </c>
      <c r="T25" s="3">
        <v>4.2999999999999997E-2</v>
      </c>
      <c r="U25" s="3">
        <v>-4</v>
      </c>
      <c r="V25" s="3">
        <v>-2.7</v>
      </c>
    </row>
    <row r="26" spans="1:22" hidden="1">
      <c r="A26" s="1">
        <v>25</v>
      </c>
      <c r="B26" s="3">
        <v>25</v>
      </c>
      <c r="C26" s="3" t="s">
        <v>28</v>
      </c>
      <c r="D26" s="3" t="s">
        <v>888</v>
      </c>
      <c r="E26" s="3" t="s">
        <v>78</v>
      </c>
      <c r="F26" s="3">
        <v>2</v>
      </c>
      <c r="G26" s="3">
        <v>21</v>
      </c>
      <c r="H26" s="3">
        <v>107</v>
      </c>
      <c r="I26" s="3">
        <v>47</v>
      </c>
      <c r="J26" s="3">
        <v>34</v>
      </c>
      <c r="K26" s="3">
        <v>3</v>
      </c>
      <c r="L26" s="3">
        <v>0.44900000000000001</v>
      </c>
      <c r="M26" s="3">
        <v>0</v>
      </c>
      <c r="N26" s="3">
        <v>0.6</v>
      </c>
      <c r="O26" s="3">
        <v>5.0999999999999996</v>
      </c>
      <c r="P26" s="3">
        <v>2.2000000000000002</v>
      </c>
      <c r="Q26" s="3">
        <v>1.6</v>
      </c>
      <c r="R26" s="3">
        <v>0.1</v>
      </c>
      <c r="S26" s="3">
        <v>0.1</v>
      </c>
      <c r="T26" s="3">
        <v>6.2E-2</v>
      </c>
      <c r="U26" s="3">
        <v>-0.6</v>
      </c>
      <c r="V26" s="3">
        <v>0</v>
      </c>
    </row>
    <row r="27" spans="1:22" hidden="1">
      <c r="A27" s="1">
        <v>26</v>
      </c>
      <c r="B27" s="3">
        <v>26</v>
      </c>
      <c r="C27" s="3" t="s">
        <v>66</v>
      </c>
      <c r="D27" s="3" t="s">
        <v>889</v>
      </c>
      <c r="E27" s="2"/>
      <c r="F27" s="3">
        <v>7</v>
      </c>
      <c r="G27" s="3">
        <v>328</v>
      </c>
      <c r="H27" s="3">
        <v>5447</v>
      </c>
      <c r="I27" s="3">
        <v>2244</v>
      </c>
      <c r="J27" s="3">
        <v>646</v>
      </c>
      <c r="K27" s="3">
        <v>391</v>
      </c>
      <c r="L27" s="3">
        <v>0.40600000000000003</v>
      </c>
      <c r="M27" s="3">
        <v>0.35599999999999998</v>
      </c>
      <c r="N27" s="3">
        <v>0.76100000000000001</v>
      </c>
      <c r="O27" s="3">
        <v>16.600000000000001</v>
      </c>
      <c r="P27" s="3">
        <v>6.8</v>
      </c>
      <c r="Q27" s="3">
        <v>2</v>
      </c>
      <c r="R27" s="3">
        <v>1.2</v>
      </c>
      <c r="S27" s="3">
        <v>7.6</v>
      </c>
      <c r="T27" s="3">
        <v>6.7000000000000004E-2</v>
      </c>
      <c r="U27" s="3">
        <v>-2</v>
      </c>
      <c r="V27" s="3">
        <v>0.1</v>
      </c>
    </row>
    <row r="28" spans="1:22" hidden="1">
      <c r="A28" s="1">
        <v>27</v>
      </c>
      <c r="B28" s="3">
        <v>27</v>
      </c>
      <c r="C28" s="3" t="s">
        <v>163</v>
      </c>
      <c r="D28" s="3" t="s">
        <v>890</v>
      </c>
      <c r="E28" s="3" t="s">
        <v>891</v>
      </c>
      <c r="F28" s="3">
        <v>9</v>
      </c>
      <c r="G28" s="3">
        <v>602</v>
      </c>
      <c r="H28" s="3">
        <v>18777</v>
      </c>
      <c r="I28" s="3">
        <v>10805</v>
      </c>
      <c r="J28" s="3">
        <v>4018</v>
      </c>
      <c r="K28" s="3">
        <v>2173</v>
      </c>
      <c r="L28" s="3">
        <v>0.499</v>
      </c>
      <c r="M28" s="3">
        <v>0.33900000000000002</v>
      </c>
      <c r="N28" s="3">
        <v>0.76700000000000002</v>
      </c>
      <c r="O28" s="3">
        <v>31.2</v>
      </c>
      <c r="P28" s="3">
        <v>17.899999999999999</v>
      </c>
      <c r="Q28" s="3">
        <v>6.7</v>
      </c>
      <c r="R28" s="3">
        <v>3.6</v>
      </c>
      <c r="S28" s="3">
        <v>53.8</v>
      </c>
      <c r="T28" s="3">
        <v>0.13700000000000001</v>
      </c>
      <c r="U28" s="3">
        <v>2</v>
      </c>
      <c r="V28" s="3">
        <v>19.2</v>
      </c>
    </row>
    <row r="29" spans="1:22" hidden="1">
      <c r="A29" s="1">
        <v>28</v>
      </c>
      <c r="B29" s="3">
        <v>28</v>
      </c>
      <c r="C29" s="3" t="s">
        <v>323</v>
      </c>
      <c r="D29" s="3" t="s">
        <v>892</v>
      </c>
      <c r="E29" s="3" t="s">
        <v>173</v>
      </c>
      <c r="F29" s="3">
        <v>4</v>
      </c>
      <c r="G29" s="3">
        <v>148</v>
      </c>
      <c r="H29" s="3">
        <v>2595</v>
      </c>
      <c r="I29" s="3">
        <v>1069</v>
      </c>
      <c r="J29" s="3">
        <v>662</v>
      </c>
      <c r="K29" s="3">
        <v>152</v>
      </c>
      <c r="L29" s="3">
        <v>0.49199999999999999</v>
      </c>
      <c r="M29" s="3">
        <v>0.35299999999999998</v>
      </c>
      <c r="N29" s="3">
        <v>0.748</v>
      </c>
      <c r="O29" s="3">
        <v>17.5</v>
      </c>
      <c r="P29" s="3">
        <v>7.2</v>
      </c>
      <c r="Q29" s="3">
        <v>4.5</v>
      </c>
      <c r="R29" s="3">
        <v>1</v>
      </c>
      <c r="S29" s="3">
        <v>4.4000000000000004</v>
      </c>
      <c r="T29" s="3">
        <v>8.1000000000000003E-2</v>
      </c>
      <c r="U29" s="3">
        <v>-2.2999999999999998</v>
      </c>
      <c r="V29" s="3">
        <v>-0.2</v>
      </c>
    </row>
    <row r="30" spans="1:22" hidden="1">
      <c r="A30" s="1">
        <v>29</v>
      </c>
      <c r="B30" s="3">
        <v>29</v>
      </c>
      <c r="C30" s="3" t="s">
        <v>79</v>
      </c>
      <c r="D30" s="3" t="s">
        <v>893</v>
      </c>
      <c r="E30" s="3" t="s">
        <v>38</v>
      </c>
      <c r="F30" s="3">
        <v>8</v>
      </c>
      <c r="G30" s="3">
        <v>503</v>
      </c>
      <c r="H30" s="3">
        <v>14745</v>
      </c>
      <c r="I30" s="3">
        <v>7803</v>
      </c>
      <c r="J30" s="3">
        <v>2925</v>
      </c>
      <c r="K30" s="3">
        <v>2718</v>
      </c>
      <c r="L30" s="3">
        <v>0.45300000000000001</v>
      </c>
      <c r="M30" s="3">
        <v>0.34</v>
      </c>
      <c r="N30" s="3">
        <v>0.79</v>
      </c>
      <c r="O30" s="3">
        <v>29.3</v>
      </c>
      <c r="P30" s="3">
        <v>15.5</v>
      </c>
      <c r="Q30" s="3">
        <v>5.8</v>
      </c>
      <c r="R30" s="3">
        <v>5.4</v>
      </c>
      <c r="S30" s="3">
        <v>26.3</v>
      </c>
      <c r="T30" s="3">
        <v>8.5000000000000006E-2</v>
      </c>
      <c r="U30" s="3">
        <v>1.4</v>
      </c>
      <c r="V30" s="3">
        <v>12.6</v>
      </c>
    </row>
    <row r="31" spans="1:22" hidden="1">
      <c r="A31" s="1">
        <v>30</v>
      </c>
      <c r="B31" s="3">
        <v>30</v>
      </c>
      <c r="C31" s="3" t="s">
        <v>25</v>
      </c>
      <c r="D31" s="3" t="s">
        <v>894</v>
      </c>
      <c r="E31" s="3" t="s">
        <v>592</v>
      </c>
      <c r="F31" s="3">
        <v>8</v>
      </c>
      <c r="G31" s="3">
        <v>279</v>
      </c>
      <c r="H31" s="3">
        <v>3782</v>
      </c>
      <c r="I31" s="3">
        <v>1366</v>
      </c>
      <c r="J31" s="3">
        <v>869</v>
      </c>
      <c r="K31" s="3">
        <v>193</v>
      </c>
      <c r="L31" s="3">
        <v>0.65600000000000003</v>
      </c>
      <c r="M31" s="3">
        <v>0.35099999999999998</v>
      </c>
      <c r="N31" s="3">
        <v>0.71499999999999997</v>
      </c>
      <c r="O31" s="3">
        <v>13.6</v>
      </c>
      <c r="P31" s="3">
        <v>4.9000000000000004</v>
      </c>
      <c r="Q31" s="3">
        <v>3.1</v>
      </c>
      <c r="R31" s="3">
        <v>0.7</v>
      </c>
      <c r="S31" s="3">
        <v>11.3</v>
      </c>
      <c r="T31" s="3">
        <v>0.14299999999999999</v>
      </c>
      <c r="U31" s="3">
        <v>-1</v>
      </c>
      <c r="V31" s="3">
        <v>1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5">
      <c r="A33" s="1">
        <v>31</v>
      </c>
      <c r="B33" s="3">
        <v>31</v>
      </c>
      <c r="C33" s="3" t="s">
        <v>190</v>
      </c>
      <c r="D33" s="67" t="s">
        <v>895</v>
      </c>
      <c r="E33" s="3" t="s">
        <v>27</v>
      </c>
      <c r="F33" s="3">
        <v>3</v>
      </c>
      <c r="G33" s="3">
        <v>107</v>
      </c>
      <c r="H33" s="3">
        <v>1299</v>
      </c>
      <c r="I33" s="3">
        <v>454</v>
      </c>
      <c r="J33" s="3">
        <v>346</v>
      </c>
      <c r="K33" s="3">
        <v>47</v>
      </c>
      <c r="L33" s="3">
        <v>0.59899999999999998</v>
      </c>
      <c r="M33" s="3">
        <v>0</v>
      </c>
      <c r="N33" s="3">
        <v>0.63500000000000001</v>
      </c>
      <c r="O33" s="3">
        <v>12.1</v>
      </c>
      <c r="P33" s="3">
        <v>4.2</v>
      </c>
      <c r="Q33" s="3">
        <v>3.2</v>
      </c>
      <c r="R33" s="3">
        <v>0.4</v>
      </c>
      <c r="S33" s="3">
        <v>3.6</v>
      </c>
      <c r="T33" s="3">
        <v>0.13100000000000001</v>
      </c>
      <c r="U33" s="3">
        <v>-2.1</v>
      </c>
      <c r="V33" s="3">
        <v>0</v>
      </c>
    </row>
    <row r="34" spans="1:25">
      <c r="A34" s="1">
        <v>32</v>
      </c>
      <c r="B34" s="3">
        <v>32</v>
      </c>
      <c r="C34" s="3" t="s">
        <v>31</v>
      </c>
      <c r="D34" s="89" t="s">
        <v>56</v>
      </c>
      <c r="E34" s="2"/>
      <c r="F34" s="3">
        <v>9</v>
      </c>
      <c r="G34" s="3">
        <v>554</v>
      </c>
      <c r="H34" s="3">
        <v>12410</v>
      </c>
      <c r="I34" s="3">
        <v>5382</v>
      </c>
      <c r="J34" s="3">
        <v>4367</v>
      </c>
      <c r="K34" s="3">
        <v>707</v>
      </c>
      <c r="L34" s="3">
        <v>0.61299999999999999</v>
      </c>
      <c r="M34" s="3">
        <v>8.3000000000000004E-2</v>
      </c>
      <c r="N34" s="3">
        <v>0.72599999999999998</v>
      </c>
      <c r="O34" s="3">
        <v>22.4</v>
      </c>
      <c r="P34" s="3">
        <v>9.6999999999999993</v>
      </c>
      <c r="Q34" s="3">
        <v>7.9</v>
      </c>
      <c r="R34" s="3">
        <v>1.3</v>
      </c>
      <c r="S34" s="3">
        <v>46.2</v>
      </c>
      <c r="T34" s="3">
        <v>0.17899999999999999</v>
      </c>
      <c r="U34" s="3">
        <v>0.6</v>
      </c>
      <c r="V34" s="3">
        <v>8.1999999999999993</v>
      </c>
      <c r="X34" s="135" t="s">
        <v>296</v>
      </c>
      <c r="Y34" s="3">
        <v>0</v>
      </c>
    </row>
    <row r="35" spans="1:25">
      <c r="A35" s="1">
        <v>33</v>
      </c>
      <c r="B35" s="3">
        <v>33</v>
      </c>
      <c r="C35" s="3" t="s">
        <v>28</v>
      </c>
      <c r="D35" s="88" t="s">
        <v>896</v>
      </c>
      <c r="E35" s="3" t="s">
        <v>138</v>
      </c>
      <c r="F35" s="3">
        <v>5</v>
      </c>
      <c r="G35" s="3">
        <v>183</v>
      </c>
      <c r="H35" s="3">
        <v>2186</v>
      </c>
      <c r="I35" s="3">
        <v>958</v>
      </c>
      <c r="J35" s="3">
        <v>759</v>
      </c>
      <c r="K35" s="3">
        <v>78</v>
      </c>
      <c r="L35" s="3">
        <v>0.59599999999999997</v>
      </c>
      <c r="M35" s="3">
        <v>0.28599999999999998</v>
      </c>
      <c r="N35" s="3">
        <v>0.77400000000000002</v>
      </c>
      <c r="O35" s="3">
        <v>11.9</v>
      </c>
      <c r="P35" s="3">
        <v>5.2</v>
      </c>
      <c r="Q35" s="3">
        <v>4.0999999999999996</v>
      </c>
      <c r="R35" s="3">
        <v>0.4</v>
      </c>
      <c r="S35" s="3">
        <v>6.3</v>
      </c>
      <c r="T35" s="3">
        <v>0.13900000000000001</v>
      </c>
      <c r="U35" s="3">
        <v>-1.4</v>
      </c>
      <c r="V35" s="3">
        <v>0.3</v>
      </c>
      <c r="X35" s="136" t="s">
        <v>298</v>
      </c>
      <c r="Y35" s="3">
        <v>0</v>
      </c>
    </row>
    <row r="36" spans="1:25">
      <c r="A36" s="1">
        <v>34</v>
      </c>
      <c r="B36" s="3">
        <v>34</v>
      </c>
      <c r="C36" s="3" t="s">
        <v>323</v>
      </c>
      <c r="D36" s="87" t="s">
        <v>897</v>
      </c>
      <c r="E36" s="3" t="s">
        <v>173</v>
      </c>
      <c r="F36" s="3">
        <v>3</v>
      </c>
      <c r="G36" s="3">
        <v>133</v>
      </c>
      <c r="H36" s="3">
        <v>2782</v>
      </c>
      <c r="I36" s="3">
        <v>998</v>
      </c>
      <c r="J36" s="3">
        <v>223</v>
      </c>
      <c r="K36" s="3">
        <v>537</v>
      </c>
      <c r="L36" s="3">
        <v>0.40300000000000002</v>
      </c>
      <c r="M36" s="3">
        <v>0.28000000000000003</v>
      </c>
      <c r="N36" s="3">
        <v>0.80800000000000005</v>
      </c>
      <c r="O36" s="3">
        <v>20.9</v>
      </c>
      <c r="P36" s="3">
        <v>7.5</v>
      </c>
      <c r="Q36" s="3">
        <v>1.7</v>
      </c>
      <c r="R36" s="3">
        <v>4</v>
      </c>
      <c r="S36" s="3">
        <v>0.5</v>
      </c>
      <c r="T36" s="3">
        <v>8.0000000000000002E-3</v>
      </c>
      <c r="U36" s="3">
        <v>-3.6</v>
      </c>
      <c r="V36" s="3">
        <v>-1.1000000000000001</v>
      </c>
      <c r="X36" s="137" t="s">
        <v>39</v>
      </c>
      <c r="Y36" s="3">
        <v>2</v>
      </c>
    </row>
    <row r="37" spans="1:25">
      <c r="A37" s="1">
        <v>35</v>
      </c>
      <c r="B37" s="3">
        <v>35</v>
      </c>
      <c r="C37" s="3" t="s">
        <v>190</v>
      </c>
      <c r="D37" s="67" t="s">
        <v>898</v>
      </c>
      <c r="E37" s="2"/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X37" s="138" t="s">
        <v>106</v>
      </c>
      <c r="Y37" s="3">
        <v>1</v>
      </c>
    </row>
    <row r="38" spans="1:25">
      <c r="A38" s="1">
        <v>36</v>
      </c>
      <c r="B38" s="3">
        <v>36</v>
      </c>
      <c r="C38" s="3" t="s">
        <v>57</v>
      </c>
      <c r="D38" s="89" t="s">
        <v>58</v>
      </c>
      <c r="E38" s="3" t="s">
        <v>59</v>
      </c>
      <c r="F38" s="3">
        <v>9</v>
      </c>
      <c r="G38" s="3">
        <v>461</v>
      </c>
      <c r="H38" s="3">
        <v>13446</v>
      </c>
      <c r="I38" s="3">
        <v>7054</v>
      </c>
      <c r="J38" s="3">
        <v>1912</v>
      </c>
      <c r="K38" s="3">
        <v>2145</v>
      </c>
      <c r="L38" s="3">
        <v>0.46300000000000002</v>
      </c>
      <c r="M38" s="3">
        <v>0.38800000000000001</v>
      </c>
      <c r="N38" s="3">
        <v>0.874</v>
      </c>
      <c r="O38" s="3">
        <v>29.2</v>
      </c>
      <c r="P38" s="3">
        <v>15.3</v>
      </c>
      <c r="Q38" s="3">
        <v>4.0999999999999996</v>
      </c>
      <c r="R38" s="3">
        <v>4.7</v>
      </c>
      <c r="S38" s="3">
        <v>33.200000000000003</v>
      </c>
      <c r="T38" s="3">
        <v>0.11899999999999999</v>
      </c>
      <c r="U38" s="3">
        <v>1.3</v>
      </c>
      <c r="V38" s="3">
        <v>11.2</v>
      </c>
      <c r="X38" s="139" t="s">
        <v>678</v>
      </c>
      <c r="Y38" s="3">
        <v>0</v>
      </c>
    </row>
    <row r="39" spans="1:25">
      <c r="A39" s="1">
        <v>37</v>
      </c>
      <c r="B39" s="3">
        <v>37</v>
      </c>
      <c r="C39" s="3" t="s">
        <v>52</v>
      </c>
      <c r="D39" s="67" t="s">
        <v>899</v>
      </c>
      <c r="E39" s="3" t="s">
        <v>61</v>
      </c>
      <c r="F39" s="3">
        <v>2</v>
      </c>
      <c r="G39" s="3">
        <v>6</v>
      </c>
      <c r="H39" s="3">
        <v>74</v>
      </c>
      <c r="I39" s="3">
        <v>18</v>
      </c>
      <c r="J39" s="3">
        <v>14</v>
      </c>
      <c r="K39" s="3">
        <v>4</v>
      </c>
      <c r="L39" s="3">
        <v>0.58299999999999996</v>
      </c>
      <c r="M39" s="2">
        <v>0</v>
      </c>
      <c r="N39" s="3">
        <v>1</v>
      </c>
      <c r="O39" s="3">
        <v>12.3</v>
      </c>
      <c r="P39" s="3">
        <v>3</v>
      </c>
      <c r="Q39" s="3">
        <v>2.2999999999999998</v>
      </c>
      <c r="R39" s="3">
        <v>0.7</v>
      </c>
      <c r="S39" s="3">
        <v>0.1</v>
      </c>
      <c r="T39" s="3">
        <v>4.2999999999999997E-2</v>
      </c>
      <c r="U39" s="3">
        <v>-5.4</v>
      </c>
      <c r="V39" s="3">
        <v>-0.1</v>
      </c>
      <c r="X39" s="140" t="s">
        <v>680</v>
      </c>
    </row>
    <row r="40" spans="1:25">
      <c r="A40" s="1">
        <v>38</v>
      </c>
      <c r="B40" s="3">
        <v>38</v>
      </c>
      <c r="C40" s="3" t="s">
        <v>57</v>
      </c>
      <c r="D40" s="88" t="s">
        <v>900</v>
      </c>
      <c r="E40" s="3" t="s">
        <v>901</v>
      </c>
      <c r="F40" s="3">
        <v>5</v>
      </c>
      <c r="G40" s="3">
        <v>199</v>
      </c>
      <c r="H40" s="3">
        <v>3373</v>
      </c>
      <c r="I40" s="3">
        <v>760</v>
      </c>
      <c r="J40" s="3">
        <v>319</v>
      </c>
      <c r="K40" s="3">
        <v>270</v>
      </c>
      <c r="L40" s="3">
        <v>0.42</v>
      </c>
      <c r="M40" s="3">
        <v>0.30499999999999999</v>
      </c>
      <c r="N40" s="3">
        <v>0.78500000000000003</v>
      </c>
      <c r="O40" s="3">
        <v>16.899999999999999</v>
      </c>
      <c r="P40" s="3">
        <v>3.8</v>
      </c>
      <c r="Q40" s="3">
        <v>1.6</v>
      </c>
      <c r="R40" s="3">
        <v>1.4</v>
      </c>
      <c r="S40" s="3">
        <v>4.4000000000000004</v>
      </c>
      <c r="T40" s="3">
        <v>6.2E-2</v>
      </c>
      <c r="U40" s="3">
        <v>-2.8</v>
      </c>
      <c r="V40" s="3">
        <v>-0.6</v>
      </c>
      <c r="X40" s="141" t="s">
        <v>111</v>
      </c>
    </row>
    <row r="41" spans="1:25">
      <c r="A41" s="1">
        <v>39</v>
      </c>
      <c r="B41" s="3">
        <v>39</v>
      </c>
      <c r="C41" s="3" t="s">
        <v>44</v>
      </c>
      <c r="D41" s="67" t="s">
        <v>902</v>
      </c>
      <c r="E41" s="2"/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5">
      <c r="A42" s="1">
        <v>40</v>
      </c>
      <c r="B42" s="3">
        <v>40</v>
      </c>
      <c r="C42" s="3" t="s">
        <v>44</v>
      </c>
      <c r="D42" s="67" t="s">
        <v>903</v>
      </c>
      <c r="E42" s="3" t="s">
        <v>89</v>
      </c>
      <c r="F42" s="3">
        <v>1</v>
      </c>
      <c r="G42" s="3">
        <v>7</v>
      </c>
      <c r="H42" s="3">
        <v>24</v>
      </c>
      <c r="I42" s="3">
        <v>10</v>
      </c>
      <c r="J42" s="3">
        <v>6</v>
      </c>
      <c r="K42" s="3">
        <v>0</v>
      </c>
      <c r="L42" s="3">
        <v>0.23100000000000001</v>
      </c>
      <c r="M42" s="2">
        <v>0</v>
      </c>
      <c r="N42" s="3">
        <v>1</v>
      </c>
      <c r="O42" s="3">
        <v>3.4</v>
      </c>
      <c r="P42" s="3">
        <v>1.4</v>
      </c>
      <c r="Q42" s="3">
        <v>0.9</v>
      </c>
      <c r="R42" s="3">
        <v>0</v>
      </c>
      <c r="S42" s="3">
        <v>-0.1</v>
      </c>
      <c r="T42" s="3">
        <v>-0.21099999999999999</v>
      </c>
      <c r="U42" s="3">
        <v>-20.8</v>
      </c>
      <c r="V42" s="3">
        <v>-0.1</v>
      </c>
    </row>
    <row r="43" spans="1:25">
      <c r="A43" s="1">
        <v>41</v>
      </c>
      <c r="B43" s="3">
        <v>41</v>
      </c>
      <c r="C43" s="3" t="s">
        <v>179</v>
      </c>
      <c r="D43" s="67" t="s">
        <v>904</v>
      </c>
      <c r="E43" s="3" t="s">
        <v>901</v>
      </c>
      <c r="F43" s="3">
        <v>1</v>
      </c>
      <c r="G43" s="3">
        <v>19</v>
      </c>
      <c r="H43" s="3">
        <v>108</v>
      </c>
      <c r="I43" s="3">
        <v>23</v>
      </c>
      <c r="J43" s="3">
        <v>35</v>
      </c>
      <c r="K43" s="3">
        <v>4</v>
      </c>
      <c r="L43" s="3">
        <v>0.32300000000000001</v>
      </c>
      <c r="M43" s="2">
        <v>0</v>
      </c>
      <c r="N43" s="3">
        <v>0.6</v>
      </c>
      <c r="O43" s="3">
        <v>5.7</v>
      </c>
      <c r="P43" s="3">
        <v>1.2</v>
      </c>
      <c r="Q43" s="3">
        <v>1.8</v>
      </c>
      <c r="R43" s="3">
        <v>0.2</v>
      </c>
      <c r="S43" s="3">
        <v>0</v>
      </c>
      <c r="T43" s="3">
        <v>-5.0000000000000001E-3</v>
      </c>
      <c r="U43" s="3">
        <v>-8.3000000000000007</v>
      </c>
      <c r="V43" s="3">
        <v>-0.2</v>
      </c>
    </row>
    <row r="44" spans="1:25">
      <c r="A44" s="1">
        <v>42</v>
      </c>
      <c r="B44" s="3">
        <v>42</v>
      </c>
      <c r="C44" s="3" t="s">
        <v>193</v>
      </c>
      <c r="D44" s="67" t="s">
        <v>905</v>
      </c>
      <c r="E44" s="3" t="s">
        <v>167</v>
      </c>
      <c r="F44" s="3">
        <v>2</v>
      </c>
      <c r="G44" s="3">
        <v>89</v>
      </c>
      <c r="H44" s="3">
        <v>1823</v>
      </c>
      <c r="I44" s="3">
        <v>643</v>
      </c>
      <c r="J44" s="3">
        <v>210</v>
      </c>
      <c r="K44" s="3">
        <v>212</v>
      </c>
      <c r="L44" s="3">
        <v>0.41099999999999998</v>
      </c>
      <c r="M44" s="3">
        <v>0.30499999999999999</v>
      </c>
      <c r="N44" s="3">
        <v>0.78800000000000003</v>
      </c>
      <c r="O44" s="3">
        <v>20.5</v>
      </c>
      <c r="P44" s="3">
        <v>7.2</v>
      </c>
      <c r="Q44" s="3">
        <v>2.4</v>
      </c>
      <c r="R44" s="3">
        <v>2.4</v>
      </c>
      <c r="S44" s="3">
        <v>-0.9</v>
      </c>
      <c r="T44" s="3">
        <v>-2.5000000000000001E-2</v>
      </c>
      <c r="U44" s="3">
        <v>-5</v>
      </c>
      <c r="V44" s="3">
        <v>-1.4</v>
      </c>
    </row>
    <row r="45" spans="1:25">
      <c r="A45" s="1">
        <v>43</v>
      </c>
      <c r="B45" s="3">
        <v>43</v>
      </c>
      <c r="C45" s="3" t="s">
        <v>52</v>
      </c>
      <c r="D45" s="67" t="s">
        <v>906</v>
      </c>
      <c r="E45" s="2"/>
      <c r="F45" s="3">
        <v>2</v>
      </c>
      <c r="G45" s="3">
        <v>19</v>
      </c>
      <c r="H45" s="3">
        <v>125</v>
      </c>
      <c r="I45" s="3">
        <v>24</v>
      </c>
      <c r="J45" s="3">
        <v>22</v>
      </c>
      <c r="K45" s="3">
        <v>2</v>
      </c>
      <c r="L45" s="3">
        <v>0.21199999999999999</v>
      </c>
      <c r="M45" s="3">
        <v>0.105</v>
      </c>
      <c r="N45" s="3">
        <v>0.66700000000000004</v>
      </c>
      <c r="O45" s="3">
        <v>6.6</v>
      </c>
      <c r="P45" s="3">
        <v>1.3</v>
      </c>
      <c r="Q45" s="3">
        <v>1.2</v>
      </c>
      <c r="R45" s="3">
        <v>0.1</v>
      </c>
      <c r="S45" s="3">
        <v>-0.2</v>
      </c>
      <c r="T45" s="3">
        <v>-9.2999999999999999E-2</v>
      </c>
      <c r="U45" s="3">
        <v>-9.6</v>
      </c>
      <c r="V45" s="3">
        <v>-0.2</v>
      </c>
    </row>
    <row r="46" spans="1:25">
      <c r="A46" s="1">
        <v>44</v>
      </c>
      <c r="B46" s="3">
        <v>44</v>
      </c>
      <c r="C46" s="3" t="s">
        <v>184</v>
      </c>
      <c r="D46" s="67" t="s">
        <v>907</v>
      </c>
      <c r="E46" s="2"/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spans="1:25">
      <c r="A47" s="1">
        <v>45</v>
      </c>
      <c r="B47" s="3">
        <v>45</v>
      </c>
      <c r="C47" s="3" t="s">
        <v>190</v>
      </c>
      <c r="D47" s="67" t="s">
        <v>908</v>
      </c>
      <c r="E47" s="3" t="s">
        <v>117</v>
      </c>
      <c r="F47" s="3">
        <v>3</v>
      </c>
      <c r="G47" s="3">
        <v>26</v>
      </c>
      <c r="H47" s="3">
        <v>136</v>
      </c>
      <c r="I47" s="3">
        <v>48</v>
      </c>
      <c r="J47" s="3">
        <v>19</v>
      </c>
      <c r="K47" s="3">
        <v>17</v>
      </c>
      <c r="L47" s="3">
        <v>0.48599999999999999</v>
      </c>
      <c r="M47" s="3">
        <v>0.28599999999999998</v>
      </c>
      <c r="N47" s="3">
        <v>0.66700000000000004</v>
      </c>
      <c r="O47" s="3">
        <v>5.2</v>
      </c>
      <c r="P47" s="3">
        <v>1.8</v>
      </c>
      <c r="Q47" s="3">
        <v>0.7</v>
      </c>
      <c r="R47" s="3">
        <v>0.7</v>
      </c>
      <c r="S47" s="3">
        <v>0.2</v>
      </c>
      <c r="T47" s="3">
        <v>8.6999999999999994E-2</v>
      </c>
      <c r="U47" s="3">
        <v>-0.5</v>
      </c>
      <c r="V47" s="3">
        <v>0.1</v>
      </c>
    </row>
    <row r="48" spans="1:25">
      <c r="A48" s="1">
        <v>46</v>
      </c>
      <c r="B48" s="3">
        <v>46</v>
      </c>
      <c r="C48" s="3" t="s">
        <v>20</v>
      </c>
      <c r="D48" s="67" t="s">
        <v>909</v>
      </c>
      <c r="E48" s="3" t="s">
        <v>143</v>
      </c>
      <c r="F48" s="3">
        <v>1</v>
      </c>
      <c r="G48" s="3">
        <v>22</v>
      </c>
      <c r="H48" s="3">
        <v>163</v>
      </c>
      <c r="I48" s="3">
        <v>48</v>
      </c>
      <c r="J48" s="3">
        <v>36</v>
      </c>
      <c r="K48" s="3">
        <v>4</v>
      </c>
      <c r="L48" s="3">
        <v>0.40500000000000003</v>
      </c>
      <c r="M48" s="3">
        <v>0.5</v>
      </c>
      <c r="N48" s="3">
        <v>0.45</v>
      </c>
      <c r="O48" s="3">
        <v>7.4</v>
      </c>
      <c r="P48" s="3">
        <v>2.2000000000000002</v>
      </c>
      <c r="Q48" s="3">
        <v>1.6</v>
      </c>
      <c r="R48" s="3">
        <v>0.2</v>
      </c>
      <c r="S48" s="3">
        <v>0</v>
      </c>
      <c r="T48" s="3">
        <v>-1E-3</v>
      </c>
      <c r="U48" s="3">
        <v>-6.6</v>
      </c>
      <c r="V48" s="3">
        <v>-0.2</v>
      </c>
    </row>
    <row r="49" spans="1:37">
      <c r="A49" s="1">
        <v>47</v>
      </c>
      <c r="B49" s="3">
        <v>47</v>
      </c>
      <c r="C49" s="3" t="s">
        <v>179</v>
      </c>
      <c r="D49" s="88" t="s">
        <v>910</v>
      </c>
      <c r="E49" s="3" t="s">
        <v>89</v>
      </c>
      <c r="F49" s="3">
        <v>6</v>
      </c>
      <c r="G49" s="3">
        <v>243</v>
      </c>
      <c r="H49" s="3">
        <v>3099</v>
      </c>
      <c r="I49" s="3">
        <v>1175</v>
      </c>
      <c r="J49" s="3">
        <v>417</v>
      </c>
      <c r="K49" s="3">
        <v>127</v>
      </c>
      <c r="L49" s="3">
        <v>0.46</v>
      </c>
      <c r="M49" s="3">
        <v>0.3</v>
      </c>
      <c r="N49" s="3">
        <v>0.71899999999999997</v>
      </c>
      <c r="O49" s="3">
        <v>12.8</v>
      </c>
      <c r="P49" s="3">
        <v>4.8</v>
      </c>
      <c r="Q49" s="3">
        <v>1.7</v>
      </c>
      <c r="R49" s="3">
        <v>0.5</v>
      </c>
      <c r="S49" s="3">
        <v>3.8</v>
      </c>
      <c r="T49" s="3">
        <v>5.8999999999999997E-2</v>
      </c>
      <c r="U49" s="3">
        <v>-2.2999999999999998</v>
      </c>
      <c r="V49" s="3">
        <v>-0.2</v>
      </c>
    </row>
    <row r="50" spans="1:37">
      <c r="A50" s="1">
        <v>48</v>
      </c>
      <c r="B50" s="3">
        <v>48</v>
      </c>
      <c r="C50" s="3" t="s">
        <v>99</v>
      </c>
      <c r="D50" s="67" t="s">
        <v>911</v>
      </c>
      <c r="E50" s="2"/>
      <c r="F50" s="3">
        <v>2</v>
      </c>
      <c r="G50" s="3">
        <v>98</v>
      </c>
      <c r="H50" s="3">
        <v>1667</v>
      </c>
      <c r="I50" s="3">
        <v>458</v>
      </c>
      <c r="J50" s="3">
        <v>256</v>
      </c>
      <c r="K50" s="3">
        <v>82</v>
      </c>
      <c r="L50" s="3">
        <v>0.371</v>
      </c>
      <c r="M50" s="3">
        <v>0.33500000000000002</v>
      </c>
      <c r="N50" s="3">
        <v>0.76900000000000002</v>
      </c>
      <c r="O50" s="3">
        <v>17</v>
      </c>
      <c r="P50" s="3">
        <v>4.7</v>
      </c>
      <c r="Q50" s="3">
        <v>2.6</v>
      </c>
      <c r="R50" s="3">
        <v>0.8</v>
      </c>
      <c r="S50" s="3">
        <v>0</v>
      </c>
      <c r="T50" s="3">
        <v>-1E-3</v>
      </c>
      <c r="U50" s="3">
        <v>-5.2</v>
      </c>
      <c r="V50" s="3">
        <v>-1.4</v>
      </c>
    </row>
    <row r="51" spans="1:37">
      <c r="A51" s="1">
        <v>49</v>
      </c>
      <c r="B51" s="3">
        <v>49</v>
      </c>
      <c r="C51" s="3" t="s">
        <v>34</v>
      </c>
      <c r="D51" s="67" t="s">
        <v>912</v>
      </c>
      <c r="E51" s="3" t="s">
        <v>68</v>
      </c>
      <c r="F51" s="3">
        <v>1</v>
      </c>
      <c r="G51" s="3">
        <v>9</v>
      </c>
      <c r="H51" s="3">
        <v>32</v>
      </c>
      <c r="I51" s="3">
        <v>4</v>
      </c>
      <c r="J51" s="3">
        <v>3</v>
      </c>
      <c r="K51" s="3">
        <v>2</v>
      </c>
      <c r="L51" s="3">
        <v>0.1</v>
      </c>
      <c r="M51" s="3">
        <v>0</v>
      </c>
      <c r="N51" s="3">
        <v>1</v>
      </c>
      <c r="O51" s="3">
        <v>3.6</v>
      </c>
      <c r="P51" s="3">
        <v>0.4</v>
      </c>
      <c r="Q51" s="3">
        <v>0.3</v>
      </c>
      <c r="R51" s="3">
        <v>0.2</v>
      </c>
      <c r="S51" s="3">
        <v>-0.1</v>
      </c>
      <c r="T51" s="3">
        <v>-0.13600000000000001</v>
      </c>
      <c r="U51" s="3">
        <v>-12.1</v>
      </c>
      <c r="V51" s="3">
        <v>-0.1</v>
      </c>
    </row>
    <row r="52" spans="1:37">
      <c r="A52" s="1">
        <v>50</v>
      </c>
      <c r="B52" s="3">
        <v>50</v>
      </c>
      <c r="C52" s="3" t="s">
        <v>41</v>
      </c>
      <c r="D52" s="80" t="s">
        <v>110</v>
      </c>
      <c r="E52" s="3" t="s">
        <v>108</v>
      </c>
      <c r="F52" s="3">
        <v>9</v>
      </c>
      <c r="G52" s="3">
        <v>517</v>
      </c>
      <c r="H52" s="3">
        <v>8876</v>
      </c>
      <c r="I52" s="3">
        <v>3723</v>
      </c>
      <c r="J52" s="3">
        <v>1277</v>
      </c>
      <c r="K52" s="3">
        <v>493</v>
      </c>
      <c r="L52" s="3">
        <v>0.44600000000000001</v>
      </c>
      <c r="M52" s="3">
        <v>0.39800000000000002</v>
      </c>
      <c r="N52" s="3">
        <v>0.85799999999999998</v>
      </c>
      <c r="O52" s="3">
        <v>17.2</v>
      </c>
      <c r="P52" s="3">
        <v>7.2</v>
      </c>
      <c r="Q52" s="3">
        <v>2.5</v>
      </c>
      <c r="R52" s="3">
        <v>1</v>
      </c>
      <c r="S52" s="3">
        <v>15.3</v>
      </c>
      <c r="T52" s="3">
        <v>8.3000000000000004E-2</v>
      </c>
      <c r="U52" s="3">
        <v>-1.6</v>
      </c>
      <c r="V52" s="3">
        <v>1</v>
      </c>
    </row>
    <row r="53" spans="1:37">
      <c r="A53" s="1">
        <v>51</v>
      </c>
      <c r="B53" s="3">
        <v>51</v>
      </c>
      <c r="C53" s="3" t="s">
        <v>190</v>
      </c>
      <c r="D53" s="67" t="s">
        <v>913</v>
      </c>
      <c r="E53" s="3" t="s">
        <v>314</v>
      </c>
      <c r="F53" s="3">
        <v>1</v>
      </c>
      <c r="G53" s="3">
        <v>3</v>
      </c>
      <c r="H53" s="3">
        <v>10</v>
      </c>
      <c r="I53" s="3">
        <v>0</v>
      </c>
      <c r="J53" s="3">
        <v>2</v>
      </c>
      <c r="K53" s="3">
        <v>0</v>
      </c>
      <c r="L53" s="3">
        <v>0</v>
      </c>
      <c r="M53" s="3">
        <v>0</v>
      </c>
      <c r="N53" s="2">
        <v>0</v>
      </c>
      <c r="O53" s="3">
        <v>3.3</v>
      </c>
      <c r="P53" s="3">
        <v>0</v>
      </c>
      <c r="Q53" s="3">
        <v>0.7</v>
      </c>
      <c r="R53" s="3">
        <v>0</v>
      </c>
      <c r="S53" s="3">
        <v>-0.1</v>
      </c>
      <c r="T53" s="3">
        <v>-0.47299999999999998</v>
      </c>
      <c r="U53" s="3">
        <v>-25.9</v>
      </c>
      <c r="V53" s="3">
        <v>-0.1</v>
      </c>
    </row>
    <row r="54" spans="1:37">
      <c r="A54" s="1">
        <v>52</v>
      </c>
      <c r="B54" s="3">
        <v>52</v>
      </c>
      <c r="C54" s="3" t="s">
        <v>193</v>
      </c>
      <c r="D54" s="67" t="s">
        <v>914</v>
      </c>
      <c r="E54" s="3" t="s">
        <v>330</v>
      </c>
      <c r="F54" s="3">
        <v>2</v>
      </c>
      <c r="G54" s="3">
        <v>18</v>
      </c>
      <c r="H54" s="3">
        <v>91</v>
      </c>
      <c r="I54" s="3">
        <v>31</v>
      </c>
      <c r="J54" s="3">
        <v>27</v>
      </c>
      <c r="K54" s="3">
        <v>2</v>
      </c>
      <c r="L54" s="3">
        <v>0.54500000000000004</v>
      </c>
      <c r="M54" s="3">
        <v>0.2</v>
      </c>
      <c r="N54" s="3">
        <v>0.5</v>
      </c>
      <c r="O54" s="3">
        <v>5.0999999999999996</v>
      </c>
      <c r="P54" s="3">
        <v>1.7</v>
      </c>
      <c r="Q54" s="3">
        <v>1.5</v>
      </c>
      <c r="R54" s="3">
        <v>0.1</v>
      </c>
      <c r="S54" s="3">
        <v>0.3</v>
      </c>
      <c r="T54" s="3">
        <v>0.13200000000000001</v>
      </c>
      <c r="U54" s="3">
        <v>-0.1</v>
      </c>
      <c r="V54" s="3">
        <v>0</v>
      </c>
    </row>
    <row r="55" spans="1:37">
      <c r="A55" s="1">
        <v>53</v>
      </c>
      <c r="B55" s="3">
        <v>53</v>
      </c>
      <c r="C55" s="3" t="s">
        <v>23</v>
      </c>
      <c r="D55" s="67" t="s">
        <v>915</v>
      </c>
      <c r="E55" s="2"/>
      <c r="F55" s="3">
        <v>1</v>
      </c>
      <c r="G55" s="3">
        <v>13</v>
      </c>
      <c r="H55" s="3">
        <v>38</v>
      </c>
      <c r="I55" s="3">
        <v>14</v>
      </c>
      <c r="J55" s="3">
        <v>14</v>
      </c>
      <c r="K55" s="3">
        <v>3</v>
      </c>
      <c r="L55" s="3">
        <v>0.33300000000000002</v>
      </c>
      <c r="M55" s="3">
        <v>0.125</v>
      </c>
      <c r="N55" s="3">
        <v>0.75</v>
      </c>
      <c r="O55" s="3">
        <v>2.9</v>
      </c>
      <c r="P55" s="3">
        <v>1.1000000000000001</v>
      </c>
      <c r="Q55" s="3">
        <v>1.1000000000000001</v>
      </c>
      <c r="R55" s="3">
        <v>0.2</v>
      </c>
      <c r="S55" s="3">
        <v>0</v>
      </c>
      <c r="T55" s="3">
        <v>-1.4999999999999999E-2</v>
      </c>
      <c r="U55" s="3">
        <v>-8.8000000000000007</v>
      </c>
      <c r="V55" s="3">
        <v>-0.1</v>
      </c>
    </row>
    <row r="56" spans="1:37">
      <c r="A56" s="1">
        <v>54</v>
      </c>
      <c r="B56" s="3">
        <v>54</v>
      </c>
      <c r="C56" s="3" t="s">
        <v>184</v>
      </c>
      <c r="D56" s="67" t="s">
        <v>916</v>
      </c>
      <c r="E56" s="3" t="s">
        <v>917</v>
      </c>
      <c r="F56" s="3">
        <v>2</v>
      </c>
      <c r="G56" s="3">
        <v>58</v>
      </c>
      <c r="H56" s="3">
        <v>526</v>
      </c>
      <c r="I56" s="3">
        <v>223</v>
      </c>
      <c r="J56" s="3">
        <v>59</v>
      </c>
      <c r="K56" s="3">
        <v>78</v>
      </c>
      <c r="L56" s="3">
        <v>0.36399999999999999</v>
      </c>
      <c r="M56" s="3">
        <v>0.26800000000000002</v>
      </c>
      <c r="N56" s="3">
        <v>0.754</v>
      </c>
      <c r="O56" s="3">
        <v>9.1</v>
      </c>
      <c r="P56" s="3">
        <v>3.8</v>
      </c>
      <c r="Q56" s="3">
        <v>1</v>
      </c>
      <c r="R56" s="3">
        <v>1.3</v>
      </c>
      <c r="S56" s="3">
        <v>-0.4</v>
      </c>
      <c r="T56" s="3">
        <v>-4.1000000000000002E-2</v>
      </c>
      <c r="U56" s="3">
        <v>-4.7</v>
      </c>
      <c r="V56" s="3">
        <v>-0.4</v>
      </c>
    </row>
    <row r="57" spans="1:37">
      <c r="A57" s="1">
        <v>55</v>
      </c>
      <c r="B57" s="3">
        <v>55</v>
      </c>
      <c r="C57" s="3" t="s">
        <v>47</v>
      </c>
      <c r="D57" s="67" t="s">
        <v>918</v>
      </c>
      <c r="E57" s="3" t="s">
        <v>78</v>
      </c>
      <c r="F57" s="3">
        <v>1</v>
      </c>
      <c r="G57" s="3">
        <v>5</v>
      </c>
      <c r="H57" s="3">
        <v>28</v>
      </c>
      <c r="I57" s="3">
        <v>12</v>
      </c>
      <c r="J57" s="3">
        <v>4</v>
      </c>
      <c r="K57" s="3">
        <v>3</v>
      </c>
      <c r="L57" s="3">
        <v>0.28599999999999998</v>
      </c>
      <c r="M57" s="3">
        <v>0.25</v>
      </c>
      <c r="N57" s="3">
        <v>1</v>
      </c>
      <c r="O57" s="3">
        <v>5.6</v>
      </c>
      <c r="P57" s="3">
        <v>2.4</v>
      </c>
      <c r="Q57" s="3">
        <v>0.8</v>
      </c>
      <c r="R57" s="3">
        <v>0.6</v>
      </c>
      <c r="S57" s="3">
        <v>0</v>
      </c>
      <c r="T57" s="3">
        <v>-6.0000000000000001E-3</v>
      </c>
      <c r="U57" s="3">
        <v>-8.8000000000000007</v>
      </c>
      <c r="V57" s="3">
        <v>0</v>
      </c>
    </row>
    <row r="58" spans="1:37">
      <c r="A58" s="1">
        <v>56</v>
      </c>
      <c r="B58" s="3">
        <v>56</v>
      </c>
      <c r="C58" s="3" t="s">
        <v>23</v>
      </c>
      <c r="D58" s="67" t="s">
        <v>919</v>
      </c>
      <c r="E58" s="3" t="s">
        <v>300</v>
      </c>
      <c r="F58" s="3">
        <v>2</v>
      </c>
      <c r="G58" s="3">
        <v>25</v>
      </c>
      <c r="H58" s="3">
        <v>232</v>
      </c>
      <c r="I58" s="3">
        <v>69</v>
      </c>
      <c r="J58" s="3">
        <v>52</v>
      </c>
      <c r="K58" s="3">
        <v>30</v>
      </c>
      <c r="L58" s="3">
        <v>0.39400000000000002</v>
      </c>
      <c r="M58" s="3">
        <v>0.35699999999999998</v>
      </c>
      <c r="N58" s="3">
        <v>0.5</v>
      </c>
      <c r="O58" s="3">
        <v>9.3000000000000007</v>
      </c>
      <c r="P58" s="3">
        <v>2.8</v>
      </c>
      <c r="Q58" s="3">
        <v>2.1</v>
      </c>
      <c r="R58" s="3">
        <v>1.2</v>
      </c>
      <c r="S58" s="3">
        <v>0</v>
      </c>
      <c r="T58" s="3">
        <v>0</v>
      </c>
      <c r="U58" s="3">
        <v>-3.3</v>
      </c>
      <c r="V58" s="3">
        <v>-0.1</v>
      </c>
    </row>
    <row r="59" spans="1:37">
      <c r="A59" s="1">
        <v>57</v>
      </c>
      <c r="B59" s="3">
        <v>57</v>
      </c>
      <c r="C59" s="3" t="s">
        <v>152</v>
      </c>
      <c r="D59" s="67" t="s">
        <v>920</v>
      </c>
      <c r="E59" s="2"/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37">
      <c r="A60" s="1">
        <v>58</v>
      </c>
      <c r="B60" s="3">
        <v>58</v>
      </c>
      <c r="C60" s="3" t="s">
        <v>190</v>
      </c>
      <c r="D60" s="67" t="s">
        <v>921</v>
      </c>
      <c r="E60" s="3" t="s">
        <v>108</v>
      </c>
      <c r="F60" s="3">
        <v>5</v>
      </c>
      <c r="G60" s="3">
        <v>202</v>
      </c>
      <c r="H60" s="3">
        <v>2583</v>
      </c>
      <c r="I60" s="3">
        <v>926</v>
      </c>
      <c r="J60" s="3">
        <v>376</v>
      </c>
      <c r="K60" s="3">
        <v>110</v>
      </c>
      <c r="L60" s="3">
        <v>0.42799999999999999</v>
      </c>
      <c r="M60" s="3">
        <v>0.35699999999999998</v>
      </c>
      <c r="N60" s="3">
        <v>0.71799999999999997</v>
      </c>
      <c r="O60" s="3">
        <v>12.8</v>
      </c>
      <c r="P60" s="3">
        <v>4.5999999999999996</v>
      </c>
      <c r="Q60" s="3">
        <v>1.9</v>
      </c>
      <c r="R60" s="3">
        <v>0.5</v>
      </c>
      <c r="S60" s="3">
        <v>2.8</v>
      </c>
      <c r="T60" s="3">
        <v>5.1999999999999998E-2</v>
      </c>
      <c r="U60" s="3">
        <v>-2.6</v>
      </c>
      <c r="V60" s="3">
        <v>-0.4</v>
      </c>
    </row>
    <row r="61" spans="1:37">
      <c r="A61" s="1">
        <v>59</v>
      </c>
      <c r="B61" s="3">
        <v>59</v>
      </c>
      <c r="C61" s="3" t="s">
        <v>36</v>
      </c>
      <c r="D61" s="67" t="s">
        <v>922</v>
      </c>
      <c r="E61" s="3" t="s">
        <v>728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</row>
    <row r="62" spans="1:37">
      <c r="A62" s="1">
        <v>60</v>
      </c>
      <c r="B62" s="3">
        <v>60</v>
      </c>
      <c r="C62" s="3" t="s">
        <v>193</v>
      </c>
      <c r="D62" s="67" t="s">
        <v>923</v>
      </c>
      <c r="E62" s="3" t="s">
        <v>200</v>
      </c>
      <c r="F62" s="3">
        <v>4</v>
      </c>
      <c r="G62" s="3">
        <v>112</v>
      </c>
      <c r="H62" s="3">
        <v>1714</v>
      </c>
      <c r="I62" s="3">
        <v>566</v>
      </c>
      <c r="J62" s="3">
        <v>236</v>
      </c>
      <c r="K62" s="3">
        <v>127</v>
      </c>
      <c r="L62" s="3">
        <v>0.42199999999999999</v>
      </c>
      <c r="M62" s="3">
        <v>0.20699999999999999</v>
      </c>
      <c r="N62" s="3">
        <v>0.65600000000000003</v>
      </c>
      <c r="O62" s="3">
        <v>15.3</v>
      </c>
      <c r="P62" s="3">
        <v>5.0999999999999996</v>
      </c>
      <c r="Q62" s="3">
        <v>2.1</v>
      </c>
      <c r="R62" s="3">
        <v>1.1000000000000001</v>
      </c>
      <c r="S62" s="3">
        <v>0.1</v>
      </c>
      <c r="T62" s="3">
        <v>3.0000000000000001E-3</v>
      </c>
      <c r="U62" s="3">
        <v>-5.2</v>
      </c>
      <c r="V62" s="3">
        <v>-1.4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924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925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926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927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928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929</v>
      </c>
      <c r="E70" s="3" t="s"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930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931</v>
      </c>
      <c r="E72" s="3" t="s">
        <v>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932</v>
      </c>
      <c r="E73" s="3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4:37">
      <c r="D74" s="3" t="s">
        <v>933</v>
      </c>
      <c r="E74" s="3" t="s">
        <v>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4:37">
      <c r="D75" s="3" t="s">
        <v>934</v>
      </c>
      <c r="E75" s="3" t="s">
        <v>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4:37">
      <c r="D76" s="3" t="s">
        <v>935</v>
      </c>
      <c r="E76" s="3" t="s">
        <v>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4:37">
      <c r="D77" s="3" t="s">
        <v>936</v>
      </c>
      <c r="E77" s="3" t="s">
        <v>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4:37">
      <c r="D78" s="3" t="s">
        <v>937</v>
      </c>
      <c r="E78" s="3" t="s">
        <v>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4:37">
      <c r="D79" s="3" t="s">
        <v>938</v>
      </c>
      <c r="E79" s="3" t="s">
        <v>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4:37">
      <c r="D80" s="3" t="s">
        <v>939</v>
      </c>
      <c r="E80" s="3" t="s">
        <v>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4:37">
      <c r="D81" s="3" t="s">
        <v>940</v>
      </c>
      <c r="E81" s="3" t="s">
        <v>722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</sheetData>
  <conditionalFormatting sqref="G1:G62">
    <cfRule type="cellIs" dxfId="16" priority="1" operator="greaterThan">
      <formula>82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A019-66B1-8C4F-B09D-CF9F2B77F64A}">
  <dimension ref="A1:AK71"/>
  <sheetViews>
    <sheetView zoomScale="189" workbookViewId="0">
      <pane ySplit="1" topLeftCell="A59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5" width="16.875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4.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135</v>
      </c>
      <c r="D2" s="3" t="s">
        <v>941</v>
      </c>
      <c r="E2" s="3" t="s">
        <v>173</v>
      </c>
      <c r="F2" s="3">
        <v>10</v>
      </c>
      <c r="G2" s="3">
        <v>620</v>
      </c>
      <c r="H2" s="3">
        <v>21080</v>
      </c>
      <c r="I2" s="3">
        <v>14249</v>
      </c>
      <c r="J2" s="3">
        <v>6851</v>
      </c>
      <c r="K2" s="3">
        <v>1969</v>
      </c>
      <c r="L2" s="3">
        <v>0.52400000000000002</v>
      </c>
      <c r="M2" s="3">
        <v>0.4</v>
      </c>
      <c r="N2" s="3">
        <v>0.83899999999999997</v>
      </c>
      <c r="O2" s="3">
        <v>34</v>
      </c>
      <c r="P2" s="3">
        <v>23</v>
      </c>
      <c r="Q2" s="3">
        <v>11.1</v>
      </c>
      <c r="R2" s="3">
        <v>3.2</v>
      </c>
      <c r="S2" s="3">
        <v>82.4</v>
      </c>
      <c r="T2" s="3">
        <v>0.188</v>
      </c>
      <c r="U2" s="3">
        <v>4.5</v>
      </c>
      <c r="V2" s="3">
        <v>34.4</v>
      </c>
    </row>
    <row r="3" spans="1:22" hidden="1">
      <c r="A3" s="1">
        <v>2</v>
      </c>
      <c r="B3" s="3">
        <v>2</v>
      </c>
      <c r="C3" s="3" t="s">
        <v>31</v>
      </c>
      <c r="D3" s="3" t="s">
        <v>942</v>
      </c>
      <c r="E3" s="3" t="s">
        <v>404</v>
      </c>
      <c r="F3" s="3">
        <v>10</v>
      </c>
      <c r="G3" s="3">
        <v>614</v>
      </c>
      <c r="H3" s="3">
        <v>18370</v>
      </c>
      <c r="I3" s="3">
        <v>10694</v>
      </c>
      <c r="J3" s="3">
        <v>2074</v>
      </c>
      <c r="K3" s="3">
        <v>3510</v>
      </c>
      <c r="L3" s="3">
        <v>0.42799999999999999</v>
      </c>
      <c r="M3" s="3">
        <v>0.36699999999999999</v>
      </c>
      <c r="N3" s="3">
        <v>0.79700000000000004</v>
      </c>
      <c r="O3" s="3">
        <v>29.9</v>
      </c>
      <c r="P3" s="3">
        <v>17.399999999999999</v>
      </c>
      <c r="Q3" s="3">
        <v>3.4</v>
      </c>
      <c r="R3" s="3">
        <v>5.7</v>
      </c>
      <c r="S3" s="3">
        <v>26.3</v>
      </c>
      <c r="T3" s="3">
        <v>6.9000000000000006E-2</v>
      </c>
      <c r="U3" s="3">
        <v>0.7</v>
      </c>
      <c r="V3" s="3">
        <v>12.4</v>
      </c>
    </row>
    <row r="4" spans="1:22" hidden="1">
      <c r="A4" s="1">
        <v>3</v>
      </c>
      <c r="B4" s="3">
        <v>3</v>
      </c>
      <c r="C4" s="3" t="s">
        <v>66</v>
      </c>
      <c r="D4" s="3" t="s">
        <v>943</v>
      </c>
      <c r="E4" s="3" t="s">
        <v>171</v>
      </c>
      <c r="F4" s="3">
        <v>6</v>
      </c>
      <c r="G4" s="3">
        <v>247</v>
      </c>
      <c r="H4" s="3">
        <v>4827</v>
      </c>
      <c r="I4" s="3">
        <v>2566</v>
      </c>
      <c r="J4" s="3">
        <v>1169</v>
      </c>
      <c r="K4" s="3">
        <v>225</v>
      </c>
      <c r="L4" s="3">
        <v>0.54200000000000004</v>
      </c>
      <c r="M4" s="3">
        <v>0.222</v>
      </c>
      <c r="N4" s="3">
        <v>0.67600000000000005</v>
      </c>
      <c r="O4" s="3">
        <v>19.5</v>
      </c>
      <c r="P4" s="3">
        <v>10.4</v>
      </c>
      <c r="Q4" s="3">
        <v>4.7</v>
      </c>
      <c r="R4" s="3">
        <v>0.9</v>
      </c>
      <c r="S4" s="3">
        <v>7.2</v>
      </c>
      <c r="T4" s="3">
        <v>7.0999999999999994E-2</v>
      </c>
      <c r="U4" s="3">
        <v>-2</v>
      </c>
      <c r="V4" s="3">
        <v>0</v>
      </c>
    </row>
    <row r="5" spans="1:22" hidden="1">
      <c r="A5" s="1">
        <v>4</v>
      </c>
      <c r="B5" s="3">
        <v>4</v>
      </c>
      <c r="C5" s="3" t="s">
        <v>50</v>
      </c>
      <c r="D5" s="3" t="s">
        <v>944</v>
      </c>
      <c r="E5" s="2"/>
      <c r="F5" s="3">
        <v>9</v>
      </c>
      <c r="G5" s="3">
        <v>486</v>
      </c>
      <c r="H5" s="3">
        <v>14967</v>
      </c>
      <c r="I5" s="3">
        <v>9538</v>
      </c>
      <c r="J5" s="3">
        <v>3793</v>
      </c>
      <c r="K5" s="3">
        <v>881</v>
      </c>
      <c r="L5" s="3">
        <v>0.46</v>
      </c>
      <c r="M5" s="3">
        <v>0.36399999999999999</v>
      </c>
      <c r="N5" s="3">
        <v>0.83099999999999996</v>
      </c>
      <c r="O5" s="3">
        <v>30.8</v>
      </c>
      <c r="P5" s="3">
        <v>19.600000000000001</v>
      </c>
      <c r="Q5" s="3">
        <v>7.8</v>
      </c>
      <c r="R5" s="3">
        <v>1.8</v>
      </c>
      <c r="S5" s="3">
        <v>46.3</v>
      </c>
      <c r="T5" s="3">
        <v>0.14799999999999999</v>
      </c>
      <c r="U5" s="3">
        <v>2.6</v>
      </c>
      <c r="V5" s="3">
        <v>17.5</v>
      </c>
    </row>
    <row r="6" spans="1:22" hidden="1">
      <c r="A6" s="1">
        <v>5</v>
      </c>
      <c r="B6" s="3">
        <v>5</v>
      </c>
      <c r="C6" s="3" t="s">
        <v>179</v>
      </c>
      <c r="D6" s="3" t="s">
        <v>945</v>
      </c>
      <c r="E6" s="2"/>
      <c r="F6" s="3">
        <v>5</v>
      </c>
      <c r="G6" s="3">
        <v>330</v>
      </c>
      <c r="H6" s="3">
        <v>6107</v>
      </c>
      <c r="I6" s="3">
        <v>2284</v>
      </c>
      <c r="J6" s="3">
        <v>1026</v>
      </c>
      <c r="K6" s="3">
        <v>415</v>
      </c>
      <c r="L6" s="3">
        <v>0.41699999999999998</v>
      </c>
      <c r="M6" s="3">
        <v>0.31900000000000001</v>
      </c>
      <c r="N6" s="3">
        <v>0.81200000000000006</v>
      </c>
      <c r="O6" s="3">
        <v>18.5</v>
      </c>
      <c r="P6" s="3">
        <v>6.9</v>
      </c>
      <c r="Q6" s="3">
        <v>3.1</v>
      </c>
      <c r="R6" s="3">
        <v>1.3</v>
      </c>
      <c r="S6" s="3">
        <v>3.2</v>
      </c>
      <c r="T6" s="3">
        <v>2.5000000000000001E-2</v>
      </c>
      <c r="U6" s="3">
        <v>-2.8</v>
      </c>
      <c r="V6" s="3">
        <v>-1.2</v>
      </c>
    </row>
    <row r="7" spans="1:22" hidden="1">
      <c r="A7" s="1">
        <v>6</v>
      </c>
      <c r="B7" s="3">
        <v>6</v>
      </c>
      <c r="C7" s="3" t="s">
        <v>36</v>
      </c>
      <c r="D7" s="3" t="s">
        <v>946</v>
      </c>
      <c r="E7" s="3" t="s">
        <v>173</v>
      </c>
      <c r="F7" s="3">
        <v>7</v>
      </c>
      <c r="G7" s="3">
        <v>422</v>
      </c>
      <c r="H7" s="3">
        <v>9276</v>
      </c>
      <c r="I7" s="3">
        <v>3675</v>
      </c>
      <c r="J7" s="3">
        <v>2470</v>
      </c>
      <c r="K7" s="3">
        <v>598</v>
      </c>
      <c r="L7" s="3">
        <v>0.54400000000000004</v>
      </c>
      <c r="M7" s="3">
        <v>0.188</v>
      </c>
      <c r="N7" s="3">
        <v>0.61199999999999999</v>
      </c>
      <c r="O7" s="3">
        <v>22</v>
      </c>
      <c r="P7" s="3">
        <v>8.6999999999999993</v>
      </c>
      <c r="Q7" s="3">
        <v>5.9</v>
      </c>
      <c r="R7" s="3">
        <v>1.4</v>
      </c>
      <c r="S7" s="3">
        <v>23.3</v>
      </c>
      <c r="T7" s="3">
        <v>0.121</v>
      </c>
      <c r="U7" s="3">
        <v>-0.1</v>
      </c>
      <c r="V7" s="3">
        <v>4.4000000000000004</v>
      </c>
    </row>
    <row r="8" spans="1:22" hidden="1">
      <c r="A8" s="1">
        <v>7</v>
      </c>
      <c r="B8" s="3">
        <v>7</v>
      </c>
      <c r="C8" s="3" t="s">
        <v>23</v>
      </c>
      <c r="D8" s="3" t="s">
        <v>947</v>
      </c>
      <c r="E8" s="2"/>
      <c r="F8" s="3">
        <v>6</v>
      </c>
      <c r="G8" s="3">
        <v>302</v>
      </c>
      <c r="H8" s="3">
        <v>7187</v>
      </c>
      <c r="I8" s="3">
        <v>3299</v>
      </c>
      <c r="J8" s="3">
        <v>884</v>
      </c>
      <c r="K8" s="3">
        <v>1143</v>
      </c>
      <c r="L8" s="3">
        <v>0.40100000000000002</v>
      </c>
      <c r="M8" s="3">
        <v>0.32300000000000001</v>
      </c>
      <c r="N8" s="3">
        <v>0.74399999999999999</v>
      </c>
      <c r="O8" s="3">
        <v>23.8</v>
      </c>
      <c r="P8" s="3">
        <v>10.9</v>
      </c>
      <c r="Q8" s="3">
        <v>2.9</v>
      </c>
      <c r="R8" s="3">
        <v>3.8</v>
      </c>
      <c r="S8" s="3">
        <v>-0.2</v>
      </c>
      <c r="T8" s="3">
        <v>-1E-3</v>
      </c>
      <c r="U8" s="3">
        <v>-3.2</v>
      </c>
      <c r="V8" s="3">
        <v>-2.2000000000000002</v>
      </c>
    </row>
    <row r="9" spans="1:22" hidden="1">
      <c r="A9" s="1">
        <v>8</v>
      </c>
      <c r="B9" s="3">
        <v>8</v>
      </c>
      <c r="C9" s="3" t="s">
        <v>34</v>
      </c>
      <c r="D9" s="3" t="s">
        <v>948</v>
      </c>
      <c r="E9" s="3" t="s">
        <v>224</v>
      </c>
      <c r="F9" s="3">
        <v>8</v>
      </c>
      <c r="G9" s="3">
        <v>449</v>
      </c>
      <c r="H9" s="3">
        <v>8879</v>
      </c>
      <c r="I9" s="3">
        <v>2806</v>
      </c>
      <c r="J9" s="3">
        <v>1404</v>
      </c>
      <c r="K9" s="3">
        <v>679</v>
      </c>
      <c r="L9" s="3">
        <v>0.39100000000000001</v>
      </c>
      <c r="M9" s="3">
        <v>0.30499999999999999</v>
      </c>
      <c r="N9" s="3">
        <v>0.748</v>
      </c>
      <c r="O9" s="3">
        <v>19.8</v>
      </c>
      <c r="P9" s="3">
        <v>6.2</v>
      </c>
      <c r="Q9" s="3">
        <v>3.1</v>
      </c>
      <c r="R9" s="3">
        <v>1.5</v>
      </c>
      <c r="S9" s="3">
        <v>6.9</v>
      </c>
      <c r="T9" s="3">
        <v>3.6999999999999998E-2</v>
      </c>
      <c r="U9" s="3">
        <v>-2.7</v>
      </c>
      <c r="V9" s="3">
        <v>-1.6</v>
      </c>
    </row>
    <row r="10" spans="1:22" hidden="1">
      <c r="A10" s="1">
        <v>9</v>
      </c>
      <c r="B10" s="3">
        <v>9</v>
      </c>
      <c r="C10" s="3" t="s">
        <v>119</v>
      </c>
      <c r="D10" s="3" t="s">
        <v>949</v>
      </c>
      <c r="E10" s="3" t="s">
        <v>453</v>
      </c>
      <c r="F10" s="3">
        <v>8</v>
      </c>
      <c r="G10" s="3">
        <v>413</v>
      </c>
      <c r="H10" s="3">
        <v>8160</v>
      </c>
      <c r="I10" s="3">
        <v>3630</v>
      </c>
      <c r="J10" s="3">
        <v>1579</v>
      </c>
      <c r="K10" s="3">
        <v>651</v>
      </c>
      <c r="L10" s="3">
        <v>0.43</v>
      </c>
      <c r="M10" s="3">
        <v>0.34899999999999998</v>
      </c>
      <c r="N10" s="3">
        <v>0.746</v>
      </c>
      <c r="O10" s="3">
        <v>19.8</v>
      </c>
      <c r="P10" s="3">
        <v>8.8000000000000007</v>
      </c>
      <c r="Q10" s="3">
        <v>3.8</v>
      </c>
      <c r="R10" s="3">
        <v>1.6</v>
      </c>
      <c r="S10" s="3">
        <v>15.9</v>
      </c>
      <c r="T10" s="3">
        <v>9.4E-2</v>
      </c>
      <c r="U10" s="3">
        <v>-0.2</v>
      </c>
      <c r="V10" s="3">
        <v>3.7</v>
      </c>
    </row>
    <row r="11" spans="1:22" hidden="1">
      <c r="A11" s="1">
        <v>10</v>
      </c>
      <c r="B11" s="3">
        <v>10</v>
      </c>
      <c r="C11" s="3" t="s">
        <v>72</v>
      </c>
      <c r="D11" s="3" t="s">
        <v>950</v>
      </c>
      <c r="E11" s="3" t="s">
        <v>171</v>
      </c>
      <c r="F11" s="3">
        <v>8</v>
      </c>
      <c r="G11" s="3">
        <v>344</v>
      </c>
      <c r="H11" s="3">
        <v>8906</v>
      </c>
      <c r="I11" s="3">
        <v>2829</v>
      </c>
      <c r="J11" s="3">
        <v>1760</v>
      </c>
      <c r="K11" s="3">
        <v>889</v>
      </c>
      <c r="L11" s="3">
        <v>0.41199999999999998</v>
      </c>
      <c r="M11" s="3">
        <v>0.315</v>
      </c>
      <c r="N11" s="3">
        <v>0.63800000000000001</v>
      </c>
      <c r="O11" s="3">
        <v>25.9</v>
      </c>
      <c r="P11" s="3">
        <v>8.1999999999999993</v>
      </c>
      <c r="Q11" s="3">
        <v>5.0999999999999996</v>
      </c>
      <c r="R11" s="3">
        <v>2.6</v>
      </c>
      <c r="S11" s="3">
        <v>8.1999999999999993</v>
      </c>
      <c r="T11" s="3">
        <v>4.3999999999999997E-2</v>
      </c>
      <c r="U11" s="3">
        <v>-2.1</v>
      </c>
      <c r="V11" s="3">
        <v>-0.3</v>
      </c>
    </row>
    <row r="12" spans="1:22" hidden="1">
      <c r="A12" s="1">
        <v>11</v>
      </c>
      <c r="B12" s="3">
        <v>11</v>
      </c>
      <c r="C12" s="3" t="s">
        <v>41</v>
      </c>
      <c r="D12" s="3" t="s">
        <v>951</v>
      </c>
      <c r="E12" s="3" t="s">
        <v>530</v>
      </c>
      <c r="F12" s="3">
        <v>10</v>
      </c>
      <c r="G12" s="3">
        <v>616</v>
      </c>
      <c r="H12" s="3">
        <v>17687</v>
      </c>
      <c r="I12" s="3">
        <v>8605</v>
      </c>
      <c r="J12" s="3">
        <v>4180</v>
      </c>
      <c r="K12" s="3">
        <v>772</v>
      </c>
      <c r="L12" s="3">
        <v>0.5</v>
      </c>
      <c r="M12" s="3">
        <v>0.36</v>
      </c>
      <c r="N12" s="3">
        <v>0.77</v>
      </c>
      <c r="O12" s="3">
        <v>28.7</v>
      </c>
      <c r="P12" s="3">
        <v>14</v>
      </c>
      <c r="Q12" s="3">
        <v>6.8</v>
      </c>
      <c r="R12" s="3">
        <v>1.3</v>
      </c>
      <c r="S12" s="3">
        <v>46.2</v>
      </c>
      <c r="T12" s="3">
        <v>0.125</v>
      </c>
      <c r="U12" s="3">
        <v>0.7</v>
      </c>
      <c r="V12" s="3">
        <v>12</v>
      </c>
    </row>
    <row r="13" spans="1:22" hidden="1">
      <c r="A13" s="1">
        <v>12</v>
      </c>
      <c r="B13" s="3">
        <v>12</v>
      </c>
      <c r="C13" s="3" t="s">
        <v>193</v>
      </c>
      <c r="D13" s="3" t="s">
        <v>952</v>
      </c>
      <c r="E13" s="3" t="s">
        <v>173</v>
      </c>
      <c r="F13" s="3">
        <v>10</v>
      </c>
      <c r="G13" s="3">
        <v>623</v>
      </c>
      <c r="H13" s="3">
        <v>11435</v>
      </c>
      <c r="I13" s="3">
        <v>4754</v>
      </c>
      <c r="J13" s="3">
        <v>2702</v>
      </c>
      <c r="K13" s="3">
        <v>655</v>
      </c>
      <c r="L13" s="3">
        <v>0.44</v>
      </c>
      <c r="M13" s="3">
        <v>0.34599999999999997</v>
      </c>
      <c r="N13" s="3">
        <v>0.745</v>
      </c>
      <c r="O13" s="3">
        <v>18.399999999999999</v>
      </c>
      <c r="P13" s="3">
        <v>7.6</v>
      </c>
      <c r="Q13" s="3">
        <v>4.3</v>
      </c>
      <c r="R13" s="3">
        <v>1.1000000000000001</v>
      </c>
      <c r="S13" s="3">
        <v>20.8</v>
      </c>
      <c r="T13" s="3">
        <v>8.6999999999999994E-2</v>
      </c>
      <c r="U13" s="3">
        <v>-1.1000000000000001</v>
      </c>
      <c r="V13" s="3">
        <v>2.7</v>
      </c>
    </row>
    <row r="14" spans="1:22" hidden="1">
      <c r="A14" s="1">
        <v>13</v>
      </c>
      <c r="B14" s="3">
        <v>13</v>
      </c>
      <c r="C14" s="3" t="s">
        <v>323</v>
      </c>
      <c r="D14" s="3" t="s">
        <v>953</v>
      </c>
      <c r="E14" s="3" t="s">
        <v>173</v>
      </c>
      <c r="F14" s="3">
        <v>10</v>
      </c>
      <c r="G14" s="3">
        <v>645</v>
      </c>
      <c r="H14" s="3">
        <v>22099</v>
      </c>
      <c r="I14" s="3">
        <v>15768</v>
      </c>
      <c r="J14" s="3">
        <v>2605</v>
      </c>
      <c r="K14" s="3">
        <v>3304</v>
      </c>
      <c r="L14" s="3">
        <v>0.46400000000000002</v>
      </c>
      <c r="M14" s="3">
        <v>0.35599999999999998</v>
      </c>
      <c r="N14" s="3">
        <v>0.873</v>
      </c>
      <c r="O14" s="3">
        <v>34.299999999999997</v>
      </c>
      <c r="P14" s="3">
        <v>24.4</v>
      </c>
      <c r="Q14" s="3">
        <v>4</v>
      </c>
      <c r="R14" s="3">
        <v>5.0999999999999996</v>
      </c>
      <c r="S14" s="3">
        <v>50</v>
      </c>
      <c r="T14" s="3">
        <v>0.109</v>
      </c>
      <c r="U14" s="3">
        <v>1.2</v>
      </c>
      <c r="V14" s="3">
        <v>17.7</v>
      </c>
    </row>
    <row r="15" spans="1:22" hidden="1">
      <c r="A15" s="1">
        <v>14</v>
      </c>
      <c r="B15" s="3">
        <v>14</v>
      </c>
      <c r="C15" s="3" t="s">
        <v>82</v>
      </c>
      <c r="D15" s="3" t="s">
        <v>954</v>
      </c>
      <c r="E15" s="3" t="s">
        <v>644</v>
      </c>
      <c r="F15" s="3">
        <v>10</v>
      </c>
      <c r="G15" s="3">
        <v>451</v>
      </c>
      <c r="H15" s="3">
        <v>7926</v>
      </c>
      <c r="I15" s="3">
        <v>3539</v>
      </c>
      <c r="J15" s="3">
        <v>912</v>
      </c>
      <c r="K15" s="3">
        <v>1439</v>
      </c>
      <c r="L15" s="3">
        <v>0.42199999999999999</v>
      </c>
      <c r="M15" s="3">
        <v>0.371</v>
      </c>
      <c r="N15" s="3">
        <v>0.83199999999999996</v>
      </c>
      <c r="O15" s="3">
        <v>17.600000000000001</v>
      </c>
      <c r="P15" s="3">
        <v>7.8</v>
      </c>
      <c r="Q15" s="3">
        <v>2</v>
      </c>
      <c r="R15" s="3">
        <v>3.2</v>
      </c>
      <c r="S15" s="3">
        <v>13.6</v>
      </c>
      <c r="T15" s="3">
        <v>8.2000000000000003E-2</v>
      </c>
      <c r="U15" s="3">
        <v>-0.5</v>
      </c>
      <c r="V15" s="3">
        <v>3.1</v>
      </c>
    </row>
    <row r="16" spans="1:22" hidden="1">
      <c r="A16" s="1">
        <v>15</v>
      </c>
      <c r="B16" s="3">
        <v>15</v>
      </c>
      <c r="C16" s="3" t="s">
        <v>184</v>
      </c>
      <c r="D16" s="3" t="s">
        <v>955</v>
      </c>
      <c r="E16" s="3" t="s">
        <v>138</v>
      </c>
      <c r="F16" s="3">
        <v>10</v>
      </c>
      <c r="G16" s="3">
        <v>644</v>
      </c>
      <c r="H16" s="3">
        <v>17356</v>
      </c>
      <c r="I16" s="3">
        <v>8488</v>
      </c>
      <c r="J16" s="3">
        <v>2983</v>
      </c>
      <c r="K16" s="3">
        <v>730</v>
      </c>
      <c r="L16" s="3">
        <v>0.437</v>
      </c>
      <c r="M16" s="3">
        <v>0.32500000000000001</v>
      </c>
      <c r="N16" s="3">
        <v>0.75</v>
      </c>
      <c r="O16" s="3">
        <v>27</v>
      </c>
      <c r="P16" s="3">
        <v>13.2</v>
      </c>
      <c r="Q16" s="3">
        <v>4.5999999999999996</v>
      </c>
      <c r="R16" s="3">
        <v>1.1000000000000001</v>
      </c>
      <c r="S16" s="3">
        <v>24.6</v>
      </c>
      <c r="T16" s="3">
        <v>6.8000000000000005E-2</v>
      </c>
      <c r="U16" s="3">
        <v>-1.8</v>
      </c>
      <c r="V16" s="3">
        <v>0.7</v>
      </c>
    </row>
    <row r="17" spans="1:22" hidden="1">
      <c r="A17" s="1">
        <v>16</v>
      </c>
      <c r="B17" s="3">
        <v>16</v>
      </c>
      <c r="C17" s="3" t="s">
        <v>190</v>
      </c>
      <c r="D17" s="3" t="s">
        <v>956</v>
      </c>
      <c r="E17" s="3" t="s">
        <v>61</v>
      </c>
      <c r="F17" s="3">
        <v>10</v>
      </c>
      <c r="G17" s="3">
        <v>647</v>
      </c>
      <c r="H17" s="3">
        <v>18014</v>
      </c>
      <c r="I17" s="3">
        <v>9145</v>
      </c>
      <c r="J17" s="3">
        <v>2563</v>
      </c>
      <c r="K17" s="3">
        <v>2304</v>
      </c>
      <c r="L17" s="3">
        <v>0.42</v>
      </c>
      <c r="M17" s="3">
        <v>0.36299999999999999</v>
      </c>
      <c r="N17" s="3">
        <v>0.82899999999999996</v>
      </c>
      <c r="O17" s="3">
        <v>27.8</v>
      </c>
      <c r="P17" s="3">
        <v>14.1</v>
      </c>
      <c r="Q17" s="3">
        <v>4</v>
      </c>
      <c r="R17" s="3">
        <v>3.6</v>
      </c>
      <c r="S17" s="3">
        <v>30.6</v>
      </c>
      <c r="T17" s="3">
        <v>8.2000000000000003E-2</v>
      </c>
      <c r="U17" s="3">
        <v>0.3</v>
      </c>
      <c r="V17" s="3">
        <v>10.4</v>
      </c>
    </row>
    <row r="18" spans="1:22" hidden="1">
      <c r="A18" s="1">
        <v>17</v>
      </c>
      <c r="B18" s="3">
        <v>17</v>
      </c>
      <c r="C18" s="3" t="s">
        <v>57</v>
      </c>
      <c r="D18" s="3" t="s">
        <v>957</v>
      </c>
      <c r="E18" s="3" t="s">
        <v>901</v>
      </c>
      <c r="F18" s="3">
        <v>3</v>
      </c>
      <c r="G18" s="3">
        <v>139</v>
      </c>
      <c r="H18" s="3">
        <v>1671</v>
      </c>
      <c r="I18" s="3">
        <v>423</v>
      </c>
      <c r="J18" s="3">
        <v>158</v>
      </c>
      <c r="K18" s="3">
        <v>75</v>
      </c>
      <c r="L18" s="3">
        <v>0.33700000000000002</v>
      </c>
      <c r="M18" s="3">
        <v>0.313</v>
      </c>
      <c r="N18" s="3">
        <v>0.69199999999999995</v>
      </c>
      <c r="O18" s="3">
        <v>12</v>
      </c>
      <c r="P18" s="3">
        <v>3</v>
      </c>
      <c r="Q18" s="3">
        <v>1.1000000000000001</v>
      </c>
      <c r="R18" s="3">
        <v>0.5</v>
      </c>
      <c r="S18" s="3">
        <v>-0.6</v>
      </c>
      <c r="T18" s="3">
        <v>-1.7000000000000001E-2</v>
      </c>
      <c r="U18" s="3">
        <v>-4.7</v>
      </c>
      <c r="V18" s="3">
        <v>-1.2</v>
      </c>
    </row>
    <row r="19" spans="1:22" hidden="1">
      <c r="A19" s="1">
        <v>18</v>
      </c>
      <c r="B19" s="3">
        <v>18</v>
      </c>
      <c r="C19" s="3" t="s">
        <v>52</v>
      </c>
      <c r="D19" s="3" t="s">
        <v>958</v>
      </c>
      <c r="E19" s="3" t="s">
        <v>453</v>
      </c>
      <c r="F19" s="3">
        <v>5</v>
      </c>
      <c r="G19" s="3">
        <v>201</v>
      </c>
      <c r="H19" s="3">
        <v>3097</v>
      </c>
      <c r="I19" s="3">
        <v>1094</v>
      </c>
      <c r="J19" s="3">
        <v>607</v>
      </c>
      <c r="K19" s="3">
        <v>160</v>
      </c>
      <c r="L19" s="3">
        <v>0.47799999999999998</v>
      </c>
      <c r="M19" s="3">
        <v>0.28799999999999998</v>
      </c>
      <c r="N19" s="3">
        <v>0.60599999999999998</v>
      </c>
      <c r="O19" s="3">
        <v>15.4</v>
      </c>
      <c r="P19" s="3">
        <v>5.4</v>
      </c>
      <c r="Q19" s="3">
        <v>3</v>
      </c>
      <c r="R19" s="3">
        <v>0.8</v>
      </c>
      <c r="S19" s="3">
        <v>5.4</v>
      </c>
      <c r="T19" s="3">
        <v>8.3000000000000004E-2</v>
      </c>
      <c r="U19" s="3">
        <v>-1.4</v>
      </c>
      <c r="V19" s="3">
        <v>0.5</v>
      </c>
    </row>
    <row r="20" spans="1:22" hidden="1">
      <c r="A20" s="1">
        <v>19</v>
      </c>
      <c r="B20" s="3">
        <v>19</v>
      </c>
      <c r="C20" s="3" t="s">
        <v>69</v>
      </c>
      <c r="D20" s="3" t="s">
        <v>959</v>
      </c>
      <c r="E20" s="3" t="s">
        <v>117</v>
      </c>
      <c r="F20" s="3">
        <v>5</v>
      </c>
      <c r="G20" s="3">
        <v>279</v>
      </c>
      <c r="H20" s="3">
        <v>4998</v>
      </c>
      <c r="I20" s="3">
        <v>1692</v>
      </c>
      <c r="J20" s="3">
        <v>530</v>
      </c>
      <c r="K20" s="3">
        <v>805</v>
      </c>
      <c r="L20" s="3">
        <v>0.41099999999999998</v>
      </c>
      <c r="M20" s="3">
        <v>0.32300000000000001</v>
      </c>
      <c r="N20" s="3">
        <v>0.77</v>
      </c>
      <c r="O20" s="3">
        <v>17.899999999999999</v>
      </c>
      <c r="P20" s="3">
        <v>6.1</v>
      </c>
      <c r="Q20" s="3">
        <v>1.9</v>
      </c>
      <c r="R20" s="3">
        <v>2.9</v>
      </c>
      <c r="S20" s="3">
        <v>8.3000000000000007</v>
      </c>
      <c r="T20" s="3">
        <v>0.08</v>
      </c>
      <c r="U20" s="3">
        <v>-1.6</v>
      </c>
      <c r="V20" s="3">
        <v>0.5</v>
      </c>
    </row>
    <row r="21" spans="1:22" hidden="1">
      <c r="A21" s="1">
        <v>20</v>
      </c>
      <c r="B21" s="3">
        <v>20</v>
      </c>
      <c r="C21" s="3" t="s">
        <v>163</v>
      </c>
      <c r="D21" s="3" t="s">
        <v>960</v>
      </c>
      <c r="E21" s="3" t="s">
        <v>816</v>
      </c>
      <c r="F21" s="3">
        <v>10</v>
      </c>
      <c r="G21" s="3">
        <v>535</v>
      </c>
      <c r="H21" s="3">
        <v>10948</v>
      </c>
      <c r="I21" s="3">
        <v>3596</v>
      </c>
      <c r="J21" s="3">
        <v>1630</v>
      </c>
      <c r="K21" s="3">
        <v>1607</v>
      </c>
      <c r="L21" s="3">
        <v>0.44600000000000001</v>
      </c>
      <c r="M21" s="3">
        <v>0.34899999999999998</v>
      </c>
      <c r="N21" s="3">
        <v>0.80100000000000005</v>
      </c>
      <c r="O21" s="3">
        <v>20.5</v>
      </c>
      <c r="P21" s="3">
        <v>6.7</v>
      </c>
      <c r="Q21" s="3">
        <v>3</v>
      </c>
      <c r="R21" s="3">
        <v>3</v>
      </c>
      <c r="S21" s="3">
        <v>28.4</v>
      </c>
      <c r="T21" s="3">
        <v>0.124</v>
      </c>
      <c r="U21" s="3">
        <v>2</v>
      </c>
      <c r="V21" s="3">
        <v>10.9</v>
      </c>
    </row>
    <row r="22" spans="1:22" hidden="1">
      <c r="A22" s="1">
        <v>21</v>
      </c>
      <c r="B22" s="3">
        <v>21</v>
      </c>
      <c r="C22" s="3" t="s">
        <v>20</v>
      </c>
      <c r="D22" s="3" t="s">
        <v>961</v>
      </c>
      <c r="E22" s="3" t="s">
        <v>59</v>
      </c>
      <c r="F22" s="3">
        <v>6</v>
      </c>
      <c r="G22" s="3">
        <v>242</v>
      </c>
      <c r="H22" s="3">
        <v>3280</v>
      </c>
      <c r="I22" s="3">
        <v>1284</v>
      </c>
      <c r="J22" s="3">
        <v>621</v>
      </c>
      <c r="K22" s="3">
        <v>184</v>
      </c>
      <c r="L22" s="3">
        <v>0.41</v>
      </c>
      <c r="M22" s="3">
        <v>0.29199999999999998</v>
      </c>
      <c r="N22" s="3">
        <v>0.77500000000000002</v>
      </c>
      <c r="O22" s="3">
        <v>13.6</v>
      </c>
      <c r="P22" s="3">
        <v>5.3</v>
      </c>
      <c r="Q22" s="3">
        <v>2.6</v>
      </c>
      <c r="R22" s="3">
        <v>0.8</v>
      </c>
      <c r="S22" s="3">
        <v>4.9000000000000004</v>
      </c>
      <c r="T22" s="3">
        <v>7.1999999999999995E-2</v>
      </c>
      <c r="U22" s="3">
        <v>-1.5</v>
      </c>
      <c r="V22" s="3">
        <v>0.4</v>
      </c>
    </row>
    <row r="23" spans="1:22" hidden="1">
      <c r="A23" s="1">
        <v>22</v>
      </c>
      <c r="B23" s="3">
        <v>22</v>
      </c>
      <c r="C23" s="3" t="s">
        <v>99</v>
      </c>
      <c r="D23" s="3" t="s">
        <v>962</v>
      </c>
      <c r="E23" s="3" t="s">
        <v>84</v>
      </c>
      <c r="F23" s="3">
        <v>10</v>
      </c>
      <c r="G23" s="3">
        <v>649</v>
      </c>
      <c r="H23" s="3">
        <v>14774</v>
      </c>
      <c r="I23" s="3">
        <v>7754</v>
      </c>
      <c r="J23" s="3">
        <v>4644</v>
      </c>
      <c r="K23" s="3">
        <v>843</v>
      </c>
      <c r="L23" s="3">
        <v>0.47799999999999998</v>
      </c>
      <c r="M23" s="3">
        <v>0.38400000000000001</v>
      </c>
      <c r="N23" s="3">
        <v>0.76400000000000001</v>
      </c>
      <c r="O23" s="3">
        <v>22.8</v>
      </c>
      <c r="P23" s="3">
        <v>11.9</v>
      </c>
      <c r="Q23" s="3">
        <v>7.2</v>
      </c>
      <c r="R23" s="3">
        <v>1.3</v>
      </c>
      <c r="S23" s="3">
        <v>33.700000000000003</v>
      </c>
      <c r="T23" s="3">
        <v>0.109</v>
      </c>
      <c r="U23" s="3">
        <v>-0.4</v>
      </c>
      <c r="V23" s="3">
        <v>5.9</v>
      </c>
    </row>
    <row r="24" spans="1:22" hidden="1">
      <c r="A24" s="1">
        <v>23</v>
      </c>
      <c r="B24" s="3">
        <v>23</v>
      </c>
      <c r="C24" s="3" t="s">
        <v>124</v>
      </c>
      <c r="D24" s="3" t="s">
        <v>963</v>
      </c>
      <c r="E24" s="3" t="s">
        <v>224</v>
      </c>
      <c r="F24" s="3">
        <v>6</v>
      </c>
      <c r="G24" s="3">
        <v>305</v>
      </c>
      <c r="H24" s="3">
        <v>6759</v>
      </c>
      <c r="I24" s="3">
        <v>2760</v>
      </c>
      <c r="J24" s="3">
        <v>1684</v>
      </c>
      <c r="K24" s="3">
        <v>579</v>
      </c>
      <c r="L24" s="3">
        <v>0.44900000000000001</v>
      </c>
      <c r="M24" s="3">
        <v>0.21199999999999999</v>
      </c>
      <c r="N24" s="3">
        <v>0.73499999999999999</v>
      </c>
      <c r="O24" s="3">
        <v>22.2</v>
      </c>
      <c r="P24" s="3">
        <v>9</v>
      </c>
      <c r="Q24" s="3">
        <v>5.5</v>
      </c>
      <c r="R24" s="3">
        <v>1.9</v>
      </c>
      <c r="S24" s="3">
        <v>12.9</v>
      </c>
      <c r="T24" s="3">
        <v>9.0999999999999998E-2</v>
      </c>
      <c r="U24" s="3">
        <v>-0.7</v>
      </c>
      <c r="V24" s="3">
        <v>2.2999999999999998</v>
      </c>
    </row>
    <row r="25" spans="1:22" hidden="1">
      <c r="A25" s="1">
        <v>24</v>
      </c>
      <c r="B25" s="3">
        <v>24</v>
      </c>
      <c r="C25" s="3" t="s">
        <v>76</v>
      </c>
      <c r="D25" s="3" t="s">
        <v>964</v>
      </c>
      <c r="E25" s="3" t="s">
        <v>171</v>
      </c>
      <c r="F25" s="3">
        <v>10</v>
      </c>
      <c r="G25" s="3">
        <v>652</v>
      </c>
      <c r="H25" s="3">
        <v>13754</v>
      </c>
      <c r="I25" s="3">
        <v>4987</v>
      </c>
      <c r="J25" s="3">
        <v>1302</v>
      </c>
      <c r="K25" s="3">
        <v>2894</v>
      </c>
      <c r="L25" s="3">
        <v>0.44600000000000001</v>
      </c>
      <c r="M25" s="3">
        <v>0.374</v>
      </c>
      <c r="N25" s="3">
        <v>0.81899999999999995</v>
      </c>
      <c r="O25" s="3">
        <v>21.1</v>
      </c>
      <c r="P25" s="3">
        <v>7.6</v>
      </c>
      <c r="Q25" s="3">
        <v>2</v>
      </c>
      <c r="R25" s="3">
        <v>4.4000000000000004</v>
      </c>
      <c r="S25" s="3">
        <v>32.700000000000003</v>
      </c>
      <c r="T25" s="3">
        <v>0.114</v>
      </c>
      <c r="U25" s="3">
        <v>0.5</v>
      </c>
      <c r="V25" s="3">
        <v>8.8000000000000007</v>
      </c>
    </row>
    <row r="26" spans="1:22" hidden="1">
      <c r="A26" s="1">
        <v>25</v>
      </c>
      <c r="B26" s="3">
        <v>25</v>
      </c>
      <c r="C26" s="3" t="s">
        <v>152</v>
      </c>
      <c r="D26" s="3" t="s">
        <v>965</v>
      </c>
      <c r="E26" s="3" t="s">
        <v>145</v>
      </c>
      <c r="F26" s="3">
        <v>4</v>
      </c>
      <c r="G26" s="3">
        <v>184</v>
      </c>
      <c r="H26" s="3">
        <v>2927</v>
      </c>
      <c r="I26" s="3">
        <v>998</v>
      </c>
      <c r="J26" s="3">
        <v>639</v>
      </c>
      <c r="K26" s="3">
        <v>114</v>
      </c>
      <c r="L26" s="3">
        <v>0.434</v>
      </c>
      <c r="M26" s="3">
        <v>0.34599999999999997</v>
      </c>
      <c r="N26" s="3">
        <v>0.76600000000000001</v>
      </c>
      <c r="O26" s="3">
        <v>15.9</v>
      </c>
      <c r="P26" s="3">
        <v>5.4</v>
      </c>
      <c r="Q26" s="3">
        <v>3.5</v>
      </c>
      <c r="R26" s="3">
        <v>0.6</v>
      </c>
      <c r="S26" s="3">
        <v>3.2</v>
      </c>
      <c r="T26" s="3">
        <v>5.2999999999999999E-2</v>
      </c>
      <c r="U26" s="3">
        <v>-4.3</v>
      </c>
      <c r="V26" s="3">
        <v>-1.7</v>
      </c>
    </row>
    <row r="27" spans="1:22" hidden="1">
      <c r="A27" s="1">
        <v>26</v>
      </c>
      <c r="B27" s="3">
        <v>26</v>
      </c>
      <c r="C27" s="3" t="s">
        <v>79</v>
      </c>
      <c r="D27" s="3" t="s">
        <v>966</v>
      </c>
      <c r="E27" s="2"/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 spans="1:22" hidden="1">
      <c r="A28" s="1">
        <v>27</v>
      </c>
      <c r="B28" s="3">
        <v>27</v>
      </c>
      <c r="C28" s="3" t="s">
        <v>31</v>
      </c>
      <c r="D28" s="3" t="s">
        <v>967</v>
      </c>
      <c r="E28" s="3" t="s">
        <v>683</v>
      </c>
      <c r="F28" s="3">
        <v>10</v>
      </c>
      <c r="G28" s="3">
        <v>545</v>
      </c>
      <c r="H28" s="3">
        <v>12568</v>
      </c>
      <c r="I28" s="3">
        <v>4196</v>
      </c>
      <c r="J28" s="3">
        <v>3338</v>
      </c>
      <c r="K28" s="3">
        <v>1016</v>
      </c>
      <c r="L28" s="3">
        <v>0.53900000000000003</v>
      </c>
      <c r="M28" s="3">
        <v>0.35399999999999998</v>
      </c>
      <c r="N28" s="3">
        <v>0.69599999999999995</v>
      </c>
      <c r="O28" s="3">
        <v>23.1</v>
      </c>
      <c r="P28" s="3">
        <v>7.7</v>
      </c>
      <c r="Q28" s="3">
        <v>6.1</v>
      </c>
      <c r="R28" s="3">
        <v>1.9</v>
      </c>
      <c r="S28" s="3">
        <v>34.700000000000003</v>
      </c>
      <c r="T28" s="3">
        <v>0.13200000000000001</v>
      </c>
      <c r="U28" s="3">
        <v>1.2</v>
      </c>
      <c r="V28" s="3">
        <v>10.3</v>
      </c>
    </row>
    <row r="29" spans="1:22" hidden="1">
      <c r="A29" s="1">
        <v>28</v>
      </c>
      <c r="B29" s="3">
        <v>28</v>
      </c>
      <c r="C29" s="3" t="s">
        <v>190</v>
      </c>
      <c r="D29" s="3" t="s">
        <v>968</v>
      </c>
      <c r="E29" s="3" t="s">
        <v>969</v>
      </c>
      <c r="F29" s="3">
        <v>4</v>
      </c>
      <c r="G29" s="3">
        <v>45</v>
      </c>
      <c r="H29" s="3">
        <v>395</v>
      </c>
      <c r="I29" s="3">
        <v>133</v>
      </c>
      <c r="J29" s="3">
        <v>46</v>
      </c>
      <c r="K29" s="3">
        <v>19</v>
      </c>
      <c r="L29" s="3">
        <v>0.371</v>
      </c>
      <c r="M29" s="3">
        <v>0.29499999999999998</v>
      </c>
      <c r="N29" s="3">
        <v>0.81799999999999995</v>
      </c>
      <c r="O29" s="3">
        <v>8.8000000000000007</v>
      </c>
      <c r="P29" s="3">
        <v>3</v>
      </c>
      <c r="Q29" s="3">
        <v>1</v>
      </c>
      <c r="R29" s="3">
        <v>0.4</v>
      </c>
      <c r="S29" s="3">
        <v>0.4</v>
      </c>
      <c r="T29" s="3">
        <v>5.0999999999999997E-2</v>
      </c>
      <c r="U29" s="3">
        <v>-2</v>
      </c>
      <c r="V29" s="3">
        <v>0</v>
      </c>
    </row>
    <row r="30" spans="1:22" hidden="1">
      <c r="A30" s="1">
        <v>29</v>
      </c>
      <c r="B30" s="3">
        <v>29</v>
      </c>
      <c r="C30" s="3" t="s">
        <v>47</v>
      </c>
      <c r="D30" s="3" t="s">
        <v>970</v>
      </c>
      <c r="E30" s="3" t="s">
        <v>68</v>
      </c>
      <c r="F30" s="3">
        <v>3</v>
      </c>
      <c r="G30" s="3">
        <v>59</v>
      </c>
      <c r="H30" s="3">
        <v>532</v>
      </c>
      <c r="I30" s="3">
        <v>194</v>
      </c>
      <c r="J30" s="3">
        <v>112</v>
      </c>
      <c r="K30" s="3">
        <v>15</v>
      </c>
      <c r="L30" s="3">
        <v>0.42599999999999999</v>
      </c>
      <c r="M30" s="3">
        <v>0.30599999999999999</v>
      </c>
      <c r="N30" s="3">
        <v>0.54800000000000004</v>
      </c>
      <c r="O30" s="3">
        <v>9</v>
      </c>
      <c r="P30" s="3">
        <v>3.3</v>
      </c>
      <c r="Q30" s="3">
        <v>1.9</v>
      </c>
      <c r="R30" s="3">
        <v>0.3</v>
      </c>
      <c r="S30" s="3">
        <v>0.6</v>
      </c>
      <c r="T30" s="3">
        <v>5.3999999999999999E-2</v>
      </c>
      <c r="U30" s="3">
        <v>-2.5</v>
      </c>
      <c r="V30" s="3">
        <v>-0.1</v>
      </c>
    </row>
    <row r="31" spans="1:22" hidden="1">
      <c r="A31" s="1">
        <v>30</v>
      </c>
      <c r="B31" s="3">
        <v>30</v>
      </c>
      <c r="C31" s="3" t="s">
        <v>25</v>
      </c>
      <c r="D31" s="3" t="s">
        <v>971</v>
      </c>
      <c r="E31" s="3" t="s">
        <v>63</v>
      </c>
      <c r="F31" s="3">
        <v>10</v>
      </c>
      <c r="G31" s="3">
        <v>569</v>
      </c>
      <c r="H31" s="3">
        <v>9914</v>
      </c>
      <c r="I31" s="3">
        <v>2867</v>
      </c>
      <c r="J31" s="3">
        <v>3247</v>
      </c>
      <c r="K31" s="3">
        <v>923</v>
      </c>
      <c r="L31" s="3">
        <v>0.57799999999999996</v>
      </c>
      <c r="M31" s="3">
        <v>0.161</v>
      </c>
      <c r="N31" s="3">
        <v>0.60599999999999998</v>
      </c>
      <c r="O31" s="3">
        <v>17.399999999999999</v>
      </c>
      <c r="P31" s="3">
        <v>5</v>
      </c>
      <c r="Q31" s="3">
        <v>5.7</v>
      </c>
      <c r="R31" s="3">
        <v>1.6</v>
      </c>
      <c r="S31" s="3">
        <v>36</v>
      </c>
      <c r="T31" s="3">
        <v>0.17399999999999999</v>
      </c>
      <c r="U31" s="3">
        <v>0.4</v>
      </c>
      <c r="V31" s="3">
        <v>6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5">
      <c r="A33" s="1">
        <v>31</v>
      </c>
      <c r="B33" s="3">
        <v>31</v>
      </c>
      <c r="C33" s="3" t="s">
        <v>135</v>
      </c>
      <c r="D33" s="82" t="s">
        <v>196</v>
      </c>
      <c r="E33" s="2"/>
      <c r="F33" s="3">
        <v>7</v>
      </c>
      <c r="G33" s="3">
        <v>476</v>
      </c>
      <c r="H33" s="3">
        <v>10815</v>
      </c>
      <c r="I33" s="3">
        <v>4427</v>
      </c>
      <c r="J33" s="3">
        <v>1411</v>
      </c>
      <c r="K33" s="3">
        <v>933</v>
      </c>
      <c r="L33" s="3">
        <v>0.432</v>
      </c>
      <c r="M33" s="3">
        <v>0.35699999999999998</v>
      </c>
      <c r="N33" s="3">
        <v>0.71099999999999997</v>
      </c>
      <c r="O33" s="3">
        <v>22.7</v>
      </c>
      <c r="P33" s="3">
        <v>9.3000000000000007</v>
      </c>
      <c r="Q33" s="3">
        <v>3</v>
      </c>
      <c r="R33" s="3">
        <v>2</v>
      </c>
      <c r="S33" s="3">
        <v>12.5</v>
      </c>
      <c r="T33" s="3">
        <v>5.5E-2</v>
      </c>
      <c r="U33" s="3">
        <v>-2.1</v>
      </c>
      <c r="V33" s="3">
        <v>-0.3</v>
      </c>
      <c r="X33" s="53" t="s">
        <v>296</v>
      </c>
      <c r="Y33" s="3">
        <v>0</v>
      </c>
    </row>
    <row r="34" spans="1:25">
      <c r="A34" s="1">
        <v>32</v>
      </c>
      <c r="B34" s="3">
        <v>32</v>
      </c>
      <c r="C34" s="3" t="s">
        <v>52</v>
      </c>
      <c r="D34" s="89" t="s">
        <v>60</v>
      </c>
      <c r="E34" s="3" t="s">
        <v>61</v>
      </c>
      <c r="F34" s="3">
        <v>8</v>
      </c>
      <c r="G34" s="3">
        <v>515</v>
      </c>
      <c r="H34" s="3">
        <v>10544</v>
      </c>
      <c r="I34" s="3">
        <v>6220</v>
      </c>
      <c r="J34" s="3">
        <v>2588</v>
      </c>
      <c r="K34" s="3">
        <v>675</v>
      </c>
      <c r="L34" s="3">
        <v>0.61899999999999999</v>
      </c>
      <c r="M34" s="3">
        <v>0.108</v>
      </c>
      <c r="N34" s="3">
        <v>0.66400000000000003</v>
      </c>
      <c r="O34" s="3">
        <v>20.5</v>
      </c>
      <c r="P34" s="3">
        <v>12.1</v>
      </c>
      <c r="Q34" s="3">
        <v>5</v>
      </c>
      <c r="R34" s="3">
        <v>1.3</v>
      </c>
      <c r="S34" s="3">
        <v>42.9</v>
      </c>
      <c r="T34" s="3">
        <v>0.19500000000000001</v>
      </c>
      <c r="U34" s="3">
        <v>2.6</v>
      </c>
      <c r="V34" s="3">
        <v>12.2</v>
      </c>
      <c r="X34" s="54" t="s">
        <v>298</v>
      </c>
      <c r="Y34" s="3">
        <v>0</v>
      </c>
    </row>
    <row r="35" spans="1:25">
      <c r="A35" s="1">
        <v>33</v>
      </c>
      <c r="B35" s="3">
        <v>33</v>
      </c>
      <c r="C35" s="3" t="s">
        <v>190</v>
      </c>
      <c r="D35" s="67" t="s">
        <v>972</v>
      </c>
      <c r="E35" s="3" t="s">
        <v>145</v>
      </c>
      <c r="F35" s="3">
        <v>3</v>
      </c>
      <c r="G35" s="3">
        <v>64</v>
      </c>
      <c r="H35" s="3">
        <v>482</v>
      </c>
      <c r="I35" s="3">
        <v>152</v>
      </c>
      <c r="J35" s="3">
        <v>128</v>
      </c>
      <c r="K35" s="3">
        <v>17</v>
      </c>
      <c r="L35" s="3">
        <v>0.44900000000000001</v>
      </c>
      <c r="M35" s="3">
        <v>0.11799999999999999</v>
      </c>
      <c r="N35" s="3">
        <v>0.60499999999999998</v>
      </c>
      <c r="O35" s="3">
        <v>7.5</v>
      </c>
      <c r="P35" s="3">
        <v>2.4</v>
      </c>
      <c r="Q35" s="3">
        <v>2</v>
      </c>
      <c r="R35" s="3">
        <v>0.3</v>
      </c>
      <c r="S35" s="3">
        <v>0.5</v>
      </c>
      <c r="T35" s="3">
        <v>0.05</v>
      </c>
      <c r="U35" s="3">
        <v>-4.8</v>
      </c>
      <c r="V35" s="3">
        <v>-0.3</v>
      </c>
      <c r="X35" s="58" t="s">
        <v>39</v>
      </c>
      <c r="Y35" s="3">
        <v>2</v>
      </c>
    </row>
    <row r="36" spans="1:25">
      <c r="A36" s="1">
        <v>34</v>
      </c>
      <c r="B36" s="3">
        <v>34</v>
      </c>
      <c r="C36" s="3" t="s">
        <v>31</v>
      </c>
      <c r="D36" s="67" t="s">
        <v>973</v>
      </c>
      <c r="E36" s="3" t="s">
        <v>121</v>
      </c>
      <c r="F36" s="3">
        <v>3</v>
      </c>
      <c r="G36" s="3">
        <v>41</v>
      </c>
      <c r="H36" s="3">
        <v>762</v>
      </c>
      <c r="I36" s="3">
        <v>161</v>
      </c>
      <c r="J36" s="3">
        <v>103</v>
      </c>
      <c r="K36" s="3">
        <v>28</v>
      </c>
      <c r="L36" s="3">
        <v>0.32800000000000001</v>
      </c>
      <c r="M36" s="3">
        <v>0.28599999999999998</v>
      </c>
      <c r="N36" s="3">
        <v>0.85</v>
      </c>
      <c r="O36" s="3">
        <v>18.600000000000001</v>
      </c>
      <c r="P36" s="3">
        <v>3.9</v>
      </c>
      <c r="Q36" s="3">
        <v>2.5</v>
      </c>
      <c r="R36" s="3">
        <v>0.7</v>
      </c>
      <c r="S36" s="3">
        <v>-0.2</v>
      </c>
      <c r="T36" s="3">
        <v>-1.6E-2</v>
      </c>
      <c r="U36" s="3">
        <v>-5.0999999999999996</v>
      </c>
      <c r="V36" s="3">
        <v>-0.6</v>
      </c>
      <c r="X36" s="59" t="s">
        <v>106</v>
      </c>
      <c r="Y36" s="3">
        <v>3</v>
      </c>
    </row>
    <row r="37" spans="1:25">
      <c r="A37" s="1">
        <v>35</v>
      </c>
      <c r="B37" s="3">
        <v>35</v>
      </c>
      <c r="C37" s="3" t="s">
        <v>66</v>
      </c>
      <c r="D37" s="82" t="s">
        <v>197</v>
      </c>
      <c r="E37" s="2"/>
      <c r="F37" s="3">
        <v>7</v>
      </c>
      <c r="G37" s="3">
        <v>344</v>
      </c>
      <c r="H37" s="3">
        <v>5149</v>
      </c>
      <c r="I37" s="3">
        <v>2524</v>
      </c>
      <c r="J37" s="3">
        <v>1982</v>
      </c>
      <c r="K37" s="3">
        <v>364</v>
      </c>
      <c r="L37" s="3">
        <v>0.53300000000000003</v>
      </c>
      <c r="M37" s="3">
        <v>0.30599999999999999</v>
      </c>
      <c r="N37" s="3">
        <v>0.71299999999999997</v>
      </c>
      <c r="O37" s="3">
        <v>15</v>
      </c>
      <c r="P37" s="3">
        <v>7.3</v>
      </c>
      <c r="Q37" s="3">
        <v>5.8</v>
      </c>
      <c r="R37" s="3">
        <v>1.1000000000000001</v>
      </c>
      <c r="S37" s="3">
        <v>16.3</v>
      </c>
      <c r="T37" s="3">
        <v>0.152</v>
      </c>
      <c r="U37" s="3">
        <v>0.1</v>
      </c>
      <c r="V37" s="3">
        <v>2.8</v>
      </c>
      <c r="X37" s="60" t="s">
        <v>678</v>
      </c>
      <c r="Y37" s="3">
        <v>2</v>
      </c>
    </row>
    <row r="38" spans="1:25">
      <c r="A38" s="1">
        <v>36</v>
      </c>
      <c r="B38" s="3">
        <v>36</v>
      </c>
      <c r="C38" s="3" t="s">
        <v>135</v>
      </c>
      <c r="D38" s="67" t="s">
        <v>974</v>
      </c>
      <c r="E38" s="3" t="s">
        <v>68</v>
      </c>
      <c r="F38" s="3">
        <v>2</v>
      </c>
      <c r="G38" s="3">
        <v>30</v>
      </c>
      <c r="H38" s="3">
        <v>225</v>
      </c>
      <c r="I38" s="3">
        <v>63</v>
      </c>
      <c r="J38" s="3">
        <v>57</v>
      </c>
      <c r="K38" s="3">
        <v>4</v>
      </c>
      <c r="L38" s="3">
        <v>0.46700000000000003</v>
      </c>
      <c r="M38" s="2"/>
      <c r="N38" s="3">
        <v>0.72399999999999998</v>
      </c>
      <c r="O38" s="3">
        <v>7.5</v>
      </c>
      <c r="P38" s="3">
        <v>2.1</v>
      </c>
      <c r="Q38" s="3">
        <v>1.9</v>
      </c>
      <c r="R38" s="3">
        <v>0.1</v>
      </c>
      <c r="S38" s="3">
        <v>0.5</v>
      </c>
      <c r="T38" s="3">
        <v>0.105</v>
      </c>
      <c r="U38" s="3">
        <v>-4.7</v>
      </c>
      <c r="V38" s="3">
        <v>-0.2</v>
      </c>
      <c r="X38" s="84" t="s">
        <v>680</v>
      </c>
    </row>
    <row r="39" spans="1:25">
      <c r="A39" s="1">
        <v>37</v>
      </c>
      <c r="B39" s="3">
        <v>37</v>
      </c>
      <c r="C39" s="3" t="s">
        <v>66</v>
      </c>
      <c r="D39" s="80" t="s">
        <v>112</v>
      </c>
      <c r="E39" s="3" t="s">
        <v>113</v>
      </c>
      <c r="F39" s="3">
        <v>10</v>
      </c>
      <c r="G39" s="3">
        <v>473</v>
      </c>
      <c r="H39" s="3">
        <v>9051</v>
      </c>
      <c r="I39" s="3">
        <v>4012</v>
      </c>
      <c r="J39" s="3">
        <v>2502</v>
      </c>
      <c r="K39" s="3">
        <v>454</v>
      </c>
      <c r="L39" s="3">
        <v>0.60299999999999998</v>
      </c>
      <c r="M39" s="3">
        <v>0.27100000000000002</v>
      </c>
      <c r="N39" s="3">
        <v>0.747</v>
      </c>
      <c r="O39" s="3">
        <v>19.100000000000001</v>
      </c>
      <c r="P39" s="3">
        <v>8.5</v>
      </c>
      <c r="Q39" s="3">
        <v>5.3</v>
      </c>
      <c r="R39" s="3">
        <v>1</v>
      </c>
      <c r="S39" s="3">
        <v>29.4</v>
      </c>
      <c r="T39" s="3">
        <v>0.156</v>
      </c>
      <c r="U39" s="3">
        <v>0.1</v>
      </c>
      <c r="V39" s="3">
        <v>4.7</v>
      </c>
      <c r="X39" s="57" t="s">
        <v>111</v>
      </c>
    </row>
    <row r="40" spans="1:25">
      <c r="A40" s="1">
        <v>38</v>
      </c>
      <c r="B40" s="3">
        <v>38</v>
      </c>
      <c r="C40" s="3" t="s">
        <v>34</v>
      </c>
      <c r="D40" s="67" t="s">
        <v>975</v>
      </c>
      <c r="E40" s="3" t="s">
        <v>22</v>
      </c>
      <c r="F40" s="3">
        <v>3</v>
      </c>
      <c r="G40" s="3">
        <v>91</v>
      </c>
      <c r="H40" s="3">
        <v>859</v>
      </c>
      <c r="I40" s="3">
        <v>295</v>
      </c>
      <c r="J40" s="3">
        <v>85</v>
      </c>
      <c r="K40" s="3">
        <v>71</v>
      </c>
      <c r="L40" s="3">
        <v>0.377</v>
      </c>
      <c r="M40" s="3">
        <v>0.30399999999999999</v>
      </c>
      <c r="N40" s="3">
        <v>0.747</v>
      </c>
      <c r="O40" s="3">
        <v>9.4</v>
      </c>
      <c r="P40" s="3">
        <v>3.2</v>
      </c>
      <c r="Q40" s="3">
        <v>0.9</v>
      </c>
      <c r="R40" s="3">
        <v>0.8</v>
      </c>
      <c r="S40" s="3">
        <v>0.3</v>
      </c>
      <c r="T40" s="3">
        <v>1.6E-2</v>
      </c>
      <c r="U40" s="3">
        <v>-4.7</v>
      </c>
      <c r="V40" s="3">
        <v>-0.6</v>
      </c>
    </row>
    <row r="41" spans="1:25">
      <c r="A41" s="1">
        <v>39</v>
      </c>
      <c r="B41" s="3">
        <v>39</v>
      </c>
      <c r="C41" s="3" t="s">
        <v>119</v>
      </c>
      <c r="D41" s="67" t="s">
        <v>976</v>
      </c>
      <c r="E41" s="2"/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5">
      <c r="A42" s="1">
        <v>40</v>
      </c>
      <c r="B42" s="3">
        <v>40</v>
      </c>
      <c r="C42" s="3" t="s">
        <v>72</v>
      </c>
      <c r="D42" s="80" t="s">
        <v>114</v>
      </c>
      <c r="E42" s="3" t="s">
        <v>115</v>
      </c>
      <c r="F42" s="3">
        <v>10</v>
      </c>
      <c r="G42" s="3">
        <v>554</v>
      </c>
      <c r="H42" s="3">
        <v>15815</v>
      </c>
      <c r="I42" s="3">
        <v>6381</v>
      </c>
      <c r="J42" s="3">
        <v>1685</v>
      </c>
      <c r="K42" s="3">
        <v>1463</v>
      </c>
      <c r="L42" s="3">
        <v>0.42799999999999999</v>
      </c>
      <c r="M42" s="3">
        <v>0.36299999999999999</v>
      </c>
      <c r="N42" s="3">
        <v>0.84599999999999997</v>
      </c>
      <c r="O42" s="3">
        <v>28.5</v>
      </c>
      <c r="P42" s="3">
        <v>11.5</v>
      </c>
      <c r="Q42" s="3">
        <v>3</v>
      </c>
      <c r="R42" s="3">
        <v>2.6</v>
      </c>
      <c r="S42" s="3">
        <v>27.7</v>
      </c>
      <c r="T42" s="3">
        <v>8.4000000000000005E-2</v>
      </c>
      <c r="U42" s="3">
        <v>-0.6</v>
      </c>
      <c r="V42" s="3">
        <v>5.5</v>
      </c>
    </row>
    <row r="43" spans="1:25">
      <c r="A43" s="1">
        <v>41</v>
      </c>
      <c r="B43" s="3">
        <v>41</v>
      </c>
      <c r="C43" s="3" t="s">
        <v>47</v>
      </c>
      <c r="D43" s="80" t="s">
        <v>116</v>
      </c>
      <c r="E43" s="3" t="s">
        <v>117</v>
      </c>
      <c r="F43" s="3">
        <v>10</v>
      </c>
      <c r="G43" s="3">
        <v>583</v>
      </c>
      <c r="H43" s="3">
        <v>11281</v>
      </c>
      <c r="I43" s="3">
        <v>3492</v>
      </c>
      <c r="J43" s="3">
        <v>1996</v>
      </c>
      <c r="K43" s="3">
        <v>808</v>
      </c>
      <c r="L43" s="3">
        <v>0.435</v>
      </c>
      <c r="M43" s="3">
        <v>0.35599999999999998</v>
      </c>
      <c r="N43" s="3">
        <v>0.77300000000000002</v>
      </c>
      <c r="O43" s="3">
        <v>19.3</v>
      </c>
      <c r="P43" s="3">
        <v>6</v>
      </c>
      <c r="Q43" s="3">
        <v>3.4</v>
      </c>
      <c r="R43" s="3">
        <v>1.4</v>
      </c>
      <c r="S43" s="3">
        <v>24.1</v>
      </c>
      <c r="T43" s="3">
        <v>0.10199999999999999</v>
      </c>
      <c r="U43" s="3">
        <v>-0.5</v>
      </c>
      <c r="V43" s="3">
        <v>4.4000000000000004</v>
      </c>
    </row>
    <row r="44" spans="1:25">
      <c r="A44" s="1">
        <v>42</v>
      </c>
      <c r="B44" s="3">
        <v>42</v>
      </c>
      <c r="C44" s="3" t="s">
        <v>193</v>
      </c>
      <c r="D44" s="67" t="s">
        <v>977</v>
      </c>
      <c r="E44" s="3" t="s">
        <v>364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</row>
    <row r="45" spans="1:25">
      <c r="A45" s="1">
        <v>43</v>
      </c>
      <c r="B45" s="3">
        <v>43</v>
      </c>
      <c r="C45" s="3" t="s">
        <v>41</v>
      </c>
      <c r="D45" s="67" t="s">
        <v>978</v>
      </c>
      <c r="E45" s="3" t="s">
        <v>55</v>
      </c>
      <c r="F45" s="3">
        <v>3</v>
      </c>
      <c r="G45" s="3">
        <v>127</v>
      </c>
      <c r="H45" s="3">
        <v>1077</v>
      </c>
      <c r="I45" s="3">
        <v>429</v>
      </c>
      <c r="J45" s="3">
        <v>130</v>
      </c>
      <c r="K45" s="3">
        <v>119</v>
      </c>
      <c r="L45" s="3">
        <v>0.39300000000000002</v>
      </c>
      <c r="M45" s="3">
        <v>0.29599999999999999</v>
      </c>
      <c r="N45" s="3">
        <v>0.76800000000000002</v>
      </c>
      <c r="O45" s="3">
        <v>8.5</v>
      </c>
      <c r="P45" s="3">
        <v>3.4</v>
      </c>
      <c r="Q45" s="3">
        <v>1</v>
      </c>
      <c r="R45" s="3">
        <v>0.9</v>
      </c>
      <c r="S45" s="3">
        <v>0.4</v>
      </c>
      <c r="T45" s="3">
        <v>1.6E-2</v>
      </c>
      <c r="U45" s="3">
        <v>-4.0999999999999996</v>
      </c>
      <c r="V45" s="3">
        <v>-0.6</v>
      </c>
    </row>
    <row r="46" spans="1:25">
      <c r="A46" s="1">
        <v>44</v>
      </c>
      <c r="B46" s="3">
        <v>44</v>
      </c>
      <c r="C46" s="3" t="s">
        <v>323</v>
      </c>
      <c r="D46" s="67" t="s">
        <v>979</v>
      </c>
      <c r="E46" s="3" t="s">
        <v>173</v>
      </c>
      <c r="F46" s="3">
        <v>3</v>
      </c>
      <c r="G46" s="3">
        <v>145</v>
      </c>
      <c r="H46" s="3">
        <v>2987</v>
      </c>
      <c r="I46" s="3">
        <v>1012</v>
      </c>
      <c r="J46" s="3">
        <v>287</v>
      </c>
      <c r="K46" s="3">
        <v>399</v>
      </c>
      <c r="L46" s="3">
        <v>0.373</v>
      </c>
      <c r="M46" s="3">
        <v>0.29399999999999998</v>
      </c>
      <c r="N46" s="3">
        <v>0.77900000000000003</v>
      </c>
      <c r="O46" s="3">
        <v>20.6</v>
      </c>
      <c r="P46" s="3">
        <v>7</v>
      </c>
      <c r="Q46" s="3">
        <v>2</v>
      </c>
      <c r="R46" s="3">
        <v>2.8</v>
      </c>
      <c r="S46" s="3">
        <v>3.2</v>
      </c>
      <c r="T46" s="3">
        <v>5.0999999999999997E-2</v>
      </c>
      <c r="U46" s="3">
        <v>-2.8</v>
      </c>
      <c r="V46" s="3">
        <v>-0.6</v>
      </c>
    </row>
    <row r="47" spans="1:25">
      <c r="A47" s="1">
        <v>45</v>
      </c>
      <c r="B47" s="3">
        <v>45</v>
      </c>
      <c r="C47" s="3" t="s">
        <v>190</v>
      </c>
      <c r="D47" s="67" t="s">
        <v>222</v>
      </c>
      <c r="E47" s="3" t="s">
        <v>980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spans="1:25">
      <c r="A48" s="1">
        <v>46</v>
      </c>
      <c r="B48" s="3">
        <v>46</v>
      </c>
      <c r="C48" s="3" t="s">
        <v>57</v>
      </c>
      <c r="D48" s="89" t="s">
        <v>62</v>
      </c>
      <c r="E48" s="3" t="s">
        <v>63</v>
      </c>
      <c r="F48" s="3">
        <v>10</v>
      </c>
      <c r="G48" s="3">
        <v>600</v>
      </c>
      <c r="H48" s="3">
        <v>14412</v>
      </c>
      <c r="I48" s="3">
        <v>7882</v>
      </c>
      <c r="J48" s="3">
        <v>1610</v>
      </c>
      <c r="K48" s="3">
        <v>913</v>
      </c>
      <c r="L48" s="3">
        <v>0.47199999999999998</v>
      </c>
      <c r="M48" s="3">
        <v>0.39900000000000002</v>
      </c>
      <c r="N48" s="3">
        <v>0.82699999999999996</v>
      </c>
      <c r="O48" s="3">
        <v>24</v>
      </c>
      <c r="P48" s="3">
        <v>13.1</v>
      </c>
      <c r="Q48" s="3">
        <v>2.7</v>
      </c>
      <c r="R48" s="3">
        <v>1.5</v>
      </c>
      <c r="S48" s="3">
        <v>31.7</v>
      </c>
      <c r="T48" s="3">
        <v>0.106</v>
      </c>
      <c r="U48" s="3">
        <v>0.1</v>
      </c>
      <c r="V48" s="3">
        <v>7.8</v>
      </c>
    </row>
    <row r="49" spans="1:37">
      <c r="A49" s="1">
        <v>47</v>
      </c>
      <c r="B49" s="3">
        <v>47</v>
      </c>
      <c r="C49" s="3" t="s">
        <v>66</v>
      </c>
      <c r="D49" s="67" t="s">
        <v>981</v>
      </c>
      <c r="E49" s="2"/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</row>
    <row r="50" spans="1:37">
      <c r="A50" s="1">
        <v>48</v>
      </c>
      <c r="B50" s="3">
        <v>48</v>
      </c>
      <c r="C50" s="3" t="s">
        <v>82</v>
      </c>
      <c r="D50" s="67" t="s">
        <v>982</v>
      </c>
      <c r="E50" s="3" t="s">
        <v>173</v>
      </c>
      <c r="F50" s="3">
        <v>1</v>
      </c>
      <c r="G50" s="3">
        <v>31</v>
      </c>
      <c r="H50" s="3">
        <v>161</v>
      </c>
      <c r="I50" s="3">
        <v>55</v>
      </c>
      <c r="J50" s="3">
        <v>34</v>
      </c>
      <c r="K50" s="3">
        <v>8</v>
      </c>
      <c r="L50" s="3">
        <v>0.56399999999999995</v>
      </c>
      <c r="M50" s="2"/>
      <c r="N50" s="3">
        <v>0.55000000000000004</v>
      </c>
      <c r="O50" s="3">
        <v>5.2</v>
      </c>
      <c r="P50" s="3">
        <v>1.8</v>
      </c>
      <c r="Q50" s="3">
        <v>1.1000000000000001</v>
      </c>
      <c r="R50" s="3">
        <v>0.3</v>
      </c>
      <c r="S50" s="3">
        <v>0.6</v>
      </c>
      <c r="T50" s="3">
        <v>0.17799999999999999</v>
      </c>
      <c r="U50" s="3">
        <v>-0.3</v>
      </c>
      <c r="V50" s="3">
        <v>0.1</v>
      </c>
    </row>
    <row r="51" spans="1:37">
      <c r="A51" s="1">
        <v>49</v>
      </c>
      <c r="B51" s="3">
        <v>49</v>
      </c>
      <c r="C51" s="3" t="s">
        <v>69</v>
      </c>
      <c r="D51" s="67" t="s">
        <v>983</v>
      </c>
      <c r="E51" s="3" t="s">
        <v>397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37">
      <c r="A52" s="1">
        <v>50</v>
      </c>
      <c r="B52" s="3">
        <v>50</v>
      </c>
      <c r="C52" s="3" t="s">
        <v>184</v>
      </c>
      <c r="D52" s="67" t="s">
        <v>984</v>
      </c>
      <c r="E52" s="2"/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37">
      <c r="A53" s="1">
        <v>51</v>
      </c>
      <c r="B53" s="3">
        <v>51</v>
      </c>
      <c r="C53" s="3" t="s">
        <v>179</v>
      </c>
      <c r="D53" s="67" t="s">
        <v>985</v>
      </c>
      <c r="E53" s="3" t="s">
        <v>986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37">
      <c r="A54" s="1">
        <v>52</v>
      </c>
      <c r="B54" s="3">
        <v>52</v>
      </c>
      <c r="C54" s="3" t="s">
        <v>20</v>
      </c>
      <c r="D54" s="67" t="s">
        <v>987</v>
      </c>
      <c r="E54" s="2"/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</row>
    <row r="55" spans="1:37">
      <c r="A55" s="1">
        <v>53</v>
      </c>
      <c r="B55" s="3">
        <v>53</v>
      </c>
      <c r="C55" s="3" t="s">
        <v>76</v>
      </c>
      <c r="D55" s="67" t="s">
        <v>988</v>
      </c>
      <c r="E55" s="3" t="s">
        <v>989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</row>
    <row r="56" spans="1:37">
      <c r="A56" s="1">
        <v>54</v>
      </c>
      <c r="B56" s="3">
        <v>54</v>
      </c>
      <c r="C56" s="3" t="s">
        <v>193</v>
      </c>
      <c r="D56" s="67" t="s">
        <v>990</v>
      </c>
      <c r="E56" s="2"/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</row>
    <row r="57" spans="1:37">
      <c r="A57" s="1">
        <v>55</v>
      </c>
      <c r="B57" s="3">
        <v>55</v>
      </c>
      <c r="C57" s="3" t="s">
        <v>79</v>
      </c>
      <c r="D57" s="67" t="s">
        <v>991</v>
      </c>
      <c r="E57" s="3" t="s">
        <v>992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</row>
    <row r="58" spans="1:37">
      <c r="A58" s="1">
        <v>56</v>
      </c>
      <c r="B58" s="3">
        <v>56</v>
      </c>
      <c r="C58" s="3" t="s">
        <v>44</v>
      </c>
      <c r="D58" s="67" t="s">
        <v>993</v>
      </c>
      <c r="E58" s="3" t="s">
        <v>27</v>
      </c>
      <c r="F58" s="3">
        <v>1</v>
      </c>
      <c r="G58" s="3">
        <v>6</v>
      </c>
      <c r="H58" s="3">
        <v>29</v>
      </c>
      <c r="I58" s="3">
        <v>5</v>
      </c>
      <c r="J58" s="3">
        <v>4</v>
      </c>
      <c r="K58" s="3">
        <v>0</v>
      </c>
      <c r="L58" s="3">
        <v>0.4</v>
      </c>
      <c r="M58" s="2"/>
      <c r="N58" s="3">
        <v>1</v>
      </c>
      <c r="O58" s="3">
        <v>4.8</v>
      </c>
      <c r="P58" s="3">
        <v>0.8</v>
      </c>
      <c r="Q58" s="3">
        <v>0.7</v>
      </c>
      <c r="R58" s="3">
        <v>0</v>
      </c>
      <c r="S58" s="3">
        <v>0</v>
      </c>
      <c r="T58" s="3">
        <v>6.9000000000000006E-2</v>
      </c>
      <c r="U58" s="3">
        <v>-5.7</v>
      </c>
      <c r="V58" s="3">
        <v>0</v>
      </c>
    </row>
    <row r="59" spans="1:37">
      <c r="A59" s="1">
        <v>57</v>
      </c>
      <c r="B59" s="3">
        <v>57</v>
      </c>
      <c r="C59" s="3" t="s">
        <v>23</v>
      </c>
      <c r="D59" s="67" t="s">
        <v>994</v>
      </c>
      <c r="E59" s="2"/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37">
      <c r="A60" s="1">
        <v>58</v>
      </c>
      <c r="B60" s="3">
        <v>58</v>
      </c>
      <c r="C60" s="3" t="s">
        <v>66</v>
      </c>
      <c r="D60" s="67" t="s">
        <v>995</v>
      </c>
      <c r="E60" s="3" t="s">
        <v>78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</row>
    <row r="61" spans="1:37">
      <c r="A61" s="1">
        <v>59</v>
      </c>
      <c r="B61" s="3">
        <v>59</v>
      </c>
      <c r="C61" s="3" t="s">
        <v>184</v>
      </c>
      <c r="D61" s="67" t="s">
        <v>996</v>
      </c>
      <c r="E61" s="2"/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</row>
    <row r="62" spans="1:37">
      <c r="A62" s="1">
        <v>60</v>
      </c>
      <c r="B62" s="3">
        <v>60</v>
      </c>
      <c r="C62" s="3" t="s">
        <v>66</v>
      </c>
      <c r="D62" s="67" t="s">
        <v>997</v>
      </c>
      <c r="E62" s="2"/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998</v>
      </c>
      <c r="E65" s="3" t="s">
        <v>506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999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1000</v>
      </c>
      <c r="E67" s="3" t="s">
        <v>1001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1002</v>
      </c>
      <c r="E68" s="3" t="s">
        <v>1001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2"/>
      <c r="AH68" s="3"/>
      <c r="AI68" s="3"/>
      <c r="AJ68" s="3"/>
      <c r="AK68" s="3"/>
    </row>
    <row r="69" spans="4:37">
      <c r="D69" s="3" t="s">
        <v>1003</v>
      </c>
      <c r="E69" s="3" t="s">
        <v>570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1004</v>
      </c>
      <c r="E70" s="3" t="s">
        <v>722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1005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</sheetData>
  <conditionalFormatting sqref="G1:G62">
    <cfRule type="cellIs" dxfId="15" priority="1" operator="greaterThan">
      <formula>82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A74D-B256-5445-90D3-F691D9E10B88}">
  <dimension ref="A1:AQ75"/>
  <sheetViews>
    <sheetView zoomScale="110" workbookViewId="0">
      <pane ySplit="1" topLeftCell="A33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7.875" bestFit="1" customWidth="1"/>
    <col min="5" max="5" width="11.875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5.375" bestFit="1" customWidth="1"/>
    <col min="20" max="20" width="5.875" bestFit="1" customWidth="1"/>
    <col min="21" max="21" width="4.5" bestFit="1" customWidth="1"/>
    <col min="22" max="22" width="5" bestFit="1" customWidth="1"/>
    <col min="24" max="24" width="10.625" customWidth="1"/>
  </cols>
  <sheetData>
    <row r="1" spans="1:35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35" hidden="1">
      <c r="A2" s="1">
        <v>1</v>
      </c>
      <c r="B2" s="3">
        <v>1</v>
      </c>
      <c r="C2" s="3" t="s">
        <v>76</v>
      </c>
      <c r="D2" s="3" t="s">
        <v>1006</v>
      </c>
      <c r="E2" s="3" t="s">
        <v>138</v>
      </c>
      <c r="F2" s="3">
        <v>11</v>
      </c>
      <c r="G2" s="3">
        <v>749</v>
      </c>
      <c r="H2" s="3">
        <v>25342</v>
      </c>
      <c r="I2" s="3">
        <v>13846</v>
      </c>
      <c r="J2" s="3">
        <v>3353</v>
      </c>
      <c r="K2" s="3">
        <v>1698</v>
      </c>
      <c r="L2" s="3">
        <v>0.44900000000000001</v>
      </c>
      <c r="M2" s="3">
        <v>0.35599999999999998</v>
      </c>
      <c r="N2" s="3">
        <v>0.72499999999999998</v>
      </c>
      <c r="O2" s="3">
        <v>33.799999999999997</v>
      </c>
      <c r="P2" s="3">
        <v>18.5</v>
      </c>
      <c r="Q2" s="3">
        <v>4.5</v>
      </c>
      <c r="R2" s="3">
        <v>2.2999999999999998</v>
      </c>
      <c r="S2" s="3">
        <v>32.200000000000003</v>
      </c>
      <c r="T2" s="3">
        <v>6.0999999999999999E-2</v>
      </c>
      <c r="U2" s="3">
        <v>-1.4</v>
      </c>
      <c r="V2" s="3">
        <v>3.7</v>
      </c>
    </row>
    <row r="3" spans="1:35" hidden="1">
      <c r="A3" s="1">
        <v>2</v>
      </c>
      <c r="B3" s="3">
        <v>2</v>
      </c>
      <c r="C3" s="3" t="s">
        <v>57</v>
      </c>
      <c r="D3" s="3" t="s">
        <v>1007</v>
      </c>
      <c r="E3" s="3" t="s">
        <v>171</v>
      </c>
      <c r="F3" s="3">
        <v>8</v>
      </c>
      <c r="G3" s="3">
        <v>310</v>
      </c>
      <c r="H3" s="3">
        <v>8535</v>
      </c>
      <c r="I3" s="3">
        <v>4380</v>
      </c>
      <c r="J3" s="3">
        <v>1703</v>
      </c>
      <c r="K3" s="3">
        <v>610</v>
      </c>
      <c r="L3" s="3">
        <v>0.49399999999999999</v>
      </c>
      <c r="M3" s="3">
        <v>0.32600000000000001</v>
      </c>
      <c r="N3" s="3">
        <v>0.74299999999999999</v>
      </c>
      <c r="O3" s="3">
        <v>27.5</v>
      </c>
      <c r="P3" s="3">
        <v>14.1</v>
      </c>
      <c r="Q3" s="3">
        <v>5.5</v>
      </c>
      <c r="R3" s="3">
        <v>2</v>
      </c>
      <c r="S3" s="3">
        <v>13.8</v>
      </c>
      <c r="T3" s="3">
        <v>7.8E-2</v>
      </c>
      <c r="U3" s="3">
        <v>-0.8</v>
      </c>
      <c r="V3" s="3">
        <v>2.5</v>
      </c>
    </row>
    <row r="4" spans="1:35" hidden="1">
      <c r="A4" s="1">
        <v>3</v>
      </c>
      <c r="B4" s="3">
        <v>3</v>
      </c>
      <c r="C4" s="3" t="s">
        <v>66</v>
      </c>
      <c r="D4" s="3" t="s">
        <v>1008</v>
      </c>
      <c r="E4" s="3" t="s">
        <v>138</v>
      </c>
      <c r="F4" s="3">
        <v>9</v>
      </c>
      <c r="G4" s="3">
        <v>449</v>
      </c>
      <c r="H4" s="3">
        <v>14311</v>
      </c>
      <c r="I4" s="3">
        <v>12467</v>
      </c>
      <c r="J4" s="3">
        <v>4965</v>
      </c>
      <c r="K4" s="3">
        <v>1645</v>
      </c>
      <c r="L4" s="3">
        <v>0.502</v>
      </c>
      <c r="M4" s="3">
        <v>0.34100000000000003</v>
      </c>
      <c r="N4" s="3">
        <v>0.82699999999999996</v>
      </c>
      <c r="O4" s="3">
        <v>31.9</v>
      </c>
      <c r="P4" s="3">
        <v>27.8</v>
      </c>
      <c r="Q4" s="3">
        <v>11.1</v>
      </c>
      <c r="R4" s="3">
        <v>3.7</v>
      </c>
      <c r="S4" s="3">
        <v>64.900000000000006</v>
      </c>
      <c r="T4" s="3">
        <v>0.218</v>
      </c>
      <c r="U4" s="3">
        <v>6.9</v>
      </c>
      <c r="V4" s="3">
        <v>32.1</v>
      </c>
      <c r="Y4" s="7">
        <v>0.8</v>
      </c>
      <c r="Z4" t="s">
        <v>1009</v>
      </c>
    </row>
    <row r="5" spans="1:35" hidden="1">
      <c r="A5" s="1">
        <v>4</v>
      </c>
      <c r="B5" s="3">
        <v>4</v>
      </c>
      <c r="C5" s="3" t="s">
        <v>179</v>
      </c>
      <c r="D5" s="3" t="s">
        <v>1010</v>
      </c>
      <c r="E5" s="3" t="s">
        <v>224</v>
      </c>
      <c r="F5" s="3">
        <v>11</v>
      </c>
      <c r="G5" s="3">
        <v>700</v>
      </c>
      <c r="H5" s="3">
        <v>20453</v>
      </c>
      <c r="I5" s="3">
        <v>9388</v>
      </c>
      <c r="J5" s="3">
        <v>4379</v>
      </c>
      <c r="K5" s="3">
        <v>1871</v>
      </c>
      <c r="L5" s="3">
        <v>0.48099999999999998</v>
      </c>
      <c r="M5" s="3">
        <v>0.32600000000000001</v>
      </c>
      <c r="N5" s="3">
        <v>0.68799999999999994</v>
      </c>
      <c r="O5" s="3">
        <v>29.2</v>
      </c>
      <c r="P5" s="3">
        <v>13.4</v>
      </c>
      <c r="Q5" s="3">
        <v>6.3</v>
      </c>
      <c r="R5" s="3">
        <v>2.7</v>
      </c>
      <c r="S5" s="3">
        <v>44.9</v>
      </c>
      <c r="T5" s="3">
        <v>0.105</v>
      </c>
      <c r="U5" s="3">
        <v>0.3</v>
      </c>
      <c r="V5" s="3">
        <v>11.8</v>
      </c>
      <c r="Y5" s="8">
        <v>0.2</v>
      </c>
      <c r="Z5" t="s">
        <v>1011</v>
      </c>
    </row>
    <row r="6" spans="1:35" hidden="1">
      <c r="A6" s="1">
        <v>5</v>
      </c>
      <c r="B6" s="3">
        <v>5</v>
      </c>
      <c r="C6" s="3" t="s">
        <v>193</v>
      </c>
      <c r="D6" s="3" t="s">
        <v>1012</v>
      </c>
      <c r="E6" s="2"/>
      <c r="F6" s="3">
        <v>8</v>
      </c>
      <c r="G6" s="3">
        <v>305</v>
      </c>
      <c r="H6" s="3">
        <v>5729</v>
      </c>
      <c r="I6" s="3">
        <v>1867</v>
      </c>
      <c r="J6" s="3">
        <v>597</v>
      </c>
      <c r="K6" s="3">
        <v>688</v>
      </c>
      <c r="L6" s="3">
        <v>0.432</v>
      </c>
      <c r="M6" s="3">
        <v>0.33700000000000002</v>
      </c>
      <c r="N6" s="3">
        <v>0.76700000000000002</v>
      </c>
      <c r="O6" s="3">
        <v>18.8</v>
      </c>
      <c r="P6" s="3">
        <v>6.1</v>
      </c>
      <c r="Q6" s="3">
        <v>2</v>
      </c>
      <c r="R6" s="3">
        <v>2.2999999999999998</v>
      </c>
      <c r="S6" s="3">
        <v>6.2</v>
      </c>
      <c r="T6" s="3">
        <v>5.1999999999999998E-2</v>
      </c>
      <c r="U6" s="3">
        <v>-2.8</v>
      </c>
      <c r="V6" s="3">
        <v>-1.1000000000000001</v>
      </c>
    </row>
    <row r="7" spans="1:35" hidden="1">
      <c r="A7" s="1">
        <v>6</v>
      </c>
      <c r="B7" s="3">
        <v>6</v>
      </c>
      <c r="C7" s="3" t="s">
        <v>190</v>
      </c>
      <c r="D7" s="3" t="s">
        <v>1013</v>
      </c>
      <c r="E7" s="3" t="s">
        <v>511</v>
      </c>
      <c r="F7" s="3">
        <v>11</v>
      </c>
      <c r="G7" s="3">
        <v>620</v>
      </c>
      <c r="H7" s="3">
        <v>18446</v>
      </c>
      <c r="I7" s="3">
        <v>6595</v>
      </c>
      <c r="J7" s="3">
        <v>2154</v>
      </c>
      <c r="K7" s="3">
        <v>2857</v>
      </c>
      <c r="L7" s="3">
        <v>0.38700000000000001</v>
      </c>
      <c r="M7" s="3">
        <v>0.32300000000000001</v>
      </c>
      <c r="N7" s="3">
        <v>0.77800000000000002</v>
      </c>
      <c r="O7" s="3">
        <v>29.8</v>
      </c>
      <c r="P7" s="3">
        <v>10.6</v>
      </c>
      <c r="Q7" s="3">
        <v>3.5</v>
      </c>
      <c r="R7" s="3">
        <v>4.5999999999999996</v>
      </c>
      <c r="S7" s="3">
        <v>34</v>
      </c>
      <c r="T7" s="3">
        <v>8.7999999999999995E-2</v>
      </c>
      <c r="U7" s="3">
        <v>-0.3</v>
      </c>
      <c r="V7" s="3">
        <v>7.7</v>
      </c>
      <c r="Y7" s="9" t="s">
        <v>1014</v>
      </c>
    </row>
    <row r="8" spans="1:35" hidden="1">
      <c r="A8" s="1">
        <v>7</v>
      </c>
      <c r="B8" s="3">
        <v>7</v>
      </c>
      <c r="C8" s="3" t="s">
        <v>31</v>
      </c>
      <c r="D8" s="3" t="s">
        <v>1015</v>
      </c>
      <c r="E8" s="3" t="s">
        <v>173</v>
      </c>
      <c r="F8" s="3">
        <v>11</v>
      </c>
      <c r="G8" s="3">
        <v>689</v>
      </c>
      <c r="H8" s="3">
        <v>22076</v>
      </c>
      <c r="I8" s="3">
        <v>13134</v>
      </c>
      <c r="J8" s="3">
        <v>6348</v>
      </c>
      <c r="K8" s="3">
        <v>2601</v>
      </c>
      <c r="L8" s="3">
        <v>0.47</v>
      </c>
      <c r="M8" s="3">
        <v>0.33200000000000002</v>
      </c>
      <c r="N8" s="3">
        <v>0.753</v>
      </c>
      <c r="O8" s="3">
        <v>32</v>
      </c>
      <c r="P8" s="3">
        <v>19.100000000000001</v>
      </c>
      <c r="Q8" s="3">
        <v>9.1999999999999993</v>
      </c>
      <c r="R8" s="3">
        <v>3.8</v>
      </c>
      <c r="S8" s="3">
        <v>47.5</v>
      </c>
      <c r="T8" s="3">
        <v>0.10299999999999999</v>
      </c>
      <c r="U8" s="3">
        <v>0.9</v>
      </c>
      <c r="V8" s="3">
        <v>16.3</v>
      </c>
      <c r="Y8" s="9" t="s">
        <v>1016</v>
      </c>
    </row>
    <row r="9" spans="1:35" hidden="1">
      <c r="A9" s="1">
        <v>8</v>
      </c>
      <c r="B9" s="3">
        <v>8</v>
      </c>
      <c r="C9" s="3" t="s">
        <v>36</v>
      </c>
      <c r="D9" s="3" t="s">
        <v>1017</v>
      </c>
      <c r="E9" s="3" t="s">
        <v>151</v>
      </c>
      <c r="F9" s="3">
        <v>6</v>
      </c>
      <c r="G9" s="3">
        <v>343</v>
      </c>
      <c r="H9" s="3">
        <v>6701</v>
      </c>
      <c r="I9" s="3">
        <v>2290</v>
      </c>
      <c r="J9" s="3">
        <v>691</v>
      </c>
      <c r="K9" s="3">
        <v>515</v>
      </c>
      <c r="L9" s="3">
        <v>0.38900000000000001</v>
      </c>
      <c r="M9" s="3">
        <v>0.35399999999999998</v>
      </c>
      <c r="N9" s="3">
        <v>0.81200000000000006</v>
      </c>
      <c r="O9" s="3">
        <v>19.5</v>
      </c>
      <c r="P9" s="3">
        <v>6.7</v>
      </c>
      <c r="Q9" s="3">
        <v>2</v>
      </c>
      <c r="R9" s="3">
        <v>1.5</v>
      </c>
      <c r="S9" s="3">
        <v>3.9</v>
      </c>
      <c r="T9" s="3">
        <v>2.8000000000000001E-2</v>
      </c>
      <c r="U9" s="3">
        <v>-3</v>
      </c>
      <c r="V9" s="3">
        <v>-1.7</v>
      </c>
      <c r="X9" s="9" t="s">
        <v>1018</v>
      </c>
      <c r="Y9" s="9">
        <v>2014</v>
      </c>
      <c r="Z9" s="9">
        <v>2015</v>
      </c>
      <c r="AA9" s="9">
        <v>2016</v>
      </c>
      <c r="AB9" s="9">
        <v>2017</v>
      </c>
      <c r="AC9" s="9">
        <v>2018</v>
      </c>
      <c r="AD9" s="9">
        <v>2019</v>
      </c>
      <c r="AE9" s="9">
        <v>2020</v>
      </c>
      <c r="AF9" s="9">
        <v>2021</v>
      </c>
      <c r="AG9" s="9">
        <v>2022</v>
      </c>
      <c r="AH9" s="9">
        <v>2023</v>
      </c>
      <c r="AI9" s="9">
        <v>2024</v>
      </c>
    </row>
    <row r="10" spans="1:35" hidden="1">
      <c r="A10" s="1">
        <v>9</v>
      </c>
      <c r="B10" s="3">
        <v>9</v>
      </c>
      <c r="C10" s="3" t="s">
        <v>119</v>
      </c>
      <c r="D10" s="3" t="s">
        <v>1019</v>
      </c>
      <c r="E10" s="3" t="s">
        <v>195</v>
      </c>
      <c r="F10" s="3">
        <v>8</v>
      </c>
      <c r="G10" s="3">
        <v>362</v>
      </c>
      <c r="H10" s="3">
        <v>5854</v>
      </c>
      <c r="I10" s="3">
        <v>1685</v>
      </c>
      <c r="J10" s="3">
        <v>1790</v>
      </c>
      <c r="K10" s="3">
        <v>264</v>
      </c>
      <c r="L10" s="3">
        <v>0.45900000000000002</v>
      </c>
      <c r="M10" s="3">
        <v>0.307</v>
      </c>
      <c r="N10" s="3">
        <v>0.69199999999999995</v>
      </c>
      <c r="O10" s="3">
        <v>16.2</v>
      </c>
      <c r="P10" s="3">
        <v>4.7</v>
      </c>
      <c r="Q10" s="3">
        <v>4.9000000000000004</v>
      </c>
      <c r="R10" s="3">
        <v>0.7</v>
      </c>
      <c r="S10" s="3">
        <v>9.4</v>
      </c>
      <c r="T10" s="3">
        <v>7.6999999999999999E-2</v>
      </c>
      <c r="U10" s="3">
        <v>-2.5</v>
      </c>
      <c r="V10" s="3">
        <v>-0.7</v>
      </c>
      <c r="X10" s="10" t="s">
        <v>1020</v>
      </c>
      <c r="Y10" s="12">
        <v>0.8</v>
      </c>
    </row>
    <row r="11" spans="1:35" hidden="1">
      <c r="A11" s="1">
        <v>10</v>
      </c>
      <c r="B11" s="3">
        <v>10</v>
      </c>
      <c r="C11" s="3" t="s">
        <v>66</v>
      </c>
      <c r="D11" s="3" t="s">
        <v>1021</v>
      </c>
      <c r="E11" s="3" t="s">
        <v>1022</v>
      </c>
      <c r="F11" s="3">
        <v>9</v>
      </c>
      <c r="G11" s="3">
        <v>508</v>
      </c>
      <c r="H11" s="3">
        <v>13550</v>
      </c>
      <c r="I11" s="3">
        <v>5083</v>
      </c>
      <c r="J11" s="3">
        <v>2032</v>
      </c>
      <c r="K11" s="3">
        <v>2920</v>
      </c>
      <c r="L11" s="3">
        <v>0.44700000000000001</v>
      </c>
      <c r="M11" s="3">
        <v>0.28699999999999998</v>
      </c>
      <c r="N11" s="3">
        <v>0.623</v>
      </c>
      <c r="O11" s="3">
        <v>26.7</v>
      </c>
      <c r="P11" s="3">
        <v>10</v>
      </c>
      <c r="Q11" s="3">
        <v>4</v>
      </c>
      <c r="R11" s="3">
        <v>5.7</v>
      </c>
      <c r="S11" s="3">
        <v>15.7</v>
      </c>
      <c r="T11" s="3">
        <v>5.6000000000000001E-2</v>
      </c>
      <c r="U11" s="3">
        <v>-0.9</v>
      </c>
      <c r="V11" s="3">
        <v>3.6</v>
      </c>
      <c r="X11" s="11" t="s">
        <v>1023</v>
      </c>
      <c r="Y11" s="12"/>
    </row>
    <row r="12" spans="1:35" hidden="1">
      <c r="A12" s="1">
        <v>11</v>
      </c>
      <c r="B12" s="3">
        <v>11</v>
      </c>
      <c r="C12" s="3" t="s">
        <v>23</v>
      </c>
      <c r="D12" s="3" t="s">
        <v>1024</v>
      </c>
      <c r="E12" s="3" t="s">
        <v>335</v>
      </c>
      <c r="F12" s="3">
        <v>11</v>
      </c>
      <c r="G12" s="3">
        <v>686</v>
      </c>
      <c r="H12" s="3">
        <v>13490</v>
      </c>
      <c r="I12" s="3">
        <v>5957</v>
      </c>
      <c r="J12" s="3">
        <v>1451</v>
      </c>
      <c r="K12" s="3">
        <v>661</v>
      </c>
      <c r="L12" s="3">
        <v>0.47099999999999997</v>
      </c>
      <c r="M12" s="3">
        <v>0.41099999999999998</v>
      </c>
      <c r="N12" s="3">
        <v>0.80400000000000005</v>
      </c>
      <c r="O12" s="3">
        <v>19.7</v>
      </c>
      <c r="P12" s="3">
        <v>8.6999999999999993</v>
      </c>
      <c r="Q12" s="3">
        <v>2.1</v>
      </c>
      <c r="R12" s="3">
        <v>1</v>
      </c>
      <c r="S12" s="3">
        <v>21.4</v>
      </c>
      <c r="T12" s="3">
        <v>7.5999999999999998E-2</v>
      </c>
      <c r="U12" s="3">
        <v>-2.2000000000000002</v>
      </c>
      <c r="V12" s="3">
        <v>-0.5</v>
      </c>
      <c r="X12" s="9" t="s">
        <v>1025</v>
      </c>
      <c r="Y12" s="12"/>
    </row>
    <row r="13" spans="1:35" hidden="1">
      <c r="A13" s="1">
        <v>12</v>
      </c>
      <c r="B13" s="3">
        <v>12</v>
      </c>
      <c r="C13" s="3" t="s">
        <v>179</v>
      </c>
      <c r="D13" s="3" t="s">
        <v>1026</v>
      </c>
      <c r="E13" s="2"/>
      <c r="F13" s="3">
        <v>8</v>
      </c>
      <c r="G13" s="3">
        <v>490</v>
      </c>
      <c r="H13" s="3">
        <v>11061</v>
      </c>
      <c r="I13" s="3">
        <v>5106</v>
      </c>
      <c r="J13" s="3">
        <v>2623</v>
      </c>
      <c r="K13" s="3">
        <v>939</v>
      </c>
      <c r="L13" s="3">
        <v>0.443</v>
      </c>
      <c r="M13" s="3">
        <v>0.36</v>
      </c>
      <c r="N13" s="3">
        <v>0.83699999999999997</v>
      </c>
      <c r="O13" s="3">
        <v>22.6</v>
      </c>
      <c r="P13" s="3">
        <v>10.4</v>
      </c>
      <c r="Q13" s="3">
        <v>5.4</v>
      </c>
      <c r="R13" s="3">
        <v>1.9</v>
      </c>
      <c r="S13" s="3">
        <v>20.9</v>
      </c>
      <c r="T13" s="3">
        <v>9.0999999999999998E-2</v>
      </c>
      <c r="U13" s="3">
        <v>-0.8</v>
      </c>
      <c r="V13" s="3">
        <v>3.5</v>
      </c>
      <c r="X13" s="9" t="s">
        <v>1027</v>
      </c>
      <c r="Y13" s="12"/>
    </row>
    <row r="14" spans="1:35" hidden="1">
      <c r="A14" s="1">
        <v>13</v>
      </c>
      <c r="B14" s="3">
        <v>13</v>
      </c>
      <c r="C14" s="3" t="s">
        <v>135</v>
      </c>
      <c r="D14" s="3" t="s">
        <v>1028</v>
      </c>
      <c r="E14" s="3" t="s">
        <v>63</v>
      </c>
      <c r="F14" s="3">
        <v>11</v>
      </c>
      <c r="G14" s="3">
        <v>625</v>
      </c>
      <c r="H14" s="3">
        <v>20396</v>
      </c>
      <c r="I14" s="3">
        <v>12930</v>
      </c>
      <c r="J14" s="3">
        <v>2561</v>
      </c>
      <c r="K14" s="3">
        <v>2483</v>
      </c>
      <c r="L14" s="3">
        <v>0.46700000000000003</v>
      </c>
      <c r="M14" s="3">
        <v>0.38600000000000001</v>
      </c>
      <c r="N14" s="3">
        <v>0.83199999999999996</v>
      </c>
      <c r="O14" s="3">
        <v>32.6</v>
      </c>
      <c r="P14" s="3">
        <v>20.7</v>
      </c>
      <c r="Q14" s="3">
        <v>4.0999999999999996</v>
      </c>
      <c r="R14" s="3">
        <v>4</v>
      </c>
      <c r="S14" s="3">
        <v>35.200000000000003</v>
      </c>
      <c r="T14" s="3">
        <v>8.3000000000000004E-2</v>
      </c>
      <c r="U14" s="3">
        <v>0.7</v>
      </c>
      <c r="V14" s="3">
        <v>13.9</v>
      </c>
      <c r="X14" s="9" t="s">
        <v>1029</v>
      </c>
      <c r="Y14" s="12"/>
    </row>
    <row r="15" spans="1:35" hidden="1">
      <c r="A15" s="1">
        <v>14</v>
      </c>
      <c r="B15" s="3">
        <v>14</v>
      </c>
      <c r="C15" s="3" t="s">
        <v>323</v>
      </c>
      <c r="D15" s="3" t="s">
        <v>1030</v>
      </c>
      <c r="E15" s="3" t="s">
        <v>798</v>
      </c>
      <c r="F15" s="3">
        <v>9</v>
      </c>
      <c r="G15" s="3">
        <v>385</v>
      </c>
      <c r="H15" s="3">
        <v>10365</v>
      </c>
      <c r="I15" s="3">
        <v>5497</v>
      </c>
      <c r="J15" s="3">
        <v>1515</v>
      </c>
      <c r="K15" s="3">
        <v>446</v>
      </c>
      <c r="L15" s="3">
        <v>0.505</v>
      </c>
      <c r="M15" s="3">
        <v>0.35099999999999998</v>
      </c>
      <c r="N15" s="3">
        <v>0.78</v>
      </c>
      <c r="O15" s="3">
        <v>26.9</v>
      </c>
      <c r="P15" s="3">
        <v>14.3</v>
      </c>
      <c r="Q15" s="3">
        <v>3.9</v>
      </c>
      <c r="R15" s="3">
        <v>1.2</v>
      </c>
      <c r="S15" s="3">
        <v>20.9</v>
      </c>
      <c r="T15" s="3">
        <v>9.7000000000000003E-2</v>
      </c>
      <c r="U15" s="3">
        <v>-0.4</v>
      </c>
      <c r="V15" s="3">
        <v>4.0999999999999996</v>
      </c>
      <c r="X15" s="9" t="s">
        <v>1031</v>
      </c>
      <c r="Y15" s="12"/>
    </row>
    <row r="16" spans="1:35" hidden="1">
      <c r="A16" s="1">
        <v>15</v>
      </c>
      <c r="B16" s="3">
        <v>15</v>
      </c>
      <c r="C16" s="3" t="s">
        <v>184</v>
      </c>
      <c r="D16" s="3" t="s">
        <v>1032</v>
      </c>
      <c r="E16" s="3" t="s">
        <v>27</v>
      </c>
      <c r="F16" s="3">
        <v>4</v>
      </c>
      <c r="G16" s="3">
        <v>107</v>
      </c>
      <c r="H16" s="3">
        <v>1403</v>
      </c>
      <c r="I16" s="3">
        <v>429</v>
      </c>
      <c r="J16" s="3">
        <v>315</v>
      </c>
      <c r="K16" s="3">
        <v>66</v>
      </c>
      <c r="L16" s="3">
        <v>0.40600000000000003</v>
      </c>
      <c r="M16" s="3">
        <v>0.254</v>
      </c>
      <c r="N16" s="3">
        <v>0.68</v>
      </c>
      <c r="O16" s="3">
        <v>13.1</v>
      </c>
      <c r="P16" s="3">
        <v>4</v>
      </c>
      <c r="Q16" s="3">
        <v>2.9</v>
      </c>
      <c r="R16" s="3">
        <v>0.6</v>
      </c>
      <c r="S16" s="3">
        <v>-0.6</v>
      </c>
      <c r="T16" s="3">
        <v>-1.9E-2</v>
      </c>
      <c r="U16" s="3">
        <v>-5.9</v>
      </c>
      <c r="V16" s="3">
        <v>-1.4</v>
      </c>
      <c r="X16" s="9" t="s">
        <v>1033</v>
      </c>
      <c r="Y16" s="12"/>
    </row>
    <row r="17" spans="1:43" hidden="1">
      <c r="A17" s="1">
        <v>16</v>
      </c>
      <c r="B17" s="3">
        <v>16</v>
      </c>
      <c r="C17" s="3" t="s">
        <v>99</v>
      </c>
      <c r="D17" s="3" t="s">
        <v>1034</v>
      </c>
      <c r="E17" s="2"/>
      <c r="F17" s="3">
        <v>11</v>
      </c>
      <c r="G17" s="3">
        <v>564</v>
      </c>
      <c r="H17" s="3">
        <v>13876</v>
      </c>
      <c r="I17" s="3">
        <v>6753</v>
      </c>
      <c r="J17" s="3">
        <v>5050</v>
      </c>
      <c r="K17" s="3">
        <v>1400</v>
      </c>
      <c r="L17" s="3">
        <v>0.502</v>
      </c>
      <c r="M17" s="3">
        <v>0.28599999999999998</v>
      </c>
      <c r="N17" s="3">
        <v>0.66800000000000004</v>
      </c>
      <c r="O17" s="3">
        <v>24.6</v>
      </c>
      <c r="P17" s="3">
        <v>12</v>
      </c>
      <c r="Q17" s="3">
        <v>9</v>
      </c>
      <c r="R17" s="3">
        <v>2.5</v>
      </c>
      <c r="S17" s="3">
        <v>32.4</v>
      </c>
      <c r="T17" s="3">
        <v>0.112</v>
      </c>
      <c r="U17" s="3">
        <v>0.4</v>
      </c>
      <c r="V17" s="3">
        <v>8.1999999999999993</v>
      </c>
      <c r="X17" s="9" t="s">
        <v>1035</v>
      </c>
      <c r="Y17" s="12"/>
    </row>
    <row r="18" spans="1:43" hidden="1">
      <c r="A18" s="1">
        <v>17</v>
      </c>
      <c r="B18" s="3">
        <v>17</v>
      </c>
      <c r="C18" s="3" t="s">
        <v>190</v>
      </c>
      <c r="D18" s="3" t="s">
        <v>1036</v>
      </c>
      <c r="E18" s="3" t="s">
        <v>173</v>
      </c>
      <c r="F18" s="3">
        <v>4</v>
      </c>
      <c r="G18" s="3">
        <v>95</v>
      </c>
      <c r="H18" s="3">
        <v>812</v>
      </c>
      <c r="I18" s="3">
        <v>219</v>
      </c>
      <c r="J18" s="3">
        <v>96</v>
      </c>
      <c r="K18" s="3">
        <v>28</v>
      </c>
      <c r="L18" s="3">
        <v>0.36699999999999999</v>
      </c>
      <c r="M18" s="3">
        <v>0.27700000000000002</v>
      </c>
      <c r="N18" s="3">
        <v>0.56299999999999994</v>
      </c>
      <c r="O18" s="3">
        <v>8.5</v>
      </c>
      <c r="P18" s="3">
        <v>2.2999999999999998</v>
      </c>
      <c r="Q18" s="3">
        <v>1</v>
      </c>
      <c r="R18" s="3">
        <v>0.3</v>
      </c>
      <c r="S18" s="3">
        <v>0.8</v>
      </c>
      <c r="T18" s="3">
        <v>4.5999999999999999E-2</v>
      </c>
      <c r="U18" s="3">
        <v>-3.4</v>
      </c>
      <c r="V18" s="3">
        <v>-0.3</v>
      </c>
      <c r="X18" s="10" t="s">
        <v>1037</v>
      </c>
      <c r="Y18" s="12"/>
    </row>
    <row r="19" spans="1:43" hidden="1">
      <c r="A19" s="1">
        <v>18</v>
      </c>
      <c r="B19" s="3">
        <v>18</v>
      </c>
      <c r="C19" s="3" t="s">
        <v>323</v>
      </c>
      <c r="D19" s="3" t="s">
        <v>1038</v>
      </c>
      <c r="E19" s="3" t="s">
        <v>68</v>
      </c>
      <c r="F19" s="3">
        <v>4</v>
      </c>
      <c r="G19" s="3">
        <v>186</v>
      </c>
      <c r="H19" s="3">
        <v>2336</v>
      </c>
      <c r="I19" s="3">
        <v>779</v>
      </c>
      <c r="J19" s="3">
        <v>250</v>
      </c>
      <c r="K19" s="3">
        <v>359</v>
      </c>
      <c r="L19" s="3">
        <v>0.41899999999999998</v>
      </c>
      <c r="M19" s="3">
        <v>0.317</v>
      </c>
      <c r="N19" s="3">
        <v>0.76800000000000002</v>
      </c>
      <c r="O19" s="3">
        <v>12.6</v>
      </c>
      <c r="P19" s="3">
        <v>4.2</v>
      </c>
      <c r="Q19" s="3">
        <v>1.3</v>
      </c>
      <c r="R19" s="3">
        <v>1.9</v>
      </c>
      <c r="S19" s="3">
        <v>1.3</v>
      </c>
      <c r="T19" s="3">
        <v>2.5999999999999999E-2</v>
      </c>
      <c r="U19" s="3">
        <v>-3.4</v>
      </c>
      <c r="V19" s="3">
        <v>-0.8</v>
      </c>
      <c r="X19" s="11" t="s">
        <v>1039</v>
      </c>
      <c r="Y19" s="12"/>
    </row>
    <row r="20" spans="1:43" hidden="1">
      <c r="A20" s="1">
        <v>19</v>
      </c>
      <c r="B20" s="3">
        <v>19</v>
      </c>
      <c r="C20" s="3" t="s">
        <v>99</v>
      </c>
      <c r="D20" s="3" t="s">
        <v>1040</v>
      </c>
      <c r="E20" s="3" t="s">
        <v>27</v>
      </c>
      <c r="F20" s="3">
        <v>11</v>
      </c>
      <c r="G20" s="3">
        <v>595</v>
      </c>
      <c r="H20" s="3">
        <v>16355</v>
      </c>
      <c r="I20" s="3">
        <v>6385</v>
      </c>
      <c r="J20" s="3">
        <v>1381</v>
      </c>
      <c r="K20" s="3">
        <v>1122</v>
      </c>
      <c r="L20" s="3">
        <v>0.44700000000000001</v>
      </c>
      <c r="M20" s="3">
        <v>0.36899999999999999</v>
      </c>
      <c r="N20" s="3">
        <v>0.81</v>
      </c>
      <c r="O20" s="3">
        <v>27.5</v>
      </c>
      <c r="P20" s="3">
        <v>10.7</v>
      </c>
      <c r="Q20" s="3">
        <v>2.2999999999999998</v>
      </c>
      <c r="R20" s="3">
        <v>1.9</v>
      </c>
      <c r="S20" s="3">
        <v>26.2</v>
      </c>
      <c r="T20" s="3">
        <v>7.6999999999999999E-2</v>
      </c>
      <c r="U20" s="3">
        <v>-1.4</v>
      </c>
      <c r="V20" s="3">
        <v>2.7</v>
      </c>
      <c r="X20" s="9" t="s">
        <v>1041</v>
      </c>
      <c r="Y20" s="12"/>
    </row>
    <row r="21" spans="1:43" hidden="1">
      <c r="A21" s="1">
        <v>20</v>
      </c>
      <c r="B21" s="3">
        <v>20</v>
      </c>
      <c r="C21" s="3" t="s">
        <v>163</v>
      </c>
      <c r="D21" s="3" t="s">
        <v>1042</v>
      </c>
      <c r="E21" s="2"/>
      <c r="F21" s="3">
        <v>7</v>
      </c>
      <c r="G21" s="3">
        <v>105</v>
      </c>
      <c r="H21" s="3">
        <v>1293</v>
      </c>
      <c r="I21" s="3">
        <v>442</v>
      </c>
      <c r="J21" s="3">
        <v>268</v>
      </c>
      <c r="K21" s="3">
        <v>72</v>
      </c>
      <c r="L21" s="3">
        <v>0.40300000000000002</v>
      </c>
      <c r="M21" s="3">
        <v>0.308</v>
      </c>
      <c r="N21" s="3">
        <v>0.83599999999999997</v>
      </c>
      <c r="O21" s="3">
        <v>12.3</v>
      </c>
      <c r="P21" s="3">
        <v>4.2</v>
      </c>
      <c r="Q21" s="3">
        <v>2.6</v>
      </c>
      <c r="R21" s="3">
        <v>0.7</v>
      </c>
      <c r="S21" s="3">
        <v>1.5</v>
      </c>
      <c r="T21" s="3">
        <v>5.3999999999999999E-2</v>
      </c>
      <c r="U21" s="3">
        <v>-2.7</v>
      </c>
      <c r="V21" s="3">
        <v>-0.2</v>
      </c>
      <c r="X21" s="9" t="s">
        <v>1043</v>
      </c>
    </row>
    <row r="22" spans="1:43" hidden="1">
      <c r="A22" s="1">
        <v>21</v>
      </c>
      <c r="B22" s="3">
        <v>21</v>
      </c>
      <c r="C22" s="3" t="s">
        <v>82</v>
      </c>
      <c r="D22" s="3" t="s">
        <v>1044</v>
      </c>
      <c r="E22" s="3" t="s">
        <v>151</v>
      </c>
      <c r="F22" s="3">
        <v>2</v>
      </c>
      <c r="G22" s="3">
        <v>52</v>
      </c>
      <c r="H22" s="3">
        <v>557</v>
      </c>
      <c r="I22" s="3">
        <v>227</v>
      </c>
      <c r="J22" s="3">
        <v>183</v>
      </c>
      <c r="K22" s="3">
        <v>17</v>
      </c>
      <c r="L22" s="3">
        <v>0.52700000000000002</v>
      </c>
      <c r="M22" s="3">
        <v>0</v>
      </c>
      <c r="N22" s="3">
        <v>0.57999999999999996</v>
      </c>
      <c r="O22" s="3">
        <v>10.7</v>
      </c>
      <c r="P22" s="3">
        <v>4.4000000000000004</v>
      </c>
      <c r="Q22" s="3">
        <v>3.5</v>
      </c>
      <c r="R22" s="3">
        <v>0.3</v>
      </c>
      <c r="S22" s="3">
        <v>1.3</v>
      </c>
      <c r="T22" s="3">
        <v>0.108</v>
      </c>
      <c r="U22" s="3">
        <v>-2.6</v>
      </c>
      <c r="V22" s="3">
        <v>-0.1</v>
      </c>
    </row>
    <row r="23" spans="1:43" hidden="1">
      <c r="A23" s="1">
        <v>22</v>
      </c>
      <c r="B23" s="3">
        <v>22</v>
      </c>
      <c r="C23" s="3" t="s">
        <v>152</v>
      </c>
      <c r="D23" s="3" t="s">
        <v>1045</v>
      </c>
      <c r="E23" s="3" t="s">
        <v>63</v>
      </c>
      <c r="F23" s="3">
        <v>2</v>
      </c>
      <c r="G23" s="3">
        <v>32</v>
      </c>
      <c r="H23" s="3">
        <v>263</v>
      </c>
      <c r="I23" s="3">
        <v>101</v>
      </c>
      <c r="J23" s="3">
        <v>30</v>
      </c>
      <c r="K23" s="3">
        <v>19</v>
      </c>
      <c r="L23" s="3">
        <v>0.40200000000000002</v>
      </c>
      <c r="M23" s="3">
        <v>0.38500000000000001</v>
      </c>
      <c r="N23" s="3">
        <v>0.60699999999999998</v>
      </c>
      <c r="O23" s="3">
        <v>8.1999999999999993</v>
      </c>
      <c r="P23" s="3">
        <v>3.2</v>
      </c>
      <c r="Q23" s="3">
        <v>0.9</v>
      </c>
      <c r="R23" s="3">
        <v>0.6</v>
      </c>
      <c r="S23" s="3">
        <v>0.4</v>
      </c>
      <c r="T23" s="3">
        <v>7.0000000000000007E-2</v>
      </c>
      <c r="U23" s="3">
        <v>1.7</v>
      </c>
      <c r="V23" s="3">
        <v>0.2</v>
      </c>
    </row>
    <row r="24" spans="1:43" hidden="1">
      <c r="A24" s="1">
        <v>23</v>
      </c>
      <c r="B24" s="3">
        <v>23</v>
      </c>
      <c r="C24" s="3" t="s">
        <v>193</v>
      </c>
      <c r="D24" s="3" t="s">
        <v>1046</v>
      </c>
      <c r="E24" s="3" t="s">
        <v>171</v>
      </c>
      <c r="F24" s="3">
        <v>8</v>
      </c>
      <c r="G24" s="3">
        <v>448</v>
      </c>
      <c r="H24" s="3">
        <v>10977</v>
      </c>
      <c r="I24" s="3">
        <v>4656</v>
      </c>
      <c r="J24" s="3">
        <v>1160</v>
      </c>
      <c r="K24" s="3">
        <v>736</v>
      </c>
      <c r="L24" s="3">
        <v>0.42</v>
      </c>
      <c r="M24" s="3">
        <v>0.36599999999999999</v>
      </c>
      <c r="N24" s="3">
        <v>0.84099999999999997</v>
      </c>
      <c r="O24" s="3">
        <v>24.5</v>
      </c>
      <c r="P24" s="3">
        <v>10.4</v>
      </c>
      <c r="Q24" s="3">
        <v>2.6</v>
      </c>
      <c r="R24" s="3">
        <v>1.6</v>
      </c>
      <c r="S24" s="3">
        <v>17.399999999999999</v>
      </c>
      <c r="T24" s="3">
        <v>7.5999999999999998E-2</v>
      </c>
      <c r="U24" s="3">
        <v>-1.2</v>
      </c>
      <c r="V24" s="3">
        <v>2.2000000000000002</v>
      </c>
      <c r="X24" s="11"/>
    </row>
    <row r="25" spans="1:43" hidden="1">
      <c r="A25" s="1">
        <v>24</v>
      </c>
      <c r="B25" s="3">
        <v>24</v>
      </c>
      <c r="C25" s="3" t="s">
        <v>119</v>
      </c>
      <c r="D25" s="3" t="s">
        <v>1047</v>
      </c>
      <c r="E25" s="3" t="s">
        <v>300</v>
      </c>
      <c r="F25" s="3">
        <v>6</v>
      </c>
      <c r="G25" s="3">
        <v>345</v>
      </c>
      <c r="H25" s="3">
        <v>5986</v>
      </c>
      <c r="I25" s="3">
        <v>2433</v>
      </c>
      <c r="J25" s="3">
        <v>657</v>
      </c>
      <c r="K25" s="3">
        <v>849</v>
      </c>
      <c r="L25" s="3">
        <v>0.39700000000000002</v>
      </c>
      <c r="M25" s="3">
        <v>0.34499999999999997</v>
      </c>
      <c r="N25" s="3">
        <v>0.81499999999999995</v>
      </c>
      <c r="O25" s="3">
        <v>17.399999999999999</v>
      </c>
      <c r="P25" s="3">
        <v>7.1</v>
      </c>
      <c r="Q25" s="3">
        <v>1.9</v>
      </c>
      <c r="R25" s="3">
        <v>2.5</v>
      </c>
      <c r="S25" s="3">
        <v>8.1</v>
      </c>
      <c r="T25" s="3">
        <v>6.5000000000000002E-2</v>
      </c>
      <c r="U25" s="3">
        <v>-0.7</v>
      </c>
      <c r="V25" s="3">
        <v>2</v>
      </c>
      <c r="X25" s="9"/>
    </row>
    <row r="26" spans="1:43" hidden="1">
      <c r="A26" s="1">
        <v>25</v>
      </c>
      <c r="B26" s="3">
        <v>25</v>
      </c>
      <c r="C26" s="3" t="s">
        <v>52</v>
      </c>
      <c r="D26" s="3" t="s">
        <v>1048</v>
      </c>
      <c r="E26" s="2"/>
      <c r="F26" s="3">
        <v>11</v>
      </c>
      <c r="G26" s="3">
        <v>654</v>
      </c>
      <c r="H26" s="3">
        <v>17237</v>
      </c>
      <c r="I26" s="3">
        <v>7890</v>
      </c>
      <c r="J26" s="3">
        <v>6921</v>
      </c>
      <c r="K26" s="3">
        <v>668</v>
      </c>
      <c r="L26" s="3">
        <v>0.61799999999999999</v>
      </c>
      <c r="M26" s="3">
        <v>0</v>
      </c>
      <c r="N26" s="3">
        <v>0.54500000000000004</v>
      </c>
      <c r="O26" s="3">
        <v>26.4</v>
      </c>
      <c r="P26" s="3">
        <v>12.1</v>
      </c>
      <c r="Q26" s="3">
        <v>10.6</v>
      </c>
      <c r="R26" s="3">
        <v>1</v>
      </c>
      <c r="S26" s="3">
        <v>69.2</v>
      </c>
      <c r="T26" s="3">
        <v>0.193</v>
      </c>
      <c r="U26" s="3">
        <v>1.7</v>
      </c>
      <c r="V26" s="3">
        <v>15.9</v>
      </c>
      <c r="X26" s="9"/>
    </row>
    <row r="27" spans="1:43" hidden="1">
      <c r="A27" s="1">
        <v>26</v>
      </c>
      <c r="B27" s="3">
        <v>26</v>
      </c>
      <c r="C27" s="3" t="s">
        <v>72</v>
      </c>
      <c r="D27" s="3" t="s">
        <v>1049</v>
      </c>
      <c r="E27" s="3" t="s">
        <v>78</v>
      </c>
      <c r="F27" s="3">
        <v>2</v>
      </c>
      <c r="G27" s="3">
        <v>111</v>
      </c>
      <c r="H27" s="3">
        <v>2000</v>
      </c>
      <c r="I27" s="3">
        <v>664</v>
      </c>
      <c r="J27" s="3">
        <v>266</v>
      </c>
      <c r="K27" s="3">
        <v>59</v>
      </c>
      <c r="L27" s="3">
        <v>0.34300000000000003</v>
      </c>
      <c r="M27" s="3">
        <v>0.29499999999999998</v>
      </c>
      <c r="N27" s="3">
        <v>0.81</v>
      </c>
      <c r="O27" s="3">
        <v>18</v>
      </c>
      <c r="P27" s="3">
        <v>6</v>
      </c>
      <c r="Q27" s="3">
        <v>2.4</v>
      </c>
      <c r="R27" s="3">
        <v>0.5</v>
      </c>
      <c r="S27" s="3">
        <v>0.9</v>
      </c>
      <c r="T27" s="3">
        <v>2.1000000000000001E-2</v>
      </c>
      <c r="U27" s="3">
        <v>-3.9</v>
      </c>
      <c r="V27" s="3">
        <v>-1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hidden="1">
      <c r="A28" s="1">
        <v>27</v>
      </c>
      <c r="B28" s="3">
        <v>27</v>
      </c>
      <c r="C28" s="3" t="s">
        <v>323</v>
      </c>
      <c r="D28" s="3" t="s">
        <v>1050</v>
      </c>
      <c r="E28" s="2"/>
      <c r="F28" s="3">
        <v>8</v>
      </c>
      <c r="G28" s="3">
        <v>473</v>
      </c>
      <c r="H28" s="3">
        <v>13548</v>
      </c>
      <c r="I28" s="3">
        <v>6830</v>
      </c>
      <c r="J28" s="3">
        <v>1586</v>
      </c>
      <c r="K28" s="3">
        <v>1519</v>
      </c>
      <c r="L28" s="3">
        <v>0.435</v>
      </c>
      <c r="M28" s="3">
        <v>0.38</v>
      </c>
      <c r="N28" s="3">
        <v>0.84499999999999997</v>
      </c>
      <c r="O28" s="3">
        <v>28.6</v>
      </c>
      <c r="P28" s="3">
        <v>14.4</v>
      </c>
      <c r="Q28" s="3">
        <v>3.4</v>
      </c>
      <c r="R28" s="3">
        <v>3.2</v>
      </c>
      <c r="S28" s="3">
        <v>22.8</v>
      </c>
      <c r="T28" s="3">
        <v>8.1000000000000003E-2</v>
      </c>
      <c r="U28" s="3">
        <v>0.2</v>
      </c>
      <c r="V28" s="3">
        <v>7.4</v>
      </c>
      <c r="X28" s="9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</row>
    <row r="29" spans="1:43" hidden="1">
      <c r="A29" s="1">
        <v>28</v>
      </c>
      <c r="B29" s="3">
        <v>28</v>
      </c>
      <c r="C29" s="3" t="s">
        <v>28</v>
      </c>
      <c r="D29" s="3" t="s">
        <v>1051</v>
      </c>
      <c r="E29" s="3" t="s">
        <v>38</v>
      </c>
      <c r="F29" s="3">
        <v>3</v>
      </c>
      <c r="G29" s="3">
        <v>66</v>
      </c>
      <c r="H29" s="3">
        <v>376</v>
      </c>
      <c r="I29" s="3">
        <v>132</v>
      </c>
      <c r="J29" s="3">
        <v>31</v>
      </c>
      <c r="K29" s="3">
        <v>30</v>
      </c>
      <c r="L29" s="3">
        <v>0.37</v>
      </c>
      <c r="M29" s="3">
        <v>0.33300000000000002</v>
      </c>
      <c r="N29" s="3">
        <v>0.81299999999999994</v>
      </c>
      <c r="O29" s="3">
        <v>5.7</v>
      </c>
      <c r="P29" s="3">
        <v>2</v>
      </c>
      <c r="Q29" s="3">
        <v>0.5</v>
      </c>
      <c r="R29" s="3">
        <v>0.5</v>
      </c>
      <c r="S29" s="3">
        <v>0.1</v>
      </c>
      <c r="T29" s="3">
        <v>7.0000000000000001E-3</v>
      </c>
      <c r="U29" s="3">
        <v>-4.3</v>
      </c>
      <c r="V29" s="3">
        <v>-0.2</v>
      </c>
      <c r="X29" s="44"/>
    </row>
    <row r="30" spans="1:43" hidden="1">
      <c r="A30" s="1">
        <v>29</v>
      </c>
      <c r="B30" s="3">
        <v>29</v>
      </c>
      <c r="C30" s="3" t="s">
        <v>82</v>
      </c>
      <c r="D30" s="3" t="s">
        <v>1052</v>
      </c>
      <c r="E30" s="3" t="s">
        <v>121</v>
      </c>
      <c r="F30" s="3">
        <v>3</v>
      </c>
      <c r="G30" s="3">
        <v>76</v>
      </c>
      <c r="H30" s="3">
        <v>1068</v>
      </c>
      <c r="I30" s="3">
        <v>187</v>
      </c>
      <c r="J30" s="3">
        <v>180</v>
      </c>
      <c r="K30" s="3">
        <v>23</v>
      </c>
      <c r="L30" s="3">
        <v>0.34599999999999997</v>
      </c>
      <c r="M30" s="3">
        <v>0.312</v>
      </c>
      <c r="N30" s="3">
        <v>0.24</v>
      </c>
      <c r="O30" s="3">
        <v>14.1</v>
      </c>
      <c r="P30" s="3">
        <v>2.5</v>
      </c>
      <c r="Q30" s="3">
        <v>2.4</v>
      </c>
      <c r="R30" s="3">
        <v>0.3</v>
      </c>
      <c r="S30" s="3">
        <v>0.7</v>
      </c>
      <c r="T30" s="3">
        <v>0.03</v>
      </c>
      <c r="U30" s="3">
        <v>-3.5</v>
      </c>
      <c r="V30" s="3">
        <v>-0.4</v>
      </c>
      <c r="X30" s="45"/>
    </row>
    <row r="31" spans="1:43" hidden="1">
      <c r="A31" s="1">
        <v>30</v>
      </c>
      <c r="B31" s="3">
        <v>30</v>
      </c>
      <c r="C31" s="3" t="s">
        <v>79</v>
      </c>
      <c r="D31" s="3" t="s">
        <v>1053</v>
      </c>
      <c r="E31" s="3" t="s">
        <v>63</v>
      </c>
      <c r="F31" s="3">
        <v>11</v>
      </c>
      <c r="G31" s="3">
        <v>689</v>
      </c>
      <c r="H31" s="3">
        <v>14863</v>
      </c>
      <c r="I31" s="3">
        <v>4708</v>
      </c>
      <c r="J31" s="3">
        <v>2971</v>
      </c>
      <c r="K31" s="3">
        <v>1914</v>
      </c>
      <c r="L31" s="3">
        <v>0.47699999999999998</v>
      </c>
      <c r="M31" s="3">
        <v>0.34</v>
      </c>
      <c r="N31" s="3">
        <v>0.71299999999999997</v>
      </c>
      <c r="O31" s="3">
        <v>21.6</v>
      </c>
      <c r="P31" s="3">
        <v>6.8</v>
      </c>
      <c r="Q31" s="3">
        <v>4.3</v>
      </c>
      <c r="R31" s="3">
        <v>2.8</v>
      </c>
      <c r="S31" s="3">
        <v>38</v>
      </c>
      <c r="T31" s="3">
        <v>0.123</v>
      </c>
      <c r="U31" s="3">
        <v>1.8</v>
      </c>
      <c r="V31" s="3">
        <v>14.2</v>
      </c>
      <c r="X31" s="46"/>
    </row>
    <row r="32" spans="1:43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X32" s="79"/>
    </row>
    <row r="33" spans="1:24">
      <c r="A33" s="1">
        <v>31</v>
      </c>
      <c r="B33" s="3">
        <v>31</v>
      </c>
      <c r="C33" s="3" t="s">
        <v>57</v>
      </c>
      <c r="D33" s="67" t="s">
        <v>1054</v>
      </c>
      <c r="E33" s="2"/>
      <c r="F33" s="3">
        <v>1</v>
      </c>
      <c r="G33" s="3">
        <v>20</v>
      </c>
      <c r="H33" s="3">
        <v>156</v>
      </c>
      <c r="I33" s="3">
        <v>36</v>
      </c>
      <c r="J33" s="3">
        <v>31</v>
      </c>
      <c r="K33" s="3">
        <v>10</v>
      </c>
      <c r="L33" s="3">
        <v>0.35099999999999998</v>
      </c>
      <c r="M33" s="3">
        <v>0.23100000000000001</v>
      </c>
      <c r="N33" s="3">
        <v>0.875</v>
      </c>
      <c r="O33" s="3">
        <v>7.8</v>
      </c>
      <c r="P33" s="3">
        <v>1.8</v>
      </c>
      <c r="Q33" s="3">
        <v>1.6</v>
      </c>
      <c r="R33" s="3">
        <v>0.5</v>
      </c>
      <c r="S33" s="3">
        <v>-0.1</v>
      </c>
      <c r="T33" s="3">
        <v>-2.4E-2</v>
      </c>
      <c r="U33" s="3">
        <v>-5.6</v>
      </c>
      <c r="V33" s="3">
        <v>-0.1</v>
      </c>
      <c r="X33" s="44"/>
    </row>
    <row r="34" spans="1:24">
      <c r="A34" s="1">
        <v>32</v>
      </c>
      <c r="B34" s="3">
        <v>32</v>
      </c>
      <c r="C34" s="3" t="s">
        <v>66</v>
      </c>
      <c r="D34" s="67" t="s">
        <v>1055</v>
      </c>
      <c r="E34" s="3" t="s">
        <v>416</v>
      </c>
      <c r="F34" s="3">
        <v>3</v>
      </c>
      <c r="G34" s="3">
        <v>148</v>
      </c>
      <c r="H34" s="3">
        <v>2092</v>
      </c>
      <c r="I34" s="3">
        <v>782</v>
      </c>
      <c r="J34" s="3">
        <v>324</v>
      </c>
      <c r="K34" s="3">
        <v>95</v>
      </c>
      <c r="L34" s="3">
        <v>0.41199999999999998</v>
      </c>
      <c r="M34" s="3">
        <v>0.28999999999999998</v>
      </c>
      <c r="N34" s="3">
        <v>0.77600000000000002</v>
      </c>
      <c r="O34" s="3">
        <v>14.1</v>
      </c>
      <c r="P34" s="3">
        <v>5.3</v>
      </c>
      <c r="Q34" s="3">
        <v>2.2000000000000002</v>
      </c>
      <c r="R34" s="3">
        <v>0.6</v>
      </c>
      <c r="S34" s="3">
        <v>1.3</v>
      </c>
      <c r="T34" s="3">
        <v>0.03</v>
      </c>
      <c r="U34" s="3">
        <v>-2.8</v>
      </c>
      <c r="V34" s="3">
        <v>-0.4</v>
      </c>
      <c r="X34" s="44"/>
    </row>
    <row r="35" spans="1:24">
      <c r="A35" s="1">
        <v>33</v>
      </c>
      <c r="B35" s="3">
        <v>33</v>
      </c>
      <c r="C35" s="3" t="s">
        <v>76</v>
      </c>
      <c r="D35" s="80" t="s">
        <v>118</v>
      </c>
      <c r="E35" s="3" t="s">
        <v>59</v>
      </c>
      <c r="F35" s="3">
        <v>10</v>
      </c>
      <c r="G35" s="3">
        <v>504</v>
      </c>
      <c r="H35" s="3">
        <v>12298</v>
      </c>
      <c r="I35" s="3">
        <v>5185</v>
      </c>
      <c r="J35" s="3">
        <v>1521</v>
      </c>
      <c r="K35" s="3">
        <v>790</v>
      </c>
      <c r="L35" s="3">
        <v>0.47899999999999998</v>
      </c>
      <c r="M35" s="3">
        <v>0.436</v>
      </c>
      <c r="N35" s="3">
        <v>0.77100000000000002</v>
      </c>
      <c r="O35" s="3">
        <v>24.4</v>
      </c>
      <c r="P35" s="3">
        <v>10.3</v>
      </c>
      <c r="Q35" s="3">
        <v>3</v>
      </c>
      <c r="R35" s="3">
        <v>1.6</v>
      </c>
      <c r="S35" s="3">
        <v>23.1</v>
      </c>
      <c r="T35" s="3">
        <v>0.09</v>
      </c>
      <c r="U35" s="3">
        <v>-0.7</v>
      </c>
      <c r="V35" s="3">
        <v>4.0999999999999996</v>
      </c>
      <c r="X35" s="44"/>
    </row>
    <row r="36" spans="1:24">
      <c r="A36" s="1">
        <v>34</v>
      </c>
      <c r="B36" s="3">
        <v>34</v>
      </c>
      <c r="C36" s="3" t="s">
        <v>50</v>
      </c>
      <c r="D36" s="67" t="s">
        <v>1056</v>
      </c>
      <c r="E36" s="3" t="s">
        <v>751</v>
      </c>
      <c r="F36" s="3">
        <v>2</v>
      </c>
      <c r="G36" s="3">
        <v>56</v>
      </c>
      <c r="H36" s="3">
        <v>801</v>
      </c>
      <c r="I36" s="3">
        <v>241</v>
      </c>
      <c r="J36" s="3">
        <v>123</v>
      </c>
      <c r="K36" s="3">
        <v>42</v>
      </c>
      <c r="L36" s="3">
        <v>0.34599999999999997</v>
      </c>
      <c r="M36" s="3">
        <v>0.26300000000000001</v>
      </c>
      <c r="N36" s="3">
        <v>0.75</v>
      </c>
      <c r="O36" s="3">
        <v>14.3</v>
      </c>
      <c r="P36" s="3">
        <v>4.3</v>
      </c>
      <c r="Q36" s="3">
        <v>2.2000000000000002</v>
      </c>
      <c r="R36" s="3">
        <v>0.8</v>
      </c>
      <c r="S36" s="3">
        <v>-0.6</v>
      </c>
      <c r="T36" s="3">
        <v>-3.9E-2</v>
      </c>
      <c r="U36" s="3">
        <v>-5.9</v>
      </c>
      <c r="V36" s="3">
        <v>-0.8</v>
      </c>
      <c r="X36" s="44"/>
    </row>
    <row r="37" spans="1:24">
      <c r="A37" s="1">
        <v>35</v>
      </c>
      <c r="B37" s="3">
        <v>35</v>
      </c>
      <c r="C37" s="3" t="s">
        <v>193</v>
      </c>
      <c r="D37" s="67" t="s">
        <v>1057</v>
      </c>
      <c r="E37" s="3" t="s">
        <v>115</v>
      </c>
      <c r="F37" s="3">
        <v>3</v>
      </c>
      <c r="G37" s="3">
        <v>28</v>
      </c>
      <c r="H37" s="3">
        <v>151</v>
      </c>
      <c r="I37" s="3">
        <v>67</v>
      </c>
      <c r="J37" s="3">
        <v>40</v>
      </c>
      <c r="K37" s="3">
        <v>7</v>
      </c>
      <c r="L37" s="3">
        <v>0.58099999999999996</v>
      </c>
      <c r="M37" s="2"/>
      <c r="N37" s="3">
        <v>0.53100000000000003</v>
      </c>
      <c r="O37" s="3">
        <v>5.4</v>
      </c>
      <c r="P37" s="3">
        <v>2.4</v>
      </c>
      <c r="Q37" s="3">
        <v>1.4</v>
      </c>
      <c r="R37" s="3">
        <v>0.3</v>
      </c>
      <c r="S37" s="3">
        <v>0.6</v>
      </c>
      <c r="T37" s="3">
        <v>0.20200000000000001</v>
      </c>
      <c r="U37" s="3">
        <v>0.1</v>
      </c>
      <c r="V37" s="3">
        <v>0.1</v>
      </c>
      <c r="X37" s="44"/>
    </row>
    <row r="38" spans="1:24">
      <c r="A38" s="1">
        <v>36</v>
      </c>
      <c r="B38" s="3">
        <v>36</v>
      </c>
      <c r="C38" s="3" t="s">
        <v>57</v>
      </c>
      <c r="D38" s="67" t="s">
        <v>1058</v>
      </c>
      <c r="E38" s="3" t="s">
        <v>145</v>
      </c>
      <c r="F38" s="3">
        <v>4</v>
      </c>
      <c r="G38" s="3">
        <v>147</v>
      </c>
      <c r="H38" s="3">
        <v>1684</v>
      </c>
      <c r="I38" s="3">
        <v>509</v>
      </c>
      <c r="J38" s="3">
        <v>352</v>
      </c>
      <c r="K38" s="3">
        <v>69</v>
      </c>
      <c r="L38" s="3">
        <v>0.40200000000000002</v>
      </c>
      <c r="M38" s="3">
        <v>0.36</v>
      </c>
      <c r="N38" s="3">
        <v>0.66300000000000003</v>
      </c>
      <c r="O38" s="3">
        <v>11.5</v>
      </c>
      <c r="P38" s="3">
        <v>3.5</v>
      </c>
      <c r="Q38" s="3">
        <v>2.4</v>
      </c>
      <c r="R38" s="3">
        <v>0.5</v>
      </c>
      <c r="S38" s="3">
        <v>0.2</v>
      </c>
      <c r="T38" s="3">
        <v>6.0000000000000001E-3</v>
      </c>
      <c r="U38" s="3">
        <v>-6.2</v>
      </c>
      <c r="V38" s="3">
        <v>-1.8</v>
      </c>
      <c r="X38" s="44"/>
    </row>
    <row r="39" spans="1:24">
      <c r="A39" s="1">
        <v>37</v>
      </c>
      <c r="B39" s="3">
        <v>37</v>
      </c>
      <c r="C39" s="3" t="s">
        <v>163</v>
      </c>
      <c r="D39" s="67" t="s">
        <v>1059</v>
      </c>
      <c r="E39" s="3" t="s">
        <v>300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X39" s="45"/>
    </row>
    <row r="40" spans="1:24">
      <c r="A40" s="1">
        <v>38</v>
      </c>
      <c r="B40" s="3">
        <v>38</v>
      </c>
      <c r="C40" s="3" t="s">
        <v>34</v>
      </c>
      <c r="D40" s="89" t="s">
        <v>64</v>
      </c>
      <c r="E40" s="3" t="s">
        <v>65</v>
      </c>
      <c r="F40" s="3">
        <v>11</v>
      </c>
      <c r="G40" s="3">
        <v>593</v>
      </c>
      <c r="H40" s="3">
        <v>16360</v>
      </c>
      <c r="I40" s="3">
        <v>7731</v>
      </c>
      <c r="J40" s="3">
        <v>1763</v>
      </c>
      <c r="K40" s="3">
        <v>2992</v>
      </c>
      <c r="L40" s="3">
        <v>0.41399999999999998</v>
      </c>
      <c r="M40" s="3">
        <v>0.33500000000000002</v>
      </c>
      <c r="N40" s="3">
        <v>0.79900000000000004</v>
      </c>
      <c r="O40" s="3">
        <v>27.6</v>
      </c>
      <c r="P40" s="3">
        <v>13</v>
      </c>
      <c r="Q40" s="3">
        <v>3</v>
      </c>
      <c r="R40" s="3">
        <v>5</v>
      </c>
      <c r="S40" s="3">
        <v>35.1</v>
      </c>
      <c r="T40" s="3">
        <v>0.10299999999999999</v>
      </c>
      <c r="U40" s="3">
        <v>0</v>
      </c>
      <c r="V40" s="3">
        <v>8.3000000000000007</v>
      </c>
      <c r="X40" s="46"/>
    </row>
    <row r="41" spans="1:24">
      <c r="A41" s="1">
        <v>39</v>
      </c>
      <c r="B41" s="3">
        <v>39</v>
      </c>
      <c r="C41" s="3" t="s">
        <v>66</v>
      </c>
      <c r="D41" s="89" t="s">
        <v>67</v>
      </c>
      <c r="E41" s="3" t="s">
        <v>68</v>
      </c>
      <c r="F41" s="3">
        <v>11</v>
      </c>
      <c r="G41" s="3">
        <v>713</v>
      </c>
      <c r="H41" s="3">
        <v>19860</v>
      </c>
      <c r="I41" s="3">
        <v>9353</v>
      </c>
      <c r="J41" s="3">
        <v>2798</v>
      </c>
      <c r="K41" s="3">
        <v>1139</v>
      </c>
      <c r="L41" s="3">
        <v>0.45</v>
      </c>
      <c r="M41" s="3">
        <v>0.36399999999999999</v>
      </c>
      <c r="N41" s="3">
        <v>0.752</v>
      </c>
      <c r="O41" s="3">
        <v>27.9</v>
      </c>
      <c r="P41" s="3">
        <v>13.1</v>
      </c>
      <c r="Q41" s="3">
        <v>3.9</v>
      </c>
      <c r="R41" s="3">
        <v>1.6</v>
      </c>
      <c r="S41" s="3">
        <v>36.4</v>
      </c>
      <c r="T41" s="3">
        <v>8.7999999999999995E-2</v>
      </c>
      <c r="U41" s="3">
        <v>-0.4</v>
      </c>
      <c r="V41" s="3">
        <v>7.8</v>
      </c>
      <c r="X41" s="44"/>
    </row>
    <row r="42" spans="1:24">
      <c r="A42" s="1">
        <v>40</v>
      </c>
      <c r="B42" s="3">
        <v>40</v>
      </c>
      <c r="C42" s="3" t="s">
        <v>135</v>
      </c>
      <c r="D42" s="82" t="s">
        <v>198</v>
      </c>
      <c r="E42" s="3" t="s">
        <v>151</v>
      </c>
      <c r="F42" s="3">
        <v>7</v>
      </c>
      <c r="G42" s="3">
        <v>304</v>
      </c>
      <c r="H42" s="3">
        <v>5299</v>
      </c>
      <c r="I42" s="3">
        <v>1804</v>
      </c>
      <c r="J42" s="3">
        <v>776</v>
      </c>
      <c r="K42" s="3">
        <v>238</v>
      </c>
      <c r="L42" s="3">
        <v>0.45700000000000002</v>
      </c>
      <c r="M42" s="3">
        <v>0.373</v>
      </c>
      <c r="N42" s="3">
        <v>0.77900000000000003</v>
      </c>
      <c r="O42" s="3">
        <v>17.399999999999999</v>
      </c>
      <c r="P42" s="3">
        <v>5.9</v>
      </c>
      <c r="Q42" s="3">
        <v>2.6</v>
      </c>
      <c r="R42" s="3">
        <v>0.8</v>
      </c>
      <c r="S42" s="3">
        <v>7.9</v>
      </c>
      <c r="T42" s="3">
        <v>7.0999999999999994E-2</v>
      </c>
      <c r="U42" s="3">
        <v>-1.7</v>
      </c>
      <c r="V42" s="3">
        <v>0.4</v>
      </c>
      <c r="X42" s="44"/>
    </row>
    <row r="43" spans="1:24">
      <c r="A43" s="1">
        <v>41</v>
      </c>
      <c r="B43" s="3">
        <v>41</v>
      </c>
      <c r="C43" s="3" t="s">
        <v>23</v>
      </c>
      <c r="D43" s="85" t="s">
        <v>24</v>
      </c>
      <c r="E43" s="2"/>
      <c r="F43" s="3">
        <v>10</v>
      </c>
      <c r="G43" s="3">
        <v>722</v>
      </c>
      <c r="H43" s="3">
        <v>22773</v>
      </c>
      <c r="I43" s="3">
        <v>15531</v>
      </c>
      <c r="J43" s="3">
        <v>7844</v>
      </c>
      <c r="K43" s="3">
        <v>5151</v>
      </c>
      <c r="L43" s="3">
        <v>0.55900000000000005</v>
      </c>
      <c r="M43" s="3">
        <v>0.36099999999999999</v>
      </c>
      <c r="N43" s="3">
        <v>0.82599999999999996</v>
      </c>
      <c r="O43" s="3">
        <v>31.5</v>
      </c>
      <c r="P43" s="3">
        <v>21.5</v>
      </c>
      <c r="Q43" s="3">
        <v>10.9</v>
      </c>
      <c r="R43" s="3">
        <v>7.1</v>
      </c>
      <c r="S43" s="3">
        <v>123.4</v>
      </c>
      <c r="T43" s="3">
        <v>0.26</v>
      </c>
      <c r="U43" s="3">
        <v>10.3</v>
      </c>
      <c r="V43" s="3">
        <v>70.400000000000006</v>
      </c>
    </row>
    <row r="44" spans="1:24">
      <c r="A44" s="1">
        <v>42</v>
      </c>
      <c r="B44" s="3">
        <v>42</v>
      </c>
      <c r="C44" s="3" t="s">
        <v>52</v>
      </c>
      <c r="D44" s="67" t="s">
        <v>1060</v>
      </c>
      <c r="E44" s="3" t="s">
        <v>224</v>
      </c>
      <c r="F44" s="3">
        <v>1</v>
      </c>
      <c r="G44" s="3">
        <v>28</v>
      </c>
      <c r="H44" s="3">
        <v>262</v>
      </c>
      <c r="I44" s="3">
        <v>74</v>
      </c>
      <c r="J44" s="3">
        <v>39</v>
      </c>
      <c r="K44" s="3">
        <v>11</v>
      </c>
      <c r="L44" s="3">
        <v>0.34699999999999998</v>
      </c>
      <c r="M44" s="3">
        <v>0.23799999999999999</v>
      </c>
      <c r="N44" s="3">
        <v>0.68</v>
      </c>
      <c r="O44" s="3">
        <v>9.4</v>
      </c>
      <c r="P44" s="3">
        <v>2.6</v>
      </c>
      <c r="Q44" s="3">
        <v>1.4</v>
      </c>
      <c r="R44" s="3">
        <v>0.4</v>
      </c>
      <c r="S44" s="3">
        <v>-0.1</v>
      </c>
      <c r="T44" s="3">
        <v>-0.02</v>
      </c>
      <c r="U44" s="3">
        <v>-6.5</v>
      </c>
      <c r="V44" s="3">
        <v>-0.3</v>
      </c>
    </row>
    <row r="45" spans="1:24">
      <c r="A45" s="1">
        <v>43</v>
      </c>
      <c r="B45" s="3">
        <v>43</v>
      </c>
      <c r="C45" s="3" t="s">
        <v>184</v>
      </c>
      <c r="D45" s="67" t="s">
        <v>1061</v>
      </c>
      <c r="E45" s="2"/>
      <c r="F45" s="3">
        <v>2</v>
      </c>
      <c r="G45" s="3">
        <v>13</v>
      </c>
      <c r="H45" s="3">
        <v>101</v>
      </c>
      <c r="I45" s="3">
        <v>33</v>
      </c>
      <c r="J45" s="3">
        <v>32</v>
      </c>
      <c r="K45" s="3">
        <v>4</v>
      </c>
      <c r="L45" s="3">
        <v>0.625</v>
      </c>
      <c r="M45" s="2"/>
      <c r="N45" s="3">
        <v>0.27300000000000002</v>
      </c>
      <c r="O45" s="3">
        <v>7.8</v>
      </c>
      <c r="P45" s="3">
        <v>2.5</v>
      </c>
      <c r="Q45" s="3">
        <v>2.5</v>
      </c>
      <c r="R45" s="3">
        <v>0.3</v>
      </c>
      <c r="S45" s="3">
        <v>0.2</v>
      </c>
      <c r="T45" s="3">
        <v>0.11799999999999999</v>
      </c>
      <c r="U45" s="3">
        <v>-0.4</v>
      </c>
      <c r="V45" s="3">
        <v>0</v>
      </c>
    </row>
    <row r="46" spans="1:24">
      <c r="A46" s="1">
        <v>44</v>
      </c>
      <c r="B46" s="3">
        <v>44</v>
      </c>
      <c r="C46" s="3" t="s">
        <v>135</v>
      </c>
      <c r="D46" s="67" t="s">
        <v>1062</v>
      </c>
      <c r="E46" s="3" t="s">
        <v>511</v>
      </c>
      <c r="F46" s="3">
        <v>3</v>
      </c>
      <c r="G46" s="3">
        <v>113</v>
      </c>
      <c r="H46" s="3">
        <v>1794</v>
      </c>
      <c r="I46" s="3">
        <v>584</v>
      </c>
      <c r="J46" s="3">
        <v>234</v>
      </c>
      <c r="K46" s="3">
        <v>132</v>
      </c>
      <c r="L46" s="3">
        <v>0.38</v>
      </c>
      <c r="M46" s="3">
        <v>0.29499999999999998</v>
      </c>
      <c r="N46" s="3">
        <v>0.78100000000000003</v>
      </c>
      <c r="O46" s="3">
        <v>15.9</v>
      </c>
      <c r="P46" s="3">
        <v>5.2</v>
      </c>
      <c r="Q46" s="3">
        <v>2.1</v>
      </c>
      <c r="R46" s="3">
        <v>1.2</v>
      </c>
      <c r="S46" s="3">
        <v>1.1000000000000001</v>
      </c>
      <c r="T46" s="3">
        <v>2.9000000000000001E-2</v>
      </c>
      <c r="U46" s="3">
        <v>-2.9</v>
      </c>
      <c r="V46" s="3">
        <v>-0.4</v>
      </c>
    </row>
    <row r="47" spans="1:24">
      <c r="A47" s="1">
        <v>45</v>
      </c>
      <c r="B47" s="3">
        <v>45</v>
      </c>
      <c r="C47" s="3" t="s">
        <v>119</v>
      </c>
      <c r="D47" s="80" t="s">
        <v>120</v>
      </c>
      <c r="E47" s="3" t="s">
        <v>121</v>
      </c>
      <c r="F47" s="3">
        <v>11</v>
      </c>
      <c r="G47" s="3">
        <v>683</v>
      </c>
      <c r="H47" s="3">
        <v>12265</v>
      </c>
      <c r="I47" s="3">
        <v>4689</v>
      </c>
      <c r="J47" s="3">
        <v>2936</v>
      </c>
      <c r="K47" s="3">
        <v>700</v>
      </c>
      <c r="L47" s="3">
        <v>0.60399999999999998</v>
      </c>
      <c r="M47" s="3">
        <v>0.29399999999999998</v>
      </c>
      <c r="N47" s="3">
        <v>0.73699999999999999</v>
      </c>
      <c r="O47" s="3">
        <v>18</v>
      </c>
      <c r="P47" s="3">
        <v>6.9</v>
      </c>
      <c r="Q47" s="3">
        <v>4.3</v>
      </c>
      <c r="R47" s="3">
        <v>1</v>
      </c>
      <c r="S47" s="3">
        <v>47.2</v>
      </c>
      <c r="T47" s="3">
        <v>0.185</v>
      </c>
      <c r="U47" s="3">
        <v>0.9</v>
      </c>
      <c r="V47" s="3">
        <v>9</v>
      </c>
    </row>
    <row r="48" spans="1:24">
      <c r="A48" s="1">
        <v>46</v>
      </c>
      <c r="B48" s="3">
        <v>46</v>
      </c>
      <c r="C48" s="3" t="s">
        <v>69</v>
      </c>
      <c r="D48" s="89" t="s">
        <v>70</v>
      </c>
      <c r="E48" s="3" t="s">
        <v>71</v>
      </c>
      <c r="F48" s="3">
        <v>11</v>
      </c>
      <c r="G48" s="3">
        <v>744</v>
      </c>
      <c r="H48" s="3">
        <v>20594</v>
      </c>
      <c r="I48" s="3">
        <v>11902</v>
      </c>
      <c r="J48" s="3">
        <v>2494</v>
      </c>
      <c r="K48" s="3">
        <v>2178</v>
      </c>
      <c r="L48" s="3">
        <v>0.437</v>
      </c>
      <c r="M48" s="3">
        <v>0.33700000000000002</v>
      </c>
      <c r="N48" s="3">
        <v>0.83199999999999996</v>
      </c>
      <c r="O48" s="3">
        <v>27.7</v>
      </c>
      <c r="P48" s="3">
        <v>16</v>
      </c>
      <c r="Q48" s="3">
        <v>3.4</v>
      </c>
      <c r="R48" s="3">
        <v>2.9</v>
      </c>
      <c r="S48" s="3">
        <v>24.5</v>
      </c>
      <c r="T48" s="3">
        <v>5.7000000000000002E-2</v>
      </c>
      <c r="U48" s="3">
        <v>-0.9</v>
      </c>
      <c r="V48" s="3">
        <v>5.8</v>
      </c>
    </row>
    <row r="49" spans="1:37">
      <c r="A49" s="1">
        <v>47</v>
      </c>
      <c r="B49" s="3">
        <v>47</v>
      </c>
      <c r="C49" s="3" t="s">
        <v>66</v>
      </c>
      <c r="D49" s="67" t="s">
        <v>1063</v>
      </c>
      <c r="E49" s="3" t="s">
        <v>61</v>
      </c>
      <c r="F49" s="3">
        <v>2</v>
      </c>
      <c r="G49" s="3">
        <v>27</v>
      </c>
      <c r="H49" s="3">
        <v>131</v>
      </c>
      <c r="I49" s="3">
        <v>53</v>
      </c>
      <c r="J49" s="3">
        <v>15</v>
      </c>
      <c r="K49" s="3">
        <v>19</v>
      </c>
      <c r="L49" s="3">
        <v>0.31900000000000001</v>
      </c>
      <c r="M49" s="3">
        <v>0.188</v>
      </c>
      <c r="N49" s="3">
        <v>0.76900000000000002</v>
      </c>
      <c r="O49" s="3">
        <v>4.9000000000000004</v>
      </c>
      <c r="P49" s="3">
        <v>2</v>
      </c>
      <c r="Q49" s="3">
        <v>0.6</v>
      </c>
      <c r="R49" s="3">
        <v>0.7</v>
      </c>
      <c r="S49" s="3">
        <v>-0.2</v>
      </c>
      <c r="T49" s="3">
        <v>-6.8000000000000005E-2</v>
      </c>
      <c r="U49" s="3">
        <v>-5.0999999999999996</v>
      </c>
      <c r="V49" s="3">
        <v>-0.1</v>
      </c>
    </row>
    <row r="50" spans="1:37">
      <c r="A50" s="1">
        <v>48</v>
      </c>
      <c r="B50" s="3">
        <v>48</v>
      </c>
      <c r="C50" s="3" t="s">
        <v>57</v>
      </c>
      <c r="D50" s="67" t="s">
        <v>1064</v>
      </c>
      <c r="E50" s="3" t="s">
        <v>219</v>
      </c>
      <c r="F50" s="3">
        <v>2</v>
      </c>
      <c r="G50" s="3">
        <v>40</v>
      </c>
      <c r="H50" s="3">
        <v>435</v>
      </c>
      <c r="I50" s="3">
        <v>93</v>
      </c>
      <c r="J50" s="3">
        <v>57</v>
      </c>
      <c r="K50" s="3">
        <v>45</v>
      </c>
      <c r="L50" s="3">
        <v>0.32600000000000001</v>
      </c>
      <c r="M50" s="3">
        <v>0.23599999999999999</v>
      </c>
      <c r="N50" s="3">
        <v>0.72</v>
      </c>
      <c r="O50" s="3">
        <v>10.9</v>
      </c>
      <c r="P50" s="3">
        <v>2.2999999999999998</v>
      </c>
      <c r="Q50" s="3">
        <v>1.4</v>
      </c>
      <c r="R50" s="3">
        <v>1.1000000000000001</v>
      </c>
      <c r="S50" s="3">
        <v>0.1</v>
      </c>
      <c r="T50" s="3">
        <v>6.0000000000000001E-3</v>
      </c>
      <c r="U50" s="3">
        <v>-5.7</v>
      </c>
      <c r="V50" s="3">
        <v>-0.4</v>
      </c>
    </row>
    <row r="51" spans="1:37">
      <c r="A51" s="1">
        <v>49</v>
      </c>
      <c r="B51" s="3">
        <v>49</v>
      </c>
      <c r="C51" s="3" t="s">
        <v>99</v>
      </c>
      <c r="D51" s="67" t="s">
        <v>1065</v>
      </c>
      <c r="E51" s="3" t="s">
        <v>1066</v>
      </c>
      <c r="F51" s="3">
        <v>2</v>
      </c>
      <c r="G51" s="3">
        <v>36</v>
      </c>
      <c r="H51" s="3">
        <v>167</v>
      </c>
      <c r="I51" s="3">
        <v>44</v>
      </c>
      <c r="J51" s="3">
        <v>36</v>
      </c>
      <c r="K51" s="3">
        <v>7</v>
      </c>
      <c r="L51" s="3">
        <v>0.29599999999999999</v>
      </c>
      <c r="M51" s="3">
        <v>0.2</v>
      </c>
      <c r="N51" s="3">
        <v>0.84599999999999997</v>
      </c>
      <c r="O51" s="3">
        <v>4.5999999999999996</v>
      </c>
      <c r="P51" s="3">
        <v>1.2</v>
      </c>
      <c r="Q51" s="3">
        <v>1</v>
      </c>
      <c r="R51" s="3">
        <v>0.2</v>
      </c>
      <c r="S51" s="3">
        <v>-0.1</v>
      </c>
      <c r="T51" s="3">
        <v>-2.1000000000000001E-2</v>
      </c>
      <c r="U51" s="3">
        <v>-8.1</v>
      </c>
      <c r="V51" s="3">
        <v>-0.3</v>
      </c>
    </row>
    <row r="52" spans="1:37">
      <c r="A52" s="1">
        <v>50</v>
      </c>
      <c r="B52" s="3">
        <v>50</v>
      </c>
      <c r="C52" s="3" t="s">
        <v>323</v>
      </c>
      <c r="D52" s="67" t="s">
        <v>1067</v>
      </c>
      <c r="E52" s="3" t="s">
        <v>1068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37">
      <c r="A53" s="1">
        <v>51</v>
      </c>
      <c r="B53" s="3">
        <v>51</v>
      </c>
      <c r="C53" s="3" t="s">
        <v>50</v>
      </c>
      <c r="D53" s="67" t="s">
        <v>1069</v>
      </c>
      <c r="E53" s="2"/>
      <c r="F53" s="3">
        <v>6</v>
      </c>
      <c r="G53" s="3">
        <v>198</v>
      </c>
      <c r="H53" s="3">
        <v>1520</v>
      </c>
      <c r="I53" s="3">
        <v>481</v>
      </c>
      <c r="J53" s="3">
        <v>307</v>
      </c>
      <c r="K53" s="3">
        <v>115</v>
      </c>
      <c r="L53" s="3">
        <v>0.50900000000000001</v>
      </c>
      <c r="M53" s="3">
        <v>0.14299999999999999</v>
      </c>
      <c r="N53" s="3">
        <v>0.52900000000000003</v>
      </c>
      <c r="O53" s="3">
        <v>7.7</v>
      </c>
      <c r="P53" s="3">
        <v>2.4</v>
      </c>
      <c r="Q53" s="3">
        <v>1.6</v>
      </c>
      <c r="R53" s="3">
        <v>0.6</v>
      </c>
      <c r="S53" s="3">
        <v>1.9</v>
      </c>
      <c r="T53" s="3">
        <v>5.8999999999999997E-2</v>
      </c>
      <c r="U53" s="3">
        <v>-4.3</v>
      </c>
      <c r="V53" s="3">
        <v>-0.9</v>
      </c>
    </row>
    <row r="54" spans="1:37">
      <c r="A54" s="1">
        <v>52</v>
      </c>
      <c r="B54" s="3">
        <v>52</v>
      </c>
      <c r="C54" s="3" t="s">
        <v>66</v>
      </c>
      <c r="D54" s="5" t="s">
        <v>1070</v>
      </c>
      <c r="E54" s="2"/>
      <c r="F54" s="3">
        <v>2</v>
      </c>
      <c r="G54" s="3">
        <v>96</v>
      </c>
      <c r="H54" s="3">
        <v>1940</v>
      </c>
      <c r="I54" s="3">
        <v>691</v>
      </c>
      <c r="J54" s="3">
        <v>175</v>
      </c>
      <c r="K54" s="3">
        <v>389</v>
      </c>
      <c r="L54" s="3">
        <v>0.39500000000000002</v>
      </c>
      <c r="M54" s="3">
        <v>0.315</v>
      </c>
      <c r="N54" s="3">
        <v>0.81899999999999995</v>
      </c>
      <c r="O54" s="3">
        <v>20.2</v>
      </c>
      <c r="P54" s="3">
        <v>7.2</v>
      </c>
      <c r="Q54" s="3">
        <v>1.8</v>
      </c>
      <c r="R54" s="3">
        <v>4.0999999999999996</v>
      </c>
      <c r="S54" s="3">
        <v>-0.3</v>
      </c>
      <c r="T54" s="3">
        <v>-7.0000000000000001E-3</v>
      </c>
      <c r="U54" s="3">
        <v>-5.4</v>
      </c>
      <c r="V54" s="3">
        <v>-1.7</v>
      </c>
    </row>
    <row r="55" spans="1:37">
      <c r="A55" s="1">
        <v>53</v>
      </c>
      <c r="B55" s="3">
        <v>53</v>
      </c>
      <c r="C55" s="3" t="s">
        <v>135</v>
      </c>
      <c r="D55" s="67" t="s">
        <v>1071</v>
      </c>
      <c r="E55" s="2"/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</row>
    <row r="56" spans="1:37">
      <c r="A56" s="1">
        <v>54</v>
      </c>
      <c r="B56" s="3">
        <v>54</v>
      </c>
      <c r="C56" s="3" t="s">
        <v>66</v>
      </c>
      <c r="D56" s="67" t="s">
        <v>1072</v>
      </c>
      <c r="E56" s="2"/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</row>
    <row r="57" spans="1:37">
      <c r="A57" s="1">
        <v>55</v>
      </c>
      <c r="B57" s="3">
        <v>55</v>
      </c>
      <c r="C57" s="3" t="s">
        <v>72</v>
      </c>
      <c r="D57" s="67" t="s">
        <v>1073</v>
      </c>
      <c r="E57" s="3" t="s">
        <v>412</v>
      </c>
      <c r="F57" s="3">
        <v>1</v>
      </c>
      <c r="G57" s="3">
        <v>64</v>
      </c>
      <c r="H57" s="3">
        <v>973</v>
      </c>
      <c r="I57" s="3">
        <v>183</v>
      </c>
      <c r="J57" s="3">
        <v>87</v>
      </c>
      <c r="K57" s="3">
        <v>130</v>
      </c>
      <c r="L57" s="3">
        <v>0.34499999999999997</v>
      </c>
      <c r="M57" s="3">
        <v>0.19</v>
      </c>
      <c r="N57" s="3">
        <v>0.54800000000000004</v>
      </c>
      <c r="O57" s="3">
        <v>15.2</v>
      </c>
      <c r="P57" s="3">
        <v>2.9</v>
      </c>
      <c r="Q57" s="3">
        <v>1.4</v>
      </c>
      <c r="R57" s="3">
        <v>2</v>
      </c>
      <c r="S57" s="3">
        <v>0.1</v>
      </c>
      <c r="T57" s="3">
        <v>6.0000000000000001E-3</v>
      </c>
      <c r="U57" s="3">
        <v>-5.0999999999999996</v>
      </c>
      <c r="V57" s="3">
        <v>-0.8</v>
      </c>
    </row>
    <row r="58" spans="1:37">
      <c r="A58" s="1">
        <v>56</v>
      </c>
      <c r="B58" s="3">
        <v>56</v>
      </c>
      <c r="C58" s="3" t="s">
        <v>23</v>
      </c>
      <c r="D58" s="67" t="s">
        <v>1074</v>
      </c>
      <c r="E58" s="3" t="s">
        <v>397</v>
      </c>
      <c r="F58" s="3">
        <v>2</v>
      </c>
      <c r="G58" s="3">
        <v>44</v>
      </c>
      <c r="H58" s="3">
        <v>457</v>
      </c>
      <c r="I58" s="3">
        <v>97</v>
      </c>
      <c r="J58" s="3">
        <v>69</v>
      </c>
      <c r="K58" s="3">
        <v>29</v>
      </c>
      <c r="L58" s="3">
        <v>0.30399999999999999</v>
      </c>
      <c r="M58" s="3">
        <v>0.222</v>
      </c>
      <c r="N58" s="3">
        <v>0.375</v>
      </c>
      <c r="O58" s="3">
        <v>10.4</v>
      </c>
      <c r="P58" s="3">
        <v>2.2000000000000002</v>
      </c>
      <c r="Q58" s="3">
        <v>1.6</v>
      </c>
      <c r="R58" s="3">
        <v>0.7</v>
      </c>
      <c r="S58" s="3">
        <v>-0.3</v>
      </c>
      <c r="T58" s="3">
        <v>-2.8000000000000001E-2</v>
      </c>
      <c r="U58" s="3">
        <v>-5.5</v>
      </c>
      <c r="V58" s="3">
        <v>-0.4</v>
      </c>
    </row>
    <row r="59" spans="1:37">
      <c r="A59" s="1">
        <v>57</v>
      </c>
      <c r="B59" s="3">
        <v>57</v>
      </c>
      <c r="C59" s="3" t="s">
        <v>41</v>
      </c>
      <c r="D59" s="67" t="s">
        <v>1075</v>
      </c>
      <c r="E59" s="2"/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37">
      <c r="A60" s="1">
        <v>58</v>
      </c>
      <c r="B60" s="3">
        <v>58</v>
      </c>
      <c r="C60" s="3" t="s">
        <v>79</v>
      </c>
      <c r="D60" s="67" t="s">
        <v>1076</v>
      </c>
      <c r="E60" s="3" t="s">
        <v>115</v>
      </c>
      <c r="F60" s="3">
        <v>4</v>
      </c>
      <c r="G60" s="3">
        <v>123</v>
      </c>
      <c r="H60" s="3">
        <v>1696</v>
      </c>
      <c r="I60" s="3">
        <v>846</v>
      </c>
      <c r="J60" s="3">
        <v>225</v>
      </c>
      <c r="K60" s="3">
        <v>167</v>
      </c>
      <c r="L60" s="3">
        <v>0.41699999999999998</v>
      </c>
      <c r="M60" s="3">
        <v>0.35499999999999998</v>
      </c>
      <c r="N60" s="3">
        <v>0.77200000000000002</v>
      </c>
      <c r="O60" s="3">
        <v>13.8</v>
      </c>
      <c r="P60" s="3">
        <v>6.9</v>
      </c>
      <c r="Q60" s="3">
        <v>1.8</v>
      </c>
      <c r="R60" s="3">
        <v>1.4</v>
      </c>
      <c r="S60" s="3">
        <v>1.7</v>
      </c>
      <c r="T60" s="3">
        <v>4.8000000000000001E-2</v>
      </c>
      <c r="U60" s="3">
        <v>-2.1</v>
      </c>
      <c r="V60" s="3">
        <v>0</v>
      </c>
    </row>
    <row r="61" spans="1:37">
      <c r="A61" s="1">
        <v>59</v>
      </c>
      <c r="B61" s="3">
        <v>59</v>
      </c>
      <c r="C61" s="3" t="s">
        <v>163</v>
      </c>
      <c r="D61" s="67" t="s">
        <v>1077</v>
      </c>
      <c r="E61" s="3" t="s">
        <v>608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</row>
    <row r="62" spans="1:37">
      <c r="A62" s="1">
        <v>60</v>
      </c>
      <c r="B62" s="3">
        <v>60</v>
      </c>
      <c r="C62" s="3" t="s">
        <v>79</v>
      </c>
      <c r="D62" s="67" t="s">
        <v>1078</v>
      </c>
      <c r="E62" s="3" t="s">
        <v>208</v>
      </c>
      <c r="F62" s="3">
        <v>2</v>
      </c>
      <c r="G62" s="3">
        <v>58</v>
      </c>
      <c r="H62" s="3">
        <v>581</v>
      </c>
      <c r="I62" s="3">
        <v>205</v>
      </c>
      <c r="J62" s="3">
        <v>161</v>
      </c>
      <c r="K62" s="3">
        <v>16</v>
      </c>
      <c r="L62" s="3">
        <v>0.44400000000000001</v>
      </c>
      <c r="M62" s="3">
        <v>0.125</v>
      </c>
      <c r="N62" s="3">
        <v>0.58299999999999996</v>
      </c>
      <c r="O62" s="3">
        <v>10</v>
      </c>
      <c r="P62" s="3">
        <v>3.5</v>
      </c>
      <c r="Q62" s="3">
        <v>2.8</v>
      </c>
      <c r="R62" s="3">
        <v>0.3</v>
      </c>
      <c r="S62" s="3">
        <v>0.9</v>
      </c>
      <c r="T62" s="3">
        <v>7.0999999999999994E-2</v>
      </c>
      <c r="U62" s="3">
        <v>-3.3</v>
      </c>
      <c r="V62" s="3">
        <v>-0.2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1079</v>
      </c>
      <c r="E65" s="3" t="s">
        <v>1080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1081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1082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1083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1084</v>
      </c>
      <c r="E69" s="3" t="s">
        <v>846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1085</v>
      </c>
      <c r="E70" s="3" t="s"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1086</v>
      </c>
      <c r="E71" s="3" t="s">
        <v>1001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2"/>
      <c r="AH71" s="3"/>
      <c r="AI71" s="3"/>
      <c r="AJ71" s="3"/>
      <c r="AK71" s="3"/>
    </row>
    <row r="72" spans="4:37">
      <c r="D72" s="3" t="s">
        <v>1087</v>
      </c>
      <c r="E72" s="3" t="s">
        <v>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1088</v>
      </c>
      <c r="E73" s="3" t="s">
        <v>506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4:37">
      <c r="D74" s="3" t="s">
        <v>1089</v>
      </c>
      <c r="E74" s="3" t="s">
        <v>722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4:37">
      <c r="D75" s="3" t="s">
        <v>1090</v>
      </c>
      <c r="E75" s="3" t="s">
        <v>722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</sheetData>
  <phoneticPr fontId="20" type="noConversion"/>
  <conditionalFormatting sqref="G1:G62">
    <cfRule type="cellIs" dxfId="14" priority="1" operator="greaterThan">
      <formula>82</formula>
    </cfRule>
  </conditionalFormatting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1D39-EECC-4146-9E77-55F187206B0D}">
  <dimension ref="A1:AK73"/>
  <sheetViews>
    <sheetView zoomScale="125" workbookViewId="0">
      <pane ySplit="1" topLeftCell="A34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8.375" bestFit="1" customWidth="1"/>
    <col min="5" max="5" width="17.375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5.375" bestFit="1" customWidth="1"/>
    <col min="20" max="20" width="5.875" bestFit="1" customWidth="1"/>
    <col min="21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76</v>
      </c>
      <c r="D2" s="3" t="s">
        <v>1091</v>
      </c>
      <c r="E2" s="3" t="s">
        <v>901</v>
      </c>
      <c r="F2" s="3">
        <v>4</v>
      </c>
      <c r="G2" s="3">
        <v>151</v>
      </c>
      <c r="H2" s="3">
        <v>1905</v>
      </c>
      <c r="I2" s="3">
        <v>658</v>
      </c>
      <c r="J2" s="3">
        <v>472</v>
      </c>
      <c r="K2" s="3">
        <v>77</v>
      </c>
      <c r="L2" s="3">
        <v>0.39200000000000002</v>
      </c>
      <c r="M2" s="3">
        <v>0.26100000000000001</v>
      </c>
      <c r="N2" s="3">
        <v>0.67</v>
      </c>
      <c r="O2" s="3">
        <v>12.6</v>
      </c>
      <c r="P2" s="3">
        <v>4.4000000000000004</v>
      </c>
      <c r="Q2" s="3">
        <v>3.1</v>
      </c>
      <c r="R2" s="3">
        <v>0.5</v>
      </c>
      <c r="S2" s="3">
        <v>0.5</v>
      </c>
      <c r="T2" s="3">
        <v>1.2999999999999999E-2</v>
      </c>
      <c r="U2" s="3">
        <v>-4.8</v>
      </c>
      <c r="V2" s="3">
        <v>-1.3</v>
      </c>
    </row>
    <row r="3" spans="1:22" hidden="1">
      <c r="A3" s="1">
        <v>2</v>
      </c>
      <c r="B3" s="3">
        <v>2</v>
      </c>
      <c r="C3" s="3" t="s">
        <v>179</v>
      </c>
      <c r="D3" s="3" t="s">
        <v>1092</v>
      </c>
      <c r="E3" s="3" t="s">
        <v>195</v>
      </c>
      <c r="F3" s="3">
        <v>10</v>
      </c>
      <c r="G3" s="3">
        <v>504</v>
      </c>
      <c r="H3" s="3">
        <v>16247</v>
      </c>
      <c r="I3" s="3">
        <v>8503</v>
      </c>
      <c r="J3" s="3">
        <v>2245</v>
      </c>
      <c r="K3" s="3">
        <v>1970</v>
      </c>
      <c r="L3" s="3">
        <v>0.436</v>
      </c>
      <c r="M3" s="3">
        <v>0.34699999999999998</v>
      </c>
      <c r="N3" s="3">
        <v>0.78800000000000003</v>
      </c>
      <c r="O3" s="3">
        <v>32.200000000000003</v>
      </c>
      <c r="P3" s="3">
        <v>16.899999999999999</v>
      </c>
      <c r="Q3" s="3">
        <v>4.5</v>
      </c>
      <c r="R3" s="3">
        <v>3.9</v>
      </c>
      <c r="S3" s="3">
        <v>25.6</v>
      </c>
      <c r="T3" s="3">
        <v>7.5999999999999998E-2</v>
      </c>
      <c r="U3" s="3">
        <v>0.7</v>
      </c>
      <c r="V3" s="3">
        <v>11</v>
      </c>
    </row>
    <row r="4" spans="1:22" hidden="1">
      <c r="A4" s="1">
        <v>3</v>
      </c>
      <c r="B4" s="3">
        <v>3</v>
      </c>
      <c r="C4" s="3" t="s">
        <v>69</v>
      </c>
      <c r="D4" s="3" t="s">
        <v>1093</v>
      </c>
      <c r="E4" s="3" t="s">
        <v>1094</v>
      </c>
      <c r="F4" s="3">
        <v>11</v>
      </c>
      <c r="G4" s="3">
        <v>527</v>
      </c>
      <c r="H4" s="3">
        <v>13400</v>
      </c>
      <c r="I4" s="3">
        <v>5419</v>
      </c>
      <c r="J4" s="3">
        <v>2599</v>
      </c>
      <c r="K4" s="3">
        <v>783</v>
      </c>
      <c r="L4" s="3">
        <v>0.47699999999999998</v>
      </c>
      <c r="M4" s="3">
        <v>0.39700000000000002</v>
      </c>
      <c r="N4" s="3">
        <v>0.79700000000000004</v>
      </c>
      <c r="O4" s="3">
        <v>25.4</v>
      </c>
      <c r="P4" s="3">
        <v>10.3</v>
      </c>
      <c r="Q4" s="3">
        <v>4.9000000000000004</v>
      </c>
      <c r="R4" s="3">
        <v>1.5</v>
      </c>
      <c r="S4" s="3">
        <v>36.700000000000003</v>
      </c>
      <c r="T4" s="3">
        <v>0.13200000000000001</v>
      </c>
      <c r="U4" s="3">
        <v>1.7</v>
      </c>
      <c r="V4" s="3">
        <v>12.5</v>
      </c>
    </row>
    <row r="5" spans="1:22" hidden="1">
      <c r="A5" s="1">
        <v>4</v>
      </c>
      <c r="B5" s="3">
        <v>4</v>
      </c>
      <c r="C5" s="3" t="s">
        <v>1095</v>
      </c>
      <c r="D5" s="3" t="s">
        <v>1096</v>
      </c>
      <c r="E5" s="3" t="s">
        <v>195</v>
      </c>
      <c r="F5" s="3">
        <v>11</v>
      </c>
      <c r="G5" s="3">
        <v>552</v>
      </c>
      <c r="H5" s="3">
        <v>11510</v>
      </c>
      <c r="I5" s="3">
        <v>4376</v>
      </c>
      <c r="J5" s="3">
        <v>3125</v>
      </c>
      <c r="K5" s="3">
        <v>740</v>
      </c>
      <c r="L5" s="3">
        <v>0.52</v>
      </c>
      <c r="M5" s="3">
        <v>0.22</v>
      </c>
      <c r="N5" s="3">
        <v>0.72699999999999998</v>
      </c>
      <c r="O5" s="3">
        <v>20.9</v>
      </c>
      <c r="P5" s="3">
        <v>7.9</v>
      </c>
      <c r="Q5" s="3">
        <v>5.7</v>
      </c>
      <c r="R5" s="3">
        <v>1.3</v>
      </c>
      <c r="S5" s="3">
        <v>33.5</v>
      </c>
      <c r="T5" s="3">
        <v>0.14000000000000001</v>
      </c>
      <c r="U5" s="3">
        <v>-0.7</v>
      </c>
      <c r="V5" s="3">
        <v>3.9</v>
      </c>
    </row>
    <row r="6" spans="1:22" hidden="1">
      <c r="A6" s="1">
        <v>5</v>
      </c>
      <c r="B6" s="3">
        <v>5</v>
      </c>
      <c r="C6" s="3" t="s">
        <v>323</v>
      </c>
      <c r="D6" s="3" t="s">
        <v>1097</v>
      </c>
      <c r="E6" s="3" t="s">
        <v>89</v>
      </c>
      <c r="F6" s="3">
        <v>12</v>
      </c>
      <c r="G6" s="3">
        <v>680</v>
      </c>
      <c r="H6" s="3">
        <v>11632</v>
      </c>
      <c r="I6" s="3">
        <v>4586</v>
      </c>
      <c r="J6" s="3">
        <v>3593</v>
      </c>
      <c r="K6" s="3">
        <v>581</v>
      </c>
      <c r="L6" s="3">
        <v>0.51</v>
      </c>
      <c r="M6" s="3">
        <v>0.32200000000000001</v>
      </c>
      <c r="N6" s="3">
        <v>0.68</v>
      </c>
      <c r="O6" s="3">
        <v>17.100000000000001</v>
      </c>
      <c r="P6" s="3">
        <v>6.7</v>
      </c>
      <c r="Q6" s="3">
        <v>5.3</v>
      </c>
      <c r="R6" s="3">
        <v>0.9</v>
      </c>
      <c r="S6" s="3">
        <v>23.9</v>
      </c>
      <c r="T6" s="3">
        <v>9.8000000000000004E-2</v>
      </c>
      <c r="U6" s="3">
        <v>-1.8</v>
      </c>
      <c r="V6" s="3">
        <v>0.5</v>
      </c>
    </row>
    <row r="7" spans="1:22" hidden="1">
      <c r="A7" s="1">
        <v>6</v>
      </c>
      <c r="B7" s="3">
        <v>6</v>
      </c>
      <c r="C7" s="3" t="s">
        <v>1098</v>
      </c>
      <c r="D7" s="3" t="s">
        <v>1099</v>
      </c>
      <c r="E7" s="3" t="s">
        <v>173</v>
      </c>
      <c r="F7" s="3">
        <v>9</v>
      </c>
      <c r="G7" s="3">
        <v>467</v>
      </c>
      <c r="H7" s="3">
        <v>10281</v>
      </c>
      <c r="I7" s="3">
        <v>3338</v>
      </c>
      <c r="J7" s="3">
        <v>2835</v>
      </c>
      <c r="K7" s="3">
        <v>501</v>
      </c>
      <c r="L7" s="3">
        <v>0.54600000000000004</v>
      </c>
      <c r="M7" s="3">
        <v>0.2</v>
      </c>
      <c r="N7" s="3">
        <v>0.65500000000000003</v>
      </c>
      <c r="O7" s="3">
        <v>22</v>
      </c>
      <c r="P7" s="3">
        <v>7.1</v>
      </c>
      <c r="Q7" s="3">
        <v>6.1</v>
      </c>
      <c r="R7" s="3">
        <v>1.1000000000000001</v>
      </c>
      <c r="S7" s="3">
        <v>28.3</v>
      </c>
      <c r="T7" s="3">
        <v>0.13200000000000001</v>
      </c>
      <c r="U7" s="3">
        <v>0.9</v>
      </c>
      <c r="V7" s="3">
        <v>7.4</v>
      </c>
    </row>
    <row r="8" spans="1:22" hidden="1">
      <c r="A8" s="1">
        <v>7</v>
      </c>
      <c r="B8" s="3">
        <v>7</v>
      </c>
      <c r="C8" s="3" t="s">
        <v>36</v>
      </c>
      <c r="D8" s="3" t="s">
        <v>1100</v>
      </c>
      <c r="E8" s="3" t="s">
        <v>138</v>
      </c>
      <c r="F8" s="3">
        <v>9</v>
      </c>
      <c r="G8" s="3">
        <v>556</v>
      </c>
      <c r="H8" s="3">
        <v>12534</v>
      </c>
      <c r="I8" s="3">
        <v>5015</v>
      </c>
      <c r="J8" s="3">
        <v>1269</v>
      </c>
      <c r="K8" s="3">
        <v>563</v>
      </c>
      <c r="L8" s="3">
        <v>0.41399999999999998</v>
      </c>
      <c r="M8" s="3">
        <v>0.36299999999999999</v>
      </c>
      <c r="N8" s="3">
        <v>0.78</v>
      </c>
      <c r="O8" s="3">
        <v>22.5</v>
      </c>
      <c r="P8" s="3">
        <v>9</v>
      </c>
      <c r="Q8" s="3">
        <v>2.2999999999999998</v>
      </c>
      <c r="R8" s="3">
        <v>1</v>
      </c>
      <c r="S8" s="3">
        <v>9</v>
      </c>
      <c r="T8" s="3">
        <v>3.5000000000000003E-2</v>
      </c>
      <c r="U8" s="3">
        <v>-3.1</v>
      </c>
      <c r="V8" s="3">
        <v>-3.4</v>
      </c>
    </row>
    <row r="9" spans="1:22" hidden="1">
      <c r="A9" s="1">
        <v>8</v>
      </c>
      <c r="B9" s="3">
        <v>8</v>
      </c>
      <c r="C9" s="3" t="s">
        <v>34</v>
      </c>
      <c r="D9" s="3" t="s">
        <v>1101</v>
      </c>
      <c r="E9" s="3" t="s">
        <v>49</v>
      </c>
      <c r="F9" s="3">
        <v>12</v>
      </c>
      <c r="G9" s="3">
        <v>887</v>
      </c>
      <c r="H9" s="3">
        <v>26344</v>
      </c>
      <c r="I9" s="3">
        <v>9957</v>
      </c>
      <c r="J9" s="3">
        <v>2646</v>
      </c>
      <c r="K9" s="3">
        <v>1610</v>
      </c>
      <c r="L9" s="3">
        <v>0.42599999999999999</v>
      </c>
      <c r="M9" s="3">
        <v>0.36499999999999999</v>
      </c>
      <c r="N9" s="3">
        <v>0.82199999999999995</v>
      </c>
      <c r="O9" s="3">
        <v>29.7</v>
      </c>
      <c r="P9" s="3">
        <v>11.2</v>
      </c>
      <c r="Q9" s="3">
        <v>3</v>
      </c>
      <c r="R9" s="3">
        <v>1.8</v>
      </c>
      <c r="S9" s="3">
        <v>46.7</v>
      </c>
      <c r="T9" s="3">
        <v>8.5000000000000006E-2</v>
      </c>
      <c r="U9" s="3">
        <v>-0.9</v>
      </c>
      <c r="V9" s="3">
        <v>7.1</v>
      </c>
    </row>
    <row r="10" spans="1:22" hidden="1">
      <c r="A10" s="1">
        <v>9</v>
      </c>
      <c r="B10" s="3">
        <v>9</v>
      </c>
      <c r="C10" s="3" t="s">
        <v>135</v>
      </c>
      <c r="D10" s="3" t="s">
        <v>1102</v>
      </c>
      <c r="E10" s="3" t="s">
        <v>151</v>
      </c>
      <c r="F10" s="3">
        <v>9</v>
      </c>
      <c r="G10" s="3">
        <v>498</v>
      </c>
      <c r="H10" s="3">
        <v>10401</v>
      </c>
      <c r="I10" s="3">
        <v>4792</v>
      </c>
      <c r="J10" s="3">
        <v>878</v>
      </c>
      <c r="K10" s="3">
        <v>1522</v>
      </c>
      <c r="L10" s="3">
        <v>0.41</v>
      </c>
      <c r="M10" s="3">
        <v>0.34499999999999997</v>
      </c>
      <c r="N10" s="3">
        <v>0.81</v>
      </c>
      <c r="O10" s="3">
        <v>20.9</v>
      </c>
      <c r="P10" s="3">
        <v>9.6</v>
      </c>
      <c r="Q10" s="3">
        <v>1.8</v>
      </c>
      <c r="R10" s="3">
        <v>3.1</v>
      </c>
      <c r="S10" s="3">
        <v>12.9</v>
      </c>
      <c r="T10" s="3">
        <v>0.06</v>
      </c>
      <c r="U10" s="3">
        <v>-1.3</v>
      </c>
      <c r="V10" s="3">
        <v>1.7</v>
      </c>
    </row>
    <row r="11" spans="1:22" hidden="1">
      <c r="A11" s="1">
        <v>10</v>
      </c>
      <c r="B11" s="3">
        <v>10</v>
      </c>
      <c r="C11" s="3" t="s">
        <v>124</v>
      </c>
      <c r="D11" s="3" t="s">
        <v>1103</v>
      </c>
      <c r="E11" s="3" t="s">
        <v>1104</v>
      </c>
      <c r="F11" s="3">
        <v>12</v>
      </c>
      <c r="G11" s="3">
        <v>770</v>
      </c>
      <c r="H11" s="3">
        <v>24733</v>
      </c>
      <c r="I11" s="3">
        <v>15098</v>
      </c>
      <c r="J11" s="3">
        <v>2798</v>
      </c>
      <c r="K11" s="3">
        <v>2926</v>
      </c>
      <c r="L11" s="3">
        <v>0.45300000000000001</v>
      </c>
      <c r="M11" s="3">
        <v>0.39800000000000002</v>
      </c>
      <c r="N11" s="3">
        <v>0.80100000000000005</v>
      </c>
      <c r="O11" s="3">
        <v>32.1</v>
      </c>
      <c r="P11" s="3">
        <v>19.600000000000001</v>
      </c>
      <c r="Q11" s="3">
        <v>3.6</v>
      </c>
      <c r="R11" s="3">
        <v>3.8</v>
      </c>
      <c r="S11" s="3">
        <v>51.8</v>
      </c>
      <c r="T11" s="3">
        <v>0.10100000000000001</v>
      </c>
      <c r="U11" s="3">
        <v>1.3</v>
      </c>
      <c r="V11" s="3">
        <v>20.6</v>
      </c>
    </row>
    <row r="12" spans="1:22" hidden="1">
      <c r="A12" s="1">
        <v>11</v>
      </c>
      <c r="B12" s="3">
        <v>11</v>
      </c>
      <c r="C12" s="3" t="s">
        <v>66</v>
      </c>
      <c r="D12" s="3" t="s">
        <v>1105</v>
      </c>
      <c r="E12" s="3" t="s">
        <v>68</v>
      </c>
      <c r="F12" s="3">
        <v>9</v>
      </c>
      <c r="G12" s="3">
        <v>395</v>
      </c>
      <c r="H12" s="3">
        <v>9942</v>
      </c>
      <c r="I12" s="3">
        <v>4040</v>
      </c>
      <c r="J12" s="3">
        <v>1718</v>
      </c>
      <c r="K12" s="3">
        <v>1708</v>
      </c>
      <c r="L12" s="3">
        <v>0.40200000000000002</v>
      </c>
      <c r="M12" s="3">
        <v>0.25600000000000001</v>
      </c>
      <c r="N12" s="3">
        <v>0.70499999999999996</v>
      </c>
      <c r="O12" s="3">
        <v>25.2</v>
      </c>
      <c r="P12" s="3">
        <v>10.199999999999999</v>
      </c>
      <c r="Q12" s="3">
        <v>4.3</v>
      </c>
      <c r="R12" s="3">
        <v>4.3</v>
      </c>
      <c r="S12" s="3">
        <v>6.6</v>
      </c>
      <c r="T12" s="3">
        <v>3.2000000000000001E-2</v>
      </c>
      <c r="U12" s="3">
        <v>-1.2</v>
      </c>
      <c r="V12" s="3">
        <v>1.8</v>
      </c>
    </row>
    <row r="13" spans="1:22" hidden="1">
      <c r="A13" s="1">
        <v>12</v>
      </c>
      <c r="B13" s="3">
        <v>12</v>
      </c>
      <c r="C13" s="3" t="s">
        <v>82</v>
      </c>
      <c r="D13" s="3" t="s">
        <v>1106</v>
      </c>
      <c r="E13" s="3" t="s">
        <v>219</v>
      </c>
      <c r="F13" s="3">
        <v>11</v>
      </c>
      <c r="G13" s="3">
        <v>742</v>
      </c>
      <c r="H13" s="3">
        <v>19406</v>
      </c>
      <c r="I13" s="3">
        <v>6652</v>
      </c>
      <c r="J13" s="3">
        <v>5981</v>
      </c>
      <c r="K13" s="3">
        <v>1119</v>
      </c>
      <c r="L13" s="3">
        <v>0.58599999999999997</v>
      </c>
      <c r="M13" s="3">
        <v>6.7000000000000004E-2</v>
      </c>
      <c r="N13" s="3">
        <v>0.53300000000000003</v>
      </c>
      <c r="O13" s="3">
        <v>26.2</v>
      </c>
      <c r="P13" s="3">
        <v>9</v>
      </c>
      <c r="Q13" s="3">
        <v>8.1</v>
      </c>
      <c r="R13" s="3">
        <v>1.5</v>
      </c>
      <c r="S13" s="3">
        <v>60.6</v>
      </c>
      <c r="T13" s="3">
        <v>0.15</v>
      </c>
      <c r="U13" s="3">
        <v>0.5</v>
      </c>
      <c r="V13" s="3">
        <v>12.3</v>
      </c>
    </row>
    <row r="14" spans="1:22" hidden="1">
      <c r="A14" s="1">
        <v>13</v>
      </c>
      <c r="B14" s="3">
        <v>13</v>
      </c>
      <c r="C14" s="3" t="s">
        <v>20</v>
      </c>
      <c r="D14" s="3" t="s">
        <v>1107</v>
      </c>
      <c r="E14" s="3" t="s">
        <v>43</v>
      </c>
      <c r="F14" s="3">
        <v>12</v>
      </c>
      <c r="G14" s="3">
        <v>780</v>
      </c>
      <c r="H14" s="3">
        <v>17492</v>
      </c>
      <c r="I14" s="3">
        <v>7926</v>
      </c>
      <c r="J14" s="3">
        <v>4007</v>
      </c>
      <c r="K14" s="3">
        <v>1903</v>
      </c>
      <c r="L14" s="3">
        <v>0.48499999999999999</v>
      </c>
      <c r="M14" s="3">
        <v>0.371</v>
      </c>
      <c r="N14" s="3">
        <v>0.79800000000000004</v>
      </c>
      <c r="O14" s="3">
        <v>22.4</v>
      </c>
      <c r="P14" s="3">
        <v>10.199999999999999</v>
      </c>
      <c r="Q14" s="3">
        <v>5.0999999999999996</v>
      </c>
      <c r="R14" s="3">
        <v>2.4</v>
      </c>
      <c r="S14" s="3">
        <v>45.3</v>
      </c>
      <c r="T14" s="3">
        <v>0.124</v>
      </c>
      <c r="U14" s="3">
        <v>0.9</v>
      </c>
      <c r="V14" s="3">
        <v>12.9</v>
      </c>
    </row>
    <row r="15" spans="1:22" hidden="1">
      <c r="A15" s="1">
        <v>14</v>
      </c>
      <c r="B15" s="3">
        <v>14</v>
      </c>
      <c r="C15" s="3" t="s">
        <v>193</v>
      </c>
      <c r="D15" s="3" t="s">
        <v>1108</v>
      </c>
      <c r="E15" s="3" t="s">
        <v>63</v>
      </c>
      <c r="F15" s="3">
        <v>5</v>
      </c>
      <c r="G15" s="3">
        <v>278</v>
      </c>
      <c r="H15" s="3">
        <v>4772</v>
      </c>
      <c r="I15" s="3">
        <v>2504</v>
      </c>
      <c r="J15" s="3">
        <v>770</v>
      </c>
      <c r="K15" s="3">
        <v>151</v>
      </c>
      <c r="L15" s="3">
        <v>0.47299999999999998</v>
      </c>
      <c r="M15" s="3">
        <v>0.31900000000000001</v>
      </c>
      <c r="N15" s="3">
        <v>0.751</v>
      </c>
      <c r="O15" s="3">
        <v>17.2</v>
      </c>
      <c r="P15" s="3">
        <v>9</v>
      </c>
      <c r="Q15" s="3">
        <v>2.8</v>
      </c>
      <c r="R15" s="3">
        <v>0.5</v>
      </c>
      <c r="S15" s="3">
        <v>8.5</v>
      </c>
      <c r="T15" s="3">
        <v>8.5000000000000006E-2</v>
      </c>
      <c r="U15" s="3">
        <v>-2</v>
      </c>
      <c r="V15" s="3">
        <v>0</v>
      </c>
    </row>
    <row r="16" spans="1:22" hidden="1">
      <c r="A16" s="1">
        <v>15</v>
      </c>
      <c r="B16" s="3">
        <v>15</v>
      </c>
      <c r="C16" s="3" t="s">
        <v>57</v>
      </c>
      <c r="D16" s="3" t="s">
        <v>1109</v>
      </c>
      <c r="E16" s="2"/>
      <c r="F16" s="3">
        <v>12</v>
      </c>
      <c r="G16" s="3">
        <v>833</v>
      </c>
      <c r="H16" s="3">
        <v>27376</v>
      </c>
      <c r="I16" s="3">
        <v>19804</v>
      </c>
      <c r="J16" s="3">
        <v>8231</v>
      </c>
      <c r="K16" s="3">
        <v>4096</v>
      </c>
      <c r="L16" s="3">
        <v>0.54900000000000004</v>
      </c>
      <c r="M16" s="3">
        <v>0.28399999999999997</v>
      </c>
      <c r="N16" s="3">
        <v>0.69399999999999995</v>
      </c>
      <c r="O16" s="3">
        <v>32.9</v>
      </c>
      <c r="P16" s="3">
        <v>23.8</v>
      </c>
      <c r="Q16" s="3">
        <v>9.9</v>
      </c>
      <c r="R16" s="3">
        <v>4.9000000000000004</v>
      </c>
      <c r="S16" s="3">
        <v>115.5</v>
      </c>
      <c r="T16" s="3">
        <v>0.20300000000000001</v>
      </c>
      <c r="U16" s="3">
        <v>6.6</v>
      </c>
      <c r="V16" s="3">
        <v>59.4</v>
      </c>
    </row>
    <row r="17" spans="1:22" hidden="1">
      <c r="A17" s="1">
        <v>16</v>
      </c>
      <c r="B17" s="3">
        <v>16</v>
      </c>
      <c r="C17" s="3" t="s">
        <v>190</v>
      </c>
      <c r="D17" s="3" t="s">
        <v>1110</v>
      </c>
      <c r="E17" s="2"/>
      <c r="F17" s="3">
        <v>4</v>
      </c>
      <c r="G17" s="3">
        <v>141</v>
      </c>
      <c r="H17" s="3">
        <v>1754</v>
      </c>
      <c r="I17" s="3">
        <v>446</v>
      </c>
      <c r="J17" s="3">
        <v>388</v>
      </c>
      <c r="K17" s="3">
        <v>72</v>
      </c>
      <c r="L17" s="3">
        <v>0.63200000000000001</v>
      </c>
      <c r="M17" s="3">
        <v>0.26500000000000001</v>
      </c>
      <c r="N17" s="3">
        <v>0.64</v>
      </c>
      <c r="O17" s="3">
        <v>12.4</v>
      </c>
      <c r="P17" s="3">
        <v>3.2</v>
      </c>
      <c r="Q17" s="3">
        <v>2.8</v>
      </c>
      <c r="R17" s="3">
        <v>0.5</v>
      </c>
      <c r="S17" s="3">
        <v>6</v>
      </c>
      <c r="T17" s="3">
        <v>0.16500000000000001</v>
      </c>
      <c r="U17" s="3">
        <v>2.2999999999999998</v>
      </c>
      <c r="V17" s="3">
        <v>1.9</v>
      </c>
    </row>
    <row r="18" spans="1:22" hidden="1">
      <c r="A18" s="1">
        <v>17</v>
      </c>
      <c r="B18" s="3">
        <v>17</v>
      </c>
      <c r="C18" s="3" t="s">
        <v>184</v>
      </c>
      <c r="D18" s="3" t="s">
        <v>1111</v>
      </c>
      <c r="E18" s="2"/>
      <c r="F18" s="3">
        <v>12</v>
      </c>
      <c r="G18" s="3">
        <v>816</v>
      </c>
      <c r="H18" s="3">
        <v>22349</v>
      </c>
      <c r="I18" s="3">
        <v>11445</v>
      </c>
      <c r="J18" s="3">
        <v>2362</v>
      </c>
      <c r="K18" s="3">
        <v>3957</v>
      </c>
      <c r="L18" s="3">
        <v>0.433</v>
      </c>
      <c r="M18" s="3">
        <v>0.34300000000000003</v>
      </c>
      <c r="N18" s="3">
        <v>0.83599999999999997</v>
      </c>
      <c r="O18" s="3">
        <v>27.4</v>
      </c>
      <c r="P18" s="3">
        <v>14</v>
      </c>
      <c r="Q18" s="3">
        <v>2.9</v>
      </c>
      <c r="R18" s="3">
        <v>4.8</v>
      </c>
      <c r="S18" s="3">
        <v>31.2</v>
      </c>
      <c r="T18" s="3">
        <v>6.7000000000000004E-2</v>
      </c>
      <c r="U18" s="3">
        <v>-1.5</v>
      </c>
      <c r="V18" s="3">
        <v>2.9</v>
      </c>
    </row>
    <row r="19" spans="1:22" hidden="1">
      <c r="A19" s="1">
        <v>18</v>
      </c>
      <c r="B19" s="3">
        <v>18</v>
      </c>
      <c r="C19" s="3" t="s">
        <v>184</v>
      </c>
      <c r="D19" s="3" t="s">
        <v>1112</v>
      </c>
      <c r="E19" s="3" t="s">
        <v>103</v>
      </c>
      <c r="F19" s="3">
        <v>4</v>
      </c>
      <c r="G19" s="3">
        <v>256</v>
      </c>
      <c r="H19" s="3">
        <v>4880</v>
      </c>
      <c r="I19" s="3">
        <v>1399</v>
      </c>
      <c r="J19" s="3">
        <v>490</v>
      </c>
      <c r="K19" s="3">
        <v>737</v>
      </c>
      <c r="L19" s="3">
        <v>0.42199999999999999</v>
      </c>
      <c r="M19" s="3">
        <v>0.33600000000000002</v>
      </c>
      <c r="N19" s="3">
        <v>0.77700000000000002</v>
      </c>
      <c r="O19" s="3">
        <v>19.100000000000001</v>
      </c>
      <c r="P19" s="3">
        <v>5.5</v>
      </c>
      <c r="Q19" s="3">
        <v>1.9</v>
      </c>
      <c r="R19" s="3">
        <v>2.9</v>
      </c>
      <c r="S19" s="3">
        <v>4.4000000000000004</v>
      </c>
      <c r="T19" s="3">
        <v>4.3999999999999997E-2</v>
      </c>
      <c r="U19" s="3">
        <v>-2.4</v>
      </c>
      <c r="V19" s="3">
        <v>-0.6</v>
      </c>
    </row>
    <row r="20" spans="1:22" hidden="1">
      <c r="A20" s="1">
        <v>19</v>
      </c>
      <c r="B20" s="3">
        <v>19</v>
      </c>
      <c r="C20" s="3" t="s">
        <v>76</v>
      </c>
      <c r="D20" s="3" t="s">
        <v>1113</v>
      </c>
      <c r="E20" s="2"/>
      <c r="F20" s="3">
        <v>3</v>
      </c>
      <c r="G20" s="3">
        <v>95</v>
      </c>
      <c r="H20" s="3">
        <v>1110</v>
      </c>
      <c r="I20" s="3">
        <v>287</v>
      </c>
      <c r="J20" s="3">
        <v>140</v>
      </c>
      <c r="K20" s="3">
        <v>87</v>
      </c>
      <c r="L20" s="3">
        <v>0.39500000000000002</v>
      </c>
      <c r="M20" s="3">
        <v>0.28199999999999997</v>
      </c>
      <c r="N20" s="3">
        <v>0.84199999999999997</v>
      </c>
      <c r="O20" s="3">
        <v>11.7</v>
      </c>
      <c r="P20" s="3">
        <v>3</v>
      </c>
      <c r="Q20" s="3">
        <v>1.5</v>
      </c>
      <c r="R20" s="3">
        <v>0.9</v>
      </c>
      <c r="S20" s="3">
        <v>0.8</v>
      </c>
      <c r="T20" s="3">
        <v>3.5999999999999997E-2</v>
      </c>
      <c r="U20" s="3">
        <v>-3.4</v>
      </c>
      <c r="V20" s="3">
        <v>-0.4</v>
      </c>
    </row>
    <row r="21" spans="1:22" hidden="1">
      <c r="A21" s="1">
        <v>20</v>
      </c>
      <c r="B21" s="3">
        <v>20</v>
      </c>
      <c r="C21" s="3" t="s">
        <v>99</v>
      </c>
      <c r="D21" s="3" t="s">
        <v>1114</v>
      </c>
      <c r="E21" s="3" t="s">
        <v>1066</v>
      </c>
      <c r="F21" s="3">
        <v>9</v>
      </c>
      <c r="G21" s="3">
        <v>601</v>
      </c>
      <c r="H21" s="3">
        <v>13092</v>
      </c>
      <c r="I21" s="3">
        <v>3672</v>
      </c>
      <c r="J21" s="3">
        <v>1371</v>
      </c>
      <c r="K21" s="3">
        <v>669</v>
      </c>
      <c r="L21" s="3">
        <v>0.43099999999999999</v>
      </c>
      <c r="M21" s="3">
        <v>0.39400000000000002</v>
      </c>
      <c r="N21" s="3">
        <v>0.84599999999999997</v>
      </c>
      <c r="O21" s="3">
        <v>21.8</v>
      </c>
      <c r="P21" s="3">
        <v>6.1</v>
      </c>
      <c r="Q21" s="3">
        <v>2.2999999999999998</v>
      </c>
      <c r="R21" s="3">
        <v>1.1000000000000001</v>
      </c>
      <c r="S21" s="3">
        <v>18.5</v>
      </c>
      <c r="T21" s="3">
        <v>6.8000000000000005E-2</v>
      </c>
      <c r="U21" s="3">
        <v>-2</v>
      </c>
      <c r="V21" s="3">
        <v>-0.1</v>
      </c>
    </row>
    <row r="22" spans="1:22" hidden="1">
      <c r="A22" s="1">
        <v>21</v>
      </c>
      <c r="B22" s="3">
        <v>21</v>
      </c>
      <c r="C22" s="3" t="s">
        <v>193</v>
      </c>
      <c r="D22" s="3" t="s">
        <v>1115</v>
      </c>
      <c r="E22" s="3" t="s">
        <v>61</v>
      </c>
      <c r="F22" s="3">
        <v>10</v>
      </c>
      <c r="G22" s="3">
        <v>628</v>
      </c>
      <c r="H22" s="3">
        <v>12625</v>
      </c>
      <c r="I22" s="3">
        <v>4591</v>
      </c>
      <c r="J22" s="3">
        <v>3534</v>
      </c>
      <c r="K22" s="3">
        <v>837</v>
      </c>
      <c r="L22" s="3">
        <v>0.496</v>
      </c>
      <c r="M22" s="3">
        <v>0.35499999999999998</v>
      </c>
      <c r="N22" s="3">
        <v>0.79100000000000004</v>
      </c>
      <c r="O22" s="3">
        <v>20.100000000000001</v>
      </c>
      <c r="P22" s="3">
        <v>7.3</v>
      </c>
      <c r="Q22" s="3">
        <v>5.6</v>
      </c>
      <c r="R22" s="3">
        <v>1.3</v>
      </c>
      <c r="S22" s="3">
        <v>30.7</v>
      </c>
      <c r="T22" s="3">
        <v>0.11700000000000001</v>
      </c>
      <c r="U22" s="3">
        <v>0.2</v>
      </c>
      <c r="V22" s="3">
        <v>7.1</v>
      </c>
    </row>
    <row r="23" spans="1:22" hidden="1">
      <c r="A23" s="1">
        <v>22</v>
      </c>
      <c r="B23" s="3">
        <v>22</v>
      </c>
      <c r="C23" s="3" t="s">
        <v>47</v>
      </c>
      <c r="D23" s="3" t="s">
        <v>1116</v>
      </c>
      <c r="E23" s="3" t="s">
        <v>171</v>
      </c>
      <c r="F23" s="3">
        <v>12</v>
      </c>
      <c r="G23" s="3">
        <v>838</v>
      </c>
      <c r="H23" s="3">
        <v>18408</v>
      </c>
      <c r="I23" s="3">
        <v>6788</v>
      </c>
      <c r="J23" s="3">
        <v>5641</v>
      </c>
      <c r="K23" s="3">
        <v>2008</v>
      </c>
      <c r="L23" s="3">
        <v>0.59299999999999997</v>
      </c>
      <c r="M23" s="3">
        <v>4.1000000000000002E-2</v>
      </c>
      <c r="N23" s="3">
        <v>0.57499999999999996</v>
      </c>
      <c r="O23" s="3">
        <v>22</v>
      </c>
      <c r="P23" s="3">
        <v>8.1</v>
      </c>
      <c r="Q23" s="3">
        <v>6.7</v>
      </c>
      <c r="R23" s="3">
        <v>2.4</v>
      </c>
      <c r="S23" s="3">
        <v>56.5</v>
      </c>
      <c r="T23" s="3">
        <v>0.14699999999999999</v>
      </c>
      <c r="U23" s="3">
        <v>1.2</v>
      </c>
      <c r="V23" s="3">
        <v>14.9</v>
      </c>
    </row>
    <row r="24" spans="1:22" hidden="1">
      <c r="A24" s="1">
        <v>23</v>
      </c>
      <c r="B24" s="3">
        <v>23</v>
      </c>
      <c r="C24" s="3" t="s">
        <v>41</v>
      </c>
      <c r="D24" s="3" t="s">
        <v>1117</v>
      </c>
      <c r="E24" s="3" t="s">
        <v>224</v>
      </c>
      <c r="F24" s="3">
        <v>9</v>
      </c>
      <c r="G24" s="3">
        <v>448</v>
      </c>
      <c r="H24" s="3">
        <v>9652</v>
      </c>
      <c r="I24" s="3">
        <v>2453</v>
      </c>
      <c r="J24" s="3">
        <v>1399</v>
      </c>
      <c r="K24" s="3">
        <v>662</v>
      </c>
      <c r="L24" s="3">
        <v>0.38800000000000001</v>
      </c>
      <c r="M24" s="3">
        <v>0.33100000000000002</v>
      </c>
      <c r="N24" s="3">
        <v>0.79700000000000004</v>
      </c>
      <c r="O24" s="3">
        <v>21.5</v>
      </c>
      <c r="P24" s="3">
        <v>5.5</v>
      </c>
      <c r="Q24" s="3">
        <v>3.1</v>
      </c>
      <c r="R24" s="3">
        <v>1.5</v>
      </c>
      <c r="S24" s="3">
        <v>11.9</v>
      </c>
      <c r="T24" s="3">
        <v>5.8999999999999997E-2</v>
      </c>
      <c r="U24" s="3">
        <v>-2.1</v>
      </c>
      <c r="V24" s="3">
        <v>-0.3</v>
      </c>
    </row>
    <row r="25" spans="1:22" hidden="1">
      <c r="A25" s="1">
        <v>24</v>
      </c>
      <c r="B25" s="3">
        <v>24</v>
      </c>
      <c r="C25" s="3" t="s">
        <v>50</v>
      </c>
      <c r="D25" s="3" t="s">
        <v>1118</v>
      </c>
      <c r="E25" s="3" t="s">
        <v>151</v>
      </c>
      <c r="F25" s="3">
        <v>12</v>
      </c>
      <c r="G25" s="3">
        <v>786</v>
      </c>
      <c r="H25" s="3">
        <v>21531</v>
      </c>
      <c r="I25" s="3">
        <v>10839</v>
      </c>
      <c r="J25" s="3">
        <v>2269</v>
      </c>
      <c r="K25" s="3">
        <v>1443</v>
      </c>
      <c r="L25" s="3">
        <v>0.41699999999999998</v>
      </c>
      <c r="M25" s="3">
        <v>0.36099999999999999</v>
      </c>
      <c r="N25" s="3">
        <v>0.81299999999999994</v>
      </c>
      <c r="O25" s="3">
        <v>27.4</v>
      </c>
      <c r="P25" s="3">
        <v>13.8</v>
      </c>
      <c r="Q25" s="3">
        <v>2.9</v>
      </c>
      <c r="R25" s="3">
        <v>1.8</v>
      </c>
      <c r="S25" s="3">
        <v>32.5</v>
      </c>
      <c r="T25" s="3">
        <v>7.1999999999999995E-2</v>
      </c>
      <c r="U25" s="3">
        <v>-1.2</v>
      </c>
      <c r="V25" s="3">
        <v>4.3</v>
      </c>
    </row>
    <row r="26" spans="1:22" hidden="1">
      <c r="A26" s="1">
        <v>25</v>
      </c>
      <c r="B26" s="3">
        <v>25</v>
      </c>
      <c r="C26" s="3" t="s">
        <v>28</v>
      </c>
      <c r="D26" s="3" t="s">
        <v>1119</v>
      </c>
      <c r="E26" s="3" t="s">
        <v>78</v>
      </c>
      <c r="F26" s="3">
        <v>11</v>
      </c>
      <c r="G26" s="3">
        <v>556</v>
      </c>
      <c r="H26" s="3">
        <v>12556</v>
      </c>
      <c r="I26" s="3">
        <v>4039</v>
      </c>
      <c r="J26" s="3">
        <v>1451</v>
      </c>
      <c r="K26" s="3">
        <v>647</v>
      </c>
      <c r="L26" s="3">
        <v>0.42399999999999999</v>
      </c>
      <c r="M26" s="3">
        <v>0.38500000000000001</v>
      </c>
      <c r="N26" s="3">
        <v>0.82699999999999996</v>
      </c>
      <c r="O26" s="3">
        <v>22.6</v>
      </c>
      <c r="P26" s="3">
        <v>7.3</v>
      </c>
      <c r="Q26" s="3">
        <v>2.6</v>
      </c>
      <c r="R26" s="3">
        <v>1.2</v>
      </c>
      <c r="S26" s="3">
        <v>21.4</v>
      </c>
      <c r="T26" s="3">
        <v>8.2000000000000003E-2</v>
      </c>
      <c r="U26" s="3">
        <v>-1.2</v>
      </c>
      <c r="V26" s="3">
        <v>2.6</v>
      </c>
    </row>
    <row r="27" spans="1:22" hidden="1">
      <c r="A27" s="1">
        <v>26</v>
      </c>
      <c r="B27" s="3">
        <v>26</v>
      </c>
      <c r="C27" s="3" t="s">
        <v>135</v>
      </c>
      <c r="D27" s="3" t="s">
        <v>1120</v>
      </c>
      <c r="E27" s="3" t="s">
        <v>65</v>
      </c>
      <c r="F27" s="3">
        <v>7</v>
      </c>
      <c r="G27" s="3">
        <v>307</v>
      </c>
      <c r="H27" s="3">
        <v>6801</v>
      </c>
      <c r="I27" s="3">
        <v>1382</v>
      </c>
      <c r="J27" s="3">
        <v>1230</v>
      </c>
      <c r="K27" s="3">
        <v>265</v>
      </c>
      <c r="L27" s="3">
        <v>0.47299999999999998</v>
      </c>
      <c r="M27" s="3">
        <v>0.253</v>
      </c>
      <c r="N27" s="3">
        <v>0.46800000000000003</v>
      </c>
      <c r="O27" s="3">
        <v>22.2</v>
      </c>
      <c r="P27" s="3">
        <v>4.5</v>
      </c>
      <c r="Q27" s="3">
        <v>4</v>
      </c>
      <c r="R27" s="3">
        <v>0.9</v>
      </c>
      <c r="S27" s="3">
        <v>12.6</v>
      </c>
      <c r="T27" s="3">
        <v>8.8999999999999996E-2</v>
      </c>
      <c r="U27" s="3">
        <v>-0.6</v>
      </c>
      <c r="V27" s="3">
        <v>2.2999999999999998</v>
      </c>
    </row>
    <row r="28" spans="1:22" hidden="1">
      <c r="A28" s="1">
        <v>27</v>
      </c>
      <c r="B28" s="3">
        <v>27</v>
      </c>
      <c r="C28" s="3" t="s">
        <v>23</v>
      </c>
      <c r="D28" s="3" t="s">
        <v>1121</v>
      </c>
      <c r="E28" s="2"/>
      <c r="F28" s="3">
        <v>12</v>
      </c>
      <c r="G28" s="3">
        <v>811</v>
      </c>
      <c r="H28" s="3">
        <v>24836</v>
      </c>
      <c r="I28" s="3">
        <v>10176</v>
      </c>
      <c r="J28" s="3">
        <v>9474</v>
      </c>
      <c r="K28" s="3">
        <v>1093</v>
      </c>
      <c r="L28" s="3">
        <v>0.65500000000000003</v>
      </c>
      <c r="M28" s="3">
        <v>0</v>
      </c>
      <c r="N28" s="3">
        <v>0.64100000000000001</v>
      </c>
      <c r="O28" s="3">
        <v>30.6</v>
      </c>
      <c r="P28" s="3">
        <v>12.5</v>
      </c>
      <c r="Q28" s="3">
        <v>11.7</v>
      </c>
      <c r="R28" s="3">
        <v>1.3</v>
      </c>
      <c r="S28" s="3">
        <v>112.9</v>
      </c>
      <c r="T28" s="3">
        <v>0.218</v>
      </c>
      <c r="U28" s="3">
        <v>3.3</v>
      </c>
      <c r="V28" s="3">
        <v>33.1</v>
      </c>
    </row>
    <row r="29" spans="1:22" hidden="1">
      <c r="A29" s="1">
        <v>28</v>
      </c>
      <c r="B29" s="3">
        <v>28</v>
      </c>
      <c r="C29" s="3" t="s">
        <v>79</v>
      </c>
      <c r="D29" s="73" t="s">
        <v>1122</v>
      </c>
      <c r="E29" s="2"/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</row>
    <row r="30" spans="1:22" hidden="1">
      <c r="A30" s="1">
        <v>29</v>
      </c>
      <c r="B30" s="3">
        <v>29</v>
      </c>
      <c r="C30" s="3" t="s">
        <v>82</v>
      </c>
      <c r="D30" s="73" t="s">
        <v>1123</v>
      </c>
      <c r="E30" s="3" t="s">
        <v>173</v>
      </c>
      <c r="F30" s="3">
        <v>4</v>
      </c>
      <c r="G30" s="3">
        <v>165</v>
      </c>
      <c r="H30" s="3">
        <v>2396</v>
      </c>
      <c r="I30" s="3">
        <v>1040</v>
      </c>
      <c r="J30" s="3">
        <v>331</v>
      </c>
      <c r="K30" s="3">
        <v>206</v>
      </c>
      <c r="L30" s="3">
        <v>0.42899999999999999</v>
      </c>
      <c r="M30" s="3">
        <v>0.23599999999999999</v>
      </c>
      <c r="N30" s="3">
        <v>0.7</v>
      </c>
      <c r="O30" s="3">
        <v>14.5</v>
      </c>
      <c r="P30" s="3">
        <v>6.3</v>
      </c>
      <c r="Q30" s="3">
        <v>2</v>
      </c>
      <c r="R30" s="3">
        <v>1.2</v>
      </c>
      <c r="S30" s="3">
        <v>1.1000000000000001</v>
      </c>
      <c r="T30" s="3">
        <v>2.1999999999999999E-2</v>
      </c>
      <c r="U30" s="3">
        <v>-3</v>
      </c>
      <c r="V30" s="3">
        <v>-0.6</v>
      </c>
    </row>
    <row r="31" spans="1:22" hidden="1">
      <c r="A31" s="1">
        <v>30</v>
      </c>
      <c r="B31" s="3">
        <v>30</v>
      </c>
      <c r="C31" s="3" t="s">
        <v>323</v>
      </c>
      <c r="D31" s="73" t="s">
        <v>1124</v>
      </c>
      <c r="E31" s="2"/>
      <c r="F31" s="3">
        <v>1</v>
      </c>
      <c r="G31" s="3">
        <v>24</v>
      </c>
      <c r="H31" s="3">
        <v>142</v>
      </c>
      <c r="I31" s="3">
        <v>26</v>
      </c>
      <c r="J31" s="3">
        <v>15</v>
      </c>
      <c r="K31" s="3">
        <v>13</v>
      </c>
      <c r="L31" s="3">
        <v>0.20499999999999999</v>
      </c>
      <c r="M31" s="3">
        <v>0.16700000000000001</v>
      </c>
      <c r="N31" s="3">
        <v>0.875</v>
      </c>
      <c r="O31" s="3">
        <v>5.9</v>
      </c>
      <c r="P31" s="3">
        <v>1.1000000000000001</v>
      </c>
      <c r="Q31" s="3">
        <v>0.6</v>
      </c>
      <c r="R31" s="3">
        <v>0.5</v>
      </c>
      <c r="S31" s="3">
        <v>-0.4</v>
      </c>
      <c r="T31" s="3">
        <v>-0.13200000000000001</v>
      </c>
      <c r="U31" s="3">
        <v>-10</v>
      </c>
      <c r="V31" s="3">
        <v>-0.3</v>
      </c>
    </row>
    <row r="32" spans="1:22" s="71" customFormat="1" hidden="1">
      <c r="A32" s="68"/>
      <c r="B32" s="69"/>
      <c r="C32" s="69"/>
      <c r="D32" s="78"/>
      <c r="E32" s="70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>
      <c r="A33" s="1">
        <v>31</v>
      </c>
      <c r="B33" s="3">
        <v>31</v>
      </c>
      <c r="C33" s="3" t="s">
        <v>76</v>
      </c>
      <c r="D33" s="82" t="s">
        <v>199</v>
      </c>
      <c r="E33" s="3" t="s">
        <v>200</v>
      </c>
      <c r="F33" s="3">
        <v>7</v>
      </c>
      <c r="G33" s="3">
        <v>381</v>
      </c>
      <c r="H33" s="3">
        <v>9125</v>
      </c>
      <c r="I33" s="3">
        <v>3453</v>
      </c>
      <c r="J33" s="3">
        <v>1073</v>
      </c>
      <c r="K33" s="3">
        <v>434</v>
      </c>
      <c r="L33" s="3">
        <v>0.42499999999999999</v>
      </c>
      <c r="M33" s="3">
        <v>0.38700000000000001</v>
      </c>
      <c r="N33" s="3">
        <v>0.83099999999999996</v>
      </c>
      <c r="O33" s="3">
        <v>24</v>
      </c>
      <c r="P33" s="3">
        <v>9.1</v>
      </c>
      <c r="Q33" s="3">
        <v>2.8</v>
      </c>
      <c r="R33" s="3">
        <v>1.1000000000000001</v>
      </c>
      <c r="S33" s="3">
        <v>13.7</v>
      </c>
      <c r="T33" s="3">
        <v>7.1999999999999995E-2</v>
      </c>
      <c r="U33" s="3">
        <v>-1.6</v>
      </c>
      <c r="V33" s="3">
        <v>0.9</v>
      </c>
    </row>
    <row r="34" spans="1:22">
      <c r="A34" s="1">
        <v>32</v>
      </c>
      <c r="B34" s="3">
        <v>32</v>
      </c>
      <c r="C34" s="3" t="s">
        <v>82</v>
      </c>
      <c r="D34" s="88" t="s">
        <v>1125</v>
      </c>
      <c r="E34" s="2"/>
      <c r="F34" s="3">
        <v>3</v>
      </c>
      <c r="G34" s="3">
        <v>174</v>
      </c>
      <c r="H34" s="3">
        <v>2777</v>
      </c>
      <c r="I34" s="3">
        <v>924</v>
      </c>
      <c r="J34" s="3">
        <v>248</v>
      </c>
      <c r="K34" s="3">
        <v>88</v>
      </c>
      <c r="L34" s="3">
        <v>0.38700000000000001</v>
      </c>
      <c r="M34" s="3">
        <v>0.36799999999999999</v>
      </c>
      <c r="N34" s="3">
        <v>0.88</v>
      </c>
      <c r="O34" s="3">
        <v>16</v>
      </c>
      <c r="P34" s="3">
        <v>5.3</v>
      </c>
      <c r="Q34" s="3">
        <v>1.4</v>
      </c>
      <c r="R34" s="3">
        <v>0.5</v>
      </c>
      <c r="S34" s="3">
        <v>5</v>
      </c>
      <c r="T34" s="3">
        <v>8.5999999999999993E-2</v>
      </c>
      <c r="U34" s="3">
        <v>-1.9</v>
      </c>
      <c r="V34" s="3">
        <v>0.1</v>
      </c>
    </row>
    <row r="35" spans="1:22">
      <c r="A35" s="1">
        <v>33</v>
      </c>
      <c r="B35" s="3">
        <v>33</v>
      </c>
      <c r="C35" s="3" t="s">
        <v>76</v>
      </c>
      <c r="D35" s="67" t="s">
        <v>1126</v>
      </c>
      <c r="E35" s="3" t="s">
        <v>536</v>
      </c>
      <c r="F35" s="3">
        <v>1</v>
      </c>
      <c r="G35" s="3">
        <v>7</v>
      </c>
      <c r="H35" s="3">
        <v>38</v>
      </c>
      <c r="I35" s="3">
        <v>19</v>
      </c>
      <c r="J35" s="3">
        <v>6</v>
      </c>
      <c r="K35" s="3">
        <v>4</v>
      </c>
      <c r="L35" s="3">
        <v>0.5</v>
      </c>
      <c r="M35" s="3">
        <v>0.4</v>
      </c>
      <c r="N35" s="3">
        <v>0.75</v>
      </c>
      <c r="O35" s="3">
        <v>5.4</v>
      </c>
      <c r="P35" s="3">
        <v>2.7</v>
      </c>
      <c r="Q35" s="3">
        <v>0.9</v>
      </c>
      <c r="R35" s="3">
        <v>0.6</v>
      </c>
      <c r="S35" s="3">
        <v>0</v>
      </c>
      <c r="T35" s="3">
        <v>5.7000000000000002E-2</v>
      </c>
      <c r="U35" s="3">
        <v>-3.4</v>
      </c>
      <c r="V35" s="3">
        <v>0</v>
      </c>
    </row>
    <row r="36" spans="1:22">
      <c r="A36" s="1">
        <v>34</v>
      </c>
      <c r="B36" s="3">
        <v>34</v>
      </c>
      <c r="C36" s="3" t="s">
        <v>52</v>
      </c>
      <c r="D36" s="88" t="s">
        <v>1127</v>
      </c>
      <c r="E36" s="3" t="s">
        <v>644</v>
      </c>
      <c r="F36" s="3">
        <v>6</v>
      </c>
      <c r="G36" s="3">
        <v>235</v>
      </c>
      <c r="H36" s="3">
        <v>4799</v>
      </c>
      <c r="I36" s="3">
        <v>1913</v>
      </c>
      <c r="J36" s="3">
        <v>438</v>
      </c>
      <c r="K36" s="3">
        <v>454</v>
      </c>
      <c r="L36" s="3">
        <v>0.371</v>
      </c>
      <c r="M36" s="3">
        <v>0.35099999999999998</v>
      </c>
      <c r="N36" s="3">
        <v>0.83599999999999997</v>
      </c>
      <c r="O36" s="3">
        <v>20.399999999999999</v>
      </c>
      <c r="P36" s="3">
        <v>8.1</v>
      </c>
      <c r="Q36" s="3">
        <v>1.9</v>
      </c>
      <c r="R36" s="3">
        <v>1.9</v>
      </c>
      <c r="S36" s="3">
        <v>4.3</v>
      </c>
      <c r="T36" s="3">
        <v>4.2999999999999997E-2</v>
      </c>
      <c r="U36" s="3">
        <v>-2.4</v>
      </c>
      <c r="V36" s="3">
        <v>-0.5</v>
      </c>
    </row>
    <row r="37" spans="1:22">
      <c r="A37" s="1">
        <v>35</v>
      </c>
      <c r="B37" s="3">
        <v>35</v>
      </c>
      <c r="C37" s="3" t="s">
        <v>66</v>
      </c>
      <c r="D37" s="67" t="s">
        <v>1128</v>
      </c>
      <c r="E37" s="3" t="s">
        <v>744</v>
      </c>
      <c r="F37" s="3">
        <v>2</v>
      </c>
      <c r="G37" s="3">
        <v>16</v>
      </c>
      <c r="H37" s="3">
        <v>152</v>
      </c>
      <c r="I37" s="3">
        <v>43</v>
      </c>
      <c r="J37" s="3">
        <v>24</v>
      </c>
      <c r="K37" s="3">
        <v>9</v>
      </c>
      <c r="L37" s="3">
        <v>0.26900000000000002</v>
      </c>
      <c r="M37" s="3">
        <v>0.25</v>
      </c>
      <c r="N37" s="3">
        <v>0.69199999999999995</v>
      </c>
      <c r="O37" s="3">
        <v>9.5</v>
      </c>
      <c r="P37" s="3">
        <v>2.7</v>
      </c>
      <c r="Q37" s="3">
        <v>1.5</v>
      </c>
      <c r="R37" s="3">
        <v>0.6</v>
      </c>
      <c r="S37" s="3">
        <v>-0.2</v>
      </c>
      <c r="T37" s="3">
        <v>-6.5000000000000002E-2</v>
      </c>
      <c r="U37" s="3">
        <v>-6.6</v>
      </c>
      <c r="V37" s="3">
        <v>-0.2</v>
      </c>
    </row>
    <row r="38" spans="1:22">
      <c r="A38" s="1">
        <v>36</v>
      </c>
      <c r="B38" s="3">
        <v>36</v>
      </c>
      <c r="C38" s="3" t="s">
        <v>36</v>
      </c>
      <c r="D38" s="88" t="s">
        <v>1129</v>
      </c>
      <c r="E38" s="3" t="s">
        <v>1130</v>
      </c>
      <c r="F38" s="3">
        <v>3</v>
      </c>
      <c r="G38" s="3">
        <v>154</v>
      </c>
      <c r="H38" s="3">
        <v>2808</v>
      </c>
      <c r="I38" s="3">
        <v>920</v>
      </c>
      <c r="J38" s="3">
        <v>306</v>
      </c>
      <c r="K38" s="3">
        <v>368</v>
      </c>
      <c r="L38" s="3">
        <v>0.40799999999999997</v>
      </c>
      <c r="M38" s="3">
        <v>0.33500000000000002</v>
      </c>
      <c r="N38" s="3">
        <v>0.71099999999999997</v>
      </c>
      <c r="O38" s="3">
        <v>18.2</v>
      </c>
      <c r="P38" s="3">
        <v>6</v>
      </c>
      <c r="Q38" s="3">
        <v>2</v>
      </c>
      <c r="R38" s="3">
        <v>2.4</v>
      </c>
      <c r="S38" s="3">
        <v>2.1</v>
      </c>
      <c r="T38" s="3">
        <v>3.5000000000000003E-2</v>
      </c>
      <c r="U38" s="3">
        <v>-2.6</v>
      </c>
      <c r="V38" s="3">
        <v>-0.4</v>
      </c>
    </row>
    <row r="39" spans="1:22">
      <c r="A39" s="1">
        <v>37</v>
      </c>
      <c r="B39" s="3">
        <v>37</v>
      </c>
      <c r="C39" s="3" t="s">
        <v>34</v>
      </c>
      <c r="D39" s="67" t="s">
        <v>1131</v>
      </c>
      <c r="E39" s="3" t="s">
        <v>1132</v>
      </c>
      <c r="F39" s="3">
        <v>1</v>
      </c>
      <c r="G39" s="3">
        <v>21</v>
      </c>
      <c r="H39" s="3">
        <v>79</v>
      </c>
      <c r="I39" s="3">
        <v>22</v>
      </c>
      <c r="J39" s="3">
        <v>26</v>
      </c>
      <c r="K39" s="3">
        <v>2</v>
      </c>
      <c r="L39" s="3">
        <v>0.41699999999999998</v>
      </c>
      <c r="M39" s="3">
        <v>1</v>
      </c>
      <c r="N39" s="3">
        <v>0.57899999999999996</v>
      </c>
      <c r="O39" s="3">
        <v>3.8</v>
      </c>
      <c r="P39" s="3">
        <v>1</v>
      </c>
      <c r="Q39" s="3">
        <v>1.2</v>
      </c>
      <c r="R39" s="3">
        <v>0.1</v>
      </c>
      <c r="S39" s="3">
        <v>0.2</v>
      </c>
      <c r="T39" s="3">
        <v>0.151</v>
      </c>
      <c r="U39" s="3">
        <v>0.4</v>
      </c>
      <c r="V39" s="3">
        <v>0</v>
      </c>
    </row>
    <row r="40" spans="1:22">
      <c r="A40" s="1">
        <v>38</v>
      </c>
      <c r="B40" s="3">
        <v>38</v>
      </c>
      <c r="C40" s="3" t="s">
        <v>69</v>
      </c>
      <c r="D40" s="67" t="s">
        <v>1133</v>
      </c>
      <c r="E40" s="3" t="s">
        <v>1134</v>
      </c>
      <c r="F40" s="3">
        <v>3</v>
      </c>
      <c r="G40" s="3">
        <v>84</v>
      </c>
      <c r="H40" s="3">
        <v>1575</v>
      </c>
      <c r="I40" s="3">
        <v>461</v>
      </c>
      <c r="J40" s="3">
        <v>185</v>
      </c>
      <c r="K40" s="3">
        <v>209</v>
      </c>
      <c r="L40" s="3">
        <v>0.42299999999999999</v>
      </c>
      <c r="M40" s="3">
        <v>0.26100000000000001</v>
      </c>
      <c r="N40" s="3">
        <v>0.63500000000000001</v>
      </c>
      <c r="O40" s="3">
        <v>18.8</v>
      </c>
      <c r="P40" s="3">
        <v>5.5</v>
      </c>
      <c r="Q40" s="3">
        <v>2.2000000000000002</v>
      </c>
      <c r="R40" s="3">
        <v>2.5</v>
      </c>
      <c r="S40" s="3">
        <v>0.9</v>
      </c>
      <c r="T40" s="3">
        <v>2.8000000000000001E-2</v>
      </c>
      <c r="U40" s="3">
        <v>-2.6</v>
      </c>
      <c r="V40" s="3">
        <v>-0.2</v>
      </c>
    </row>
    <row r="41" spans="1:22">
      <c r="A41" s="1">
        <v>39</v>
      </c>
      <c r="B41" s="3">
        <v>39</v>
      </c>
      <c r="C41" s="3" t="s">
        <v>124</v>
      </c>
      <c r="D41" s="88" t="s">
        <v>1135</v>
      </c>
      <c r="E41" s="3" t="s">
        <v>138</v>
      </c>
      <c r="F41" s="3">
        <v>5</v>
      </c>
      <c r="G41" s="3">
        <v>207</v>
      </c>
      <c r="H41" s="3">
        <v>2072</v>
      </c>
      <c r="I41" s="3">
        <v>666</v>
      </c>
      <c r="J41" s="3">
        <v>518</v>
      </c>
      <c r="K41" s="3">
        <v>64</v>
      </c>
      <c r="L41" s="3">
        <v>0.52500000000000002</v>
      </c>
      <c r="M41" s="3">
        <v>0.14299999999999999</v>
      </c>
      <c r="N41" s="3">
        <v>0.71599999999999997</v>
      </c>
      <c r="O41" s="3">
        <v>10</v>
      </c>
      <c r="P41" s="3">
        <v>3.2</v>
      </c>
      <c r="Q41" s="3">
        <v>2.5</v>
      </c>
      <c r="R41" s="3">
        <v>0.3</v>
      </c>
      <c r="S41" s="3">
        <v>6.8</v>
      </c>
      <c r="T41" s="3">
        <v>0.157</v>
      </c>
      <c r="U41" s="3">
        <v>0.5</v>
      </c>
      <c r="V41" s="3">
        <v>1.3</v>
      </c>
    </row>
    <row r="42" spans="1:22">
      <c r="A42" s="1">
        <v>40</v>
      </c>
      <c r="B42" s="3">
        <v>40</v>
      </c>
      <c r="C42" s="3" t="s">
        <v>124</v>
      </c>
      <c r="D42" s="67" t="s">
        <v>1136</v>
      </c>
      <c r="E42" s="3" t="s">
        <v>224</v>
      </c>
      <c r="F42" s="3">
        <v>1</v>
      </c>
      <c r="G42" s="3">
        <v>8</v>
      </c>
      <c r="H42" s="3">
        <v>51</v>
      </c>
      <c r="I42" s="3">
        <v>16</v>
      </c>
      <c r="J42" s="3">
        <v>9</v>
      </c>
      <c r="K42" s="3">
        <v>3</v>
      </c>
      <c r="L42" s="3">
        <v>0.26900000000000002</v>
      </c>
      <c r="M42" s="3">
        <v>6.7000000000000004E-2</v>
      </c>
      <c r="N42" s="3">
        <v>1</v>
      </c>
      <c r="O42" s="3">
        <v>6.4</v>
      </c>
      <c r="P42" s="3">
        <v>2</v>
      </c>
      <c r="Q42" s="3">
        <v>1.1000000000000001</v>
      </c>
      <c r="R42" s="3">
        <v>0.4</v>
      </c>
      <c r="S42" s="3">
        <v>-0.1</v>
      </c>
      <c r="T42" s="3">
        <v>-0.128</v>
      </c>
      <c r="U42" s="3">
        <v>-10.8</v>
      </c>
      <c r="V42" s="3">
        <v>-0.1</v>
      </c>
    </row>
    <row r="43" spans="1:22">
      <c r="A43" s="1">
        <v>41</v>
      </c>
      <c r="B43" s="3">
        <v>41</v>
      </c>
      <c r="C43" s="3" t="s">
        <v>152</v>
      </c>
      <c r="D43" s="67" t="s">
        <v>1137</v>
      </c>
      <c r="E43" s="3" t="s">
        <v>608</v>
      </c>
      <c r="F43" s="3">
        <v>2</v>
      </c>
      <c r="G43" s="3">
        <v>24</v>
      </c>
      <c r="H43" s="3">
        <v>174</v>
      </c>
      <c r="I43" s="3">
        <v>42</v>
      </c>
      <c r="J43" s="3">
        <v>25</v>
      </c>
      <c r="K43" s="3">
        <v>9</v>
      </c>
      <c r="L43" s="3">
        <v>0.41499999999999998</v>
      </c>
      <c r="M43" s="3">
        <v>0.46200000000000002</v>
      </c>
      <c r="N43" s="3">
        <v>1</v>
      </c>
      <c r="O43" s="3">
        <v>7.3</v>
      </c>
      <c r="P43" s="3">
        <v>1.8</v>
      </c>
      <c r="Q43" s="3">
        <v>1</v>
      </c>
      <c r="R43" s="3">
        <v>0.4</v>
      </c>
      <c r="S43" s="3">
        <v>0</v>
      </c>
      <c r="T43" s="3">
        <v>-6.0000000000000001E-3</v>
      </c>
      <c r="U43" s="3">
        <v>-5.9</v>
      </c>
      <c r="V43" s="3">
        <v>-0.2</v>
      </c>
    </row>
    <row r="44" spans="1:22">
      <c r="A44" s="1">
        <v>42</v>
      </c>
      <c r="B44" s="3">
        <v>42</v>
      </c>
      <c r="C44" s="3" t="s">
        <v>66</v>
      </c>
      <c r="D44" s="67" t="s">
        <v>1138</v>
      </c>
      <c r="E44" s="3" t="s">
        <v>208</v>
      </c>
      <c r="F44" s="3">
        <v>1</v>
      </c>
      <c r="G44" s="3">
        <v>8</v>
      </c>
      <c r="H44" s="3">
        <v>84</v>
      </c>
      <c r="I44" s="3">
        <v>35</v>
      </c>
      <c r="J44" s="3">
        <v>9</v>
      </c>
      <c r="K44" s="3">
        <v>19</v>
      </c>
      <c r="L44" s="3">
        <v>0.33300000000000002</v>
      </c>
      <c r="M44" s="3">
        <v>0.27300000000000002</v>
      </c>
      <c r="N44" s="3">
        <v>0.85699999999999998</v>
      </c>
      <c r="O44" s="3">
        <v>10.5</v>
      </c>
      <c r="P44" s="3">
        <v>4.4000000000000004</v>
      </c>
      <c r="Q44" s="3">
        <v>1.1000000000000001</v>
      </c>
      <c r="R44" s="3">
        <v>2.4</v>
      </c>
      <c r="S44" s="3">
        <v>0</v>
      </c>
      <c r="T44" s="3">
        <v>2.1000000000000001E-2</v>
      </c>
      <c r="U44" s="3">
        <v>-4.4000000000000004</v>
      </c>
      <c r="V44" s="3">
        <v>-0.1</v>
      </c>
    </row>
    <row r="45" spans="1:22">
      <c r="A45" s="1">
        <v>43</v>
      </c>
      <c r="B45" s="3">
        <v>43</v>
      </c>
      <c r="C45" s="3" t="s">
        <v>57</v>
      </c>
      <c r="D45" s="67" t="s">
        <v>1139</v>
      </c>
      <c r="E45" s="3" t="s">
        <v>314</v>
      </c>
      <c r="F45" s="3">
        <v>2</v>
      </c>
      <c r="G45" s="3">
        <v>28</v>
      </c>
      <c r="H45" s="3">
        <v>277</v>
      </c>
      <c r="I45" s="3">
        <v>109</v>
      </c>
      <c r="J45" s="3">
        <v>38</v>
      </c>
      <c r="K45" s="3">
        <v>21</v>
      </c>
      <c r="L45" s="3">
        <v>0.33600000000000002</v>
      </c>
      <c r="M45" s="3">
        <v>0.371</v>
      </c>
      <c r="N45" s="3">
        <v>0.76900000000000002</v>
      </c>
      <c r="O45" s="3">
        <v>9.9</v>
      </c>
      <c r="P45" s="3">
        <v>3.9</v>
      </c>
      <c r="Q45" s="3">
        <v>1.4</v>
      </c>
      <c r="R45" s="3">
        <v>0.8</v>
      </c>
      <c r="S45" s="3">
        <v>-0.6</v>
      </c>
      <c r="T45" s="3">
        <v>-9.6000000000000002E-2</v>
      </c>
      <c r="U45" s="3">
        <v>-7.6</v>
      </c>
      <c r="V45" s="3">
        <v>-0.4</v>
      </c>
    </row>
    <row r="46" spans="1:22">
      <c r="A46" s="1">
        <v>44</v>
      </c>
      <c r="B46" s="3">
        <v>44</v>
      </c>
      <c r="C46" s="3" t="s">
        <v>20</v>
      </c>
      <c r="D46" s="82" t="s">
        <v>201</v>
      </c>
      <c r="E46" s="3" t="s">
        <v>202</v>
      </c>
      <c r="F46" s="3">
        <v>11</v>
      </c>
      <c r="G46" s="3">
        <v>548</v>
      </c>
      <c r="H46" s="3">
        <v>8239</v>
      </c>
      <c r="I46" s="3">
        <v>3206</v>
      </c>
      <c r="J46" s="3">
        <v>1699</v>
      </c>
      <c r="K46" s="3">
        <v>464</v>
      </c>
      <c r="L46" s="3">
        <v>0.45100000000000001</v>
      </c>
      <c r="M46" s="3">
        <v>0.373</v>
      </c>
      <c r="N46" s="3">
        <v>0.83</v>
      </c>
      <c r="O46" s="3">
        <v>15</v>
      </c>
      <c r="P46" s="3">
        <v>5.9</v>
      </c>
      <c r="Q46" s="3">
        <v>3.1</v>
      </c>
      <c r="R46" s="3">
        <v>0.8</v>
      </c>
      <c r="S46" s="3">
        <v>19.2</v>
      </c>
      <c r="T46" s="3">
        <v>0.112</v>
      </c>
      <c r="U46" s="3">
        <v>-0.2</v>
      </c>
      <c r="V46" s="3">
        <v>3.7</v>
      </c>
    </row>
    <row r="47" spans="1:22">
      <c r="A47" s="1">
        <v>45</v>
      </c>
      <c r="B47" s="3">
        <v>45</v>
      </c>
      <c r="C47" s="3" t="s">
        <v>124</v>
      </c>
      <c r="D47" s="67" t="s">
        <v>1140</v>
      </c>
      <c r="E47" s="2"/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</row>
    <row r="48" spans="1:22">
      <c r="A48" s="1">
        <v>46</v>
      </c>
      <c r="B48" s="3">
        <v>46</v>
      </c>
      <c r="C48" s="3" t="s">
        <v>193</v>
      </c>
      <c r="D48" s="67" t="s">
        <v>1141</v>
      </c>
      <c r="E48" s="3" t="s">
        <v>660</v>
      </c>
      <c r="F48" s="3">
        <v>2</v>
      </c>
      <c r="G48" s="3">
        <v>52</v>
      </c>
      <c r="H48" s="3">
        <v>452</v>
      </c>
      <c r="I48" s="3">
        <v>159</v>
      </c>
      <c r="J48" s="3">
        <v>37</v>
      </c>
      <c r="K48" s="3">
        <v>42</v>
      </c>
      <c r="L48" s="3">
        <v>0.377</v>
      </c>
      <c r="M48" s="3">
        <v>0.28799999999999998</v>
      </c>
      <c r="N48" s="3">
        <v>0.85699999999999998</v>
      </c>
      <c r="O48" s="3">
        <v>8.6999999999999993</v>
      </c>
      <c r="P48" s="3">
        <v>3.1</v>
      </c>
      <c r="Q48" s="3">
        <v>0.7</v>
      </c>
      <c r="R48" s="3">
        <v>0.8</v>
      </c>
      <c r="S48" s="3">
        <v>0.1</v>
      </c>
      <c r="T48" s="3">
        <v>1.0999999999999999E-2</v>
      </c>
      <c r="U48" s="3">
        <v>-4</v>
      </c>
      <c r="V48" s="3">
        <v>-0.2</v>
      </c>
    </row>
    <row r="49" spans="1:37">
      <c r="A49" s="1">
        <v>47</v>
      </c>
      <c r="B49" s="3">
        <v>47</v>
      </c>
      <c r="C49" s="3" t="s">
        <v>184</v>
      </c>
      <c r="D49" s="82" t="s">
        <v>203</v>
      </c>
      <c r="E49" s="2"/>
      <c r="F49" s="3">
        <v>8</v>
      </c>
      <c r="G49" s="3">
        <v>435</v>
      </c>
      <c r="H49" s="3">
        <v>6765</v>
      </c>
      <c r="I49" s="3">
        <v>2470</v>
      </c>
      <c r="J49" s="3">
        <v>658</v>
      </c>
      <c r="K49" s="3">
        <v>913</v>
      </c>
      <c r="L49" s="3">
        <v>0.45800000000000002</v>
      </c>
      <c r="M49" s="3">
        <v>0.36099999999999999</v>
      </c>
      <c r="N49" s="3">
        <v>0.81200000000000006</v>
      </c>
      <c r="O49" s="3">
        <v>15.6</v>
      </c>
      <c r="P49" s="3">
        <v>5.7</v>
      </c>
      <c r="Q49" s="3">
        <v>1.5</v>
      </c>
      <c r="R49" s="3">
        <v>2.1</v>
      </c>
      <c r="S49" s="3">
        <v>11.6</v>
      </c>
      <c r="T49" s="3">
        <v>8.2000000000000003E-2</v>
      </c>
      <c r="U49" s="3">
        <v>-1.5</v>
      </c>
      <c r="V49" s="3">
        <v>0.8</v>
      </c>
    </row>
    <row r="50" spans="1:37">
      <c r="A50" s="1">
        <v>48</v>
      </c>
      <c r="B50" s="3">
        <v>48</v>
      </c>
      <c r="C50" s="3" t="s">
        <v>31</v>
      </c>
      <c r="D50" s="88" t="s">
        <v>1142</v>
      </c>
      <c r="E50" s="3" t="s">
        <v>171</v>
      </c>
      <c r="F50" s="3">
        <v>4</v>
      </c>
      <c r="G50" s="3">
        <v>163</v>
      </c>
      <c r="H50" s="3">
        <v>3125</v>
      </c>
      <c r="I50" s="3">
        <v>981</v>
      </c>
      <c r="J50" s="3">
        <v>504</v>
      </c>
      <c r="K50" s="3">
        <v>215</v>
      </c>
      <c r="L50" s="3">
        <v>0.378</v>
      </c>
      <c r="M50" s="3">
        <v>0.316</v>
      </c>
      <c r="N50" s="3">
        <v>0.79700000000000004</v>
      </c>
      <c r="O50" s="3">
        <v>19.2</v>
      </c>
      <c r="P50" s="3">
        <v>6</v>
      </c>
      <c r="Q50" s="3">
        <v>3.1</v>
      </c>
      <c r="R50" s="3">
        <v>1.3</v>
      </c>
      <c r="S50" s="3">
        <v>3</v>
      </c>
      <c r="T50" s="3">
        <v>4.5999999999999999E-2</v>
      </c>
      <c r="U50" s="3">
        <v>-2.6</v>
      </c>
      <c r="V50" s="3">
        <v>-0.5</v>
      </c>
    </row>
    <row r="51" spans="1:37">
      <c r="A51" s="1">
        <v>49</v>
      </c>
      <c r="B51" s="3">
        <v>49</v>
      </c>
      <c r="C51" s="3" t="s">
        <v>99</v>
      </c>
      <c r="D51" s="67" t="s">
        <v>1143</v>
      </c>
      <c r="E51" s="3" t="s">
        <v>128</v>
      </c>
      <c r="F51" s="3">
        <v>1</v>
      </c>
      <c r="G51" s="3">
        <v>24</v>
      </c>
      <c r="H51" s="3">
        <v>62</v>
      </c>
      <c r="I51" s="3">
        <v>6</v>
      </c>
      <c r="J51" s="3">
        <v>8</v>
      </c>
      <c r="K51" s="3">
        <v>2</v>
      </c>
      <c r="L51" s="3">
        <v>0.23100000000000001</v>
      </c>
      <c r="M51" s="3">
        <v>0</v>
      </c>
      <c r="N51" s="2"/>
      <c r="O51" s="3">
        <v>2.6</v>
      </c>
      <c r="P51" s="3">
        <v>0.3</v>
      </c>
      <c r="Q51" s="3">
        <v>0.3</v>
      </c>
      <c r="R51" s="3">
        <v>0.1</v>
      </c>
      <c r="S51" s="3">
        <v>-0.1</v>
      </c>
      <c r="T51" s="3">
        <v>-5.5E-2</v>
      </c>
      <c r="U51" s="3">
        <v>-8.6</v>
      </c>
      <c r="V51" s="3">
        <v>-0.1</v>
      </c>
    </row>
    <row r="52" spans="1:37">
      <c r="A52" s="1">
        <v>50</v>
      </c>
      <c r="B52" s="3">
        <v>50</v>
      </c>
      <c r="C52" s="3" t="s">
        <v>184</v>
      </c>
      <c r="D52" s="82" t="s">
        <v>204</v>
      </c>
      <c r="E52" s="3" t="s">
        <v>205</v>
      </c>
      <c r="F52" s="3">
        <v>8</v>
      </c>
      <c r="G52" s="3">
        <v>395</v>
      </c>
      <c r="H52" s="3">
        <v>8022</v>
      </c>
      <c r="I52" s="3">
        <v>2629</v>
      </c>
      <c r="J52" s="3">
        <v>1306</v>
      </c>
      <c r="K52" s="3">
        <v>373</v>
      </c>
      <c r="L52" s="3">
        <v>0.45700000000000002</v>
      </c>
      <c r="M52" s="3">
        <v>0.36</v>
      </c>
      <c r="N52" s="3">
        <v>0.79700000000000004</v>
      </c>
      <c r="O52" s="3">
        <v>20.3</v>
      </c>
      <c r="P52" s="3">
        <v>6.7</v>
      </c>
      <c r="Q52" s="3">
        <v>3.3</v>
      </c>
      <c r="R52" s="3">
        <v>0.9</v>
      </c>
      <c r="S52" s="3">
        <v>16.2</v>
      </c>
      <c r="T52" s="3">
        <v>9.7000000000000003E-2</v>
      </c>
      <c r="U52" s="3">
        <v>-1.5</v>
      </c>
      <c r="V52" s="3">
        <v>0.9</v>
      </c>
    </row>
    <row r="53" spans="1:37">
      <c r="A53" s="1">
        <v>51</v>
      </c>
      <c r="B53" s="3">
        <v>51</v>
      </c>
      <c r="C53" s="3" t="s">
        <v>179</v>
      </c>
      <c r="D53" s="67" t="s">
        <v>1144</v>
      </c>
      <c r="E53" s="3" t="s">
        <v>728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</row>
    <row r="54" spans="1:37">
      <c r="A54" s="1">
        <v>52</v>
      </c>
      <c r="B54" s="3">
        <v>52</v>
      </c>
      <c r="C54" s="3" t="s">
        <v>135</v>
      </c>
      <c r="D54" s="67" t="s">
        <v>1145</v>
      </c>
      <c r="E54" s="3" t="s">
        <v>798</v>
      </c>
      <c r="F54" s="3">
        <v>5</v>
      </c>
      <c r="G54" s="3">
        <v>103</v>
      </c>
      <c r="H54" s="3">
        <v>1185</v>
      </c>
      <c r="I54" s="3">
        <v>293</v>
      </c>
      <c r="J54" s="3">
        <v>151</v>
      </c>
      <c r="K54" s="3">
        <v>183</v>
      </c>
      <c r="L54" s="3">
        <v>0.36399999999999999</v>
      </c>
      <c r="M54" s="3">
        <v>0.17</v>
      </c>
      <c r="N54" s="3">
        <v>0.70699999999999996</v>
      </c>
      <c r="O54" s="3">
        <v>11.5</v>
      </c>
      <c r="P54" s="3">
        <v>2.8</v>
      </c>
      <c r="Q54" s="3">
        <v>1.5</v>
      </c>
      <c r="R54" s="3">
        <v>1.8</v>
      </c>
      <c r="S54" s="3">
        <v>-0.2</v>
      </c>
      <c r="T54" s="3">
        <v>-7.0000000000000001E-3</v>
      </c>
      <c r="U54" s="3">
        <v>-3.5</v>
      </c>
      <c r="V54" s="3">
        <v>-0.5</v>
      </c>
    </row>
    <row r="55" spans="1:37">
      <c r="A55" s="1">
        <v>53</v>
      </c>
      <c r="B55" s="3">
        <v>53</v>
      </c>
      <c r="C55" s="3" t="s">
        <v>41</v>
      </c>
      <c r="D55" s="67" t="s">
        <v>1146</v>
      </c>
      <c r="E55" s="3" t="s">
        <v>468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</row>
    <row r="56" spans="1:37">
      <c r="A56" s="1">
        <v>54</v>
      </c>
      <c r="B56" s="3">
        <v>54</v>
      </c>
      <c r="C56" s="3" t="s">
        <v>69</v>
      </c>
      <c r="D56" s="67" t="s">
        <v>1147</v>
      </c>
      <c r="E56" s="3" t="s">
        <v>55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</row>
    <row r="57" spans="1:37">
      <c r="A57" s="1">
        <v>55</v>
      </c>
      <c r="B57" s="3">
        <v>55</v>
      </c>
      <c r="C57" s="3" t="s">
        <v>152</v>
      </c>
      <c r="D57" s="88" t="s">
        <v>1148</v>
      </c>
      <c r="E57" s="2"/>
      <c r="F57" s="3">
        <v>4</v>
      </c>
      <c r="G57" s="3">
        <v>208</v>
      </c>
      <c r="H57" s="3">
        <v>2823</v>
      </c>
      <c r="I57" s="3">
        <v>1159</v>
      </c>
      <c r="J57" s="3">
        <v>789</v>
      </c>
      <c r="K57" s="3">
        <v>180</v>
      </c>
      <c r="L57" s="3">
        <v>0.47899999999999998</v>
      </c>
      <c r="M57" s="3">
        <v>0.28499999999999998</v>
      </c>
      <c r="N57" s="3">
        <v>0.71899999999999997</v>
      </c>
      <c r="O57" s="3">
        <v>13.6</v>
      </c>
      <c r="P57" s="3">
        <v>5.6</v>
      </c>
      <c r="Q57" s="3">
        <v>3.8</v>
      </c>
      <c r="R57" s="3">
        <v>0.9</v>
      </c>
      <c r="S57" s="3">
        <v>5.2</v>
      </c>
      <c r="T57" s="3">
        <v>8.8999999999999996E-2</v>
      </c>
      <c r="U57" s="3">
        <v>-2.1</v>
      </c>
      <c r="V57" s="3">
        <v>-0.1</v>
      </c>
    </row>
    <row r="58" spans="1:37">
      <c r="A58" s="1">
        <v>56</v>
      </c>
      <c r="B58" s="3">
        <v>56</v>
      </c>
      <c r="C58" s="3" t="s">
        <v>34</v>
      </c>
      <c r="D58" s="67" t="s">
        <v>1149</v>
      </c>
      <c r="E58" s="3" t="s">
        <v>61</v>
      </c>
      <c r="F58" s="3">
        <v>1</v>
      </c>
      <c r="G58" s="3">
        <v>24</v>
      </c>
      <c r="H58" s="3">
        <v>224</v>
      </c>
      <c r="I58" s="3">
        <v>54</v>
      </c>
      <c r="J58" s="3">
        <v>14</v>
      </c>
      <c r="K58" s="3">
        <v>34</v>
      </c>
      <c r="L58" s="3">
        <v>0.316</v>
      </c>
      <c r="M58" s="3">
        <v>0.28000000000000003</v>
      </c>
      <c r="N58" s="3">
        <v>0.73299999999999998</v>
      </c>
      <c r="O58" s="3">
        <v>9.3000000000000007</v>
      </c>
      <c r="P58" s="3">
        <v>2.2999999999999998</v>
      </c>
      <c r="Q58" s="3">
        <v>0.6</v>
      </c>
      <c r="R58" s="3">
        <v>1.4</v>
      </c>
      <c r="S58" s="3">
        <v>-0.2</v>
      </c>
      <c r="T58" s="3">
        <v>-3.2000000000000001E-2</v>
      </c>
      <c r="U58" s="3">
        <v>-6.4</v>
      </c>
      <c r="V58" s="3">
        <v>-0.2</v>
      </c>
    </row>
    <row r="59" spans="1:37">
      <c r="A59" s="1">
        <v>57</v>
      </c>
      <c r="B59" s="3">
        <v>57</v>
      </c>
      <c r="C59" s="3" t="s">
        <v>323</v>
      </c>
      <c r="D59" s="67" t="s">
        <v>1150</v>
      </c>
      <c r="E59" s="3" t="s">
        <v>71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</row>
    <row r="60" spans="1:37">
      <c r="A60" s="1">
        <v>58</v>
      </c>
      <c r="B60" s="3">
        <v>58</v>
      </c>
      <c r="C60" s="3" t="s">
        <v>79</v>
      </c>
      <c r="D60" s="67" t="s">
        <v>1151</v>
      </c>
      <c r="E60" s="3" t="s">
        <v>404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</row>
    <row r="61" spans="1:37">
      <c r="A61" s="1">
        <v>59</v>
      </c>
      <c r="B61" s="3">
        <v>59</v>
      </c>
      <c r="C61" s="3" t="s">
        <v>135</v>
      </c>
      <c r="D61" s="67" t="s">
        <v>1152</v>
      </c>
      <c r="E61" s="2"/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</row>
    <row r="62" spans="1:37">
      <c r="A62" s="1">
        <v>60</v>
      </c>
      <c r="B62" s="3">
        <v>60</v>
      </c>
      <c r="C62" s="3" t="s">
        <v>152</v>
      </c>
      <c r="D62" s="67" t="s">
        <v>1153</v>
      </c>
      <c r="E62" s="2"/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1154</v>
      </c>
      <c r="E65" s="3" t="s">
        <v>1001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1155</v>
      </c>
      <c r="E66" s="3" t="s">
        <v>570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2"/>
      <c r="AH66" s="3"/>
      <c r="AI66" s="3"/>
      <c r="AJ66" s="3"/>
      <c r="AK66" s="3"/>
    </row>
    <row r="67" spans="4:37">
      <c r="D67" s="3" t="s">
        <v>1156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1157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1158</v>
      </c>
      <c r="E69" s="3" t="s">
        <v>722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1159</v>
      </c>
      <c r="E70" s="3" t="s"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1160</v>
      </c>
      <c r="E71" s="3" t="s">
        <v>846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1161</v>
      </c>
      <c r="E72" s="3" t="s">
        <v>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1162</v>
      </c>
      <c r="E73" s="3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</sheetData>
  <conditionalFormatting sqref="G1:G62">
    <cfRule type="cellIs" dxfId="13" priority="1" operator="greaterThan">
      <formula>82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53F9-7A13-A64B-94F4-4CF4BF57DCA5}">
  <dimension ref="A1:AK76"/>
  <sheetViews>
    <sheetView zoomScale="115" workbookViewId="0">
      <pane ySplit="1" topLeftCell="A33" activePane="bottomLeft" state="frozen"/>
      <selection pane="bottomLeft" activeCell="I64" sqref="I64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5.625" bestFit="1" customWidth="1"/>
    <col min="5" max="5" width="24.5" bestFit="1" customWidth="1"/>
    <col min="6" max="6" width="3.375" bestFit="1" customWidth="1"/>
    <col min="7" max="7" width="3.625" bestFit="1" customWidth="1"/>
    <col min="8" max="10" width="5.375" bestFit="1" customWidth="1"/>
    <col min="11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5.375" bestFit="1" customWidth="1"/>
    <col min="20" max="20" width="5.875" bestFit="1" customWidth="1"/>
    <col min="21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1098</v>
      </c>
      <c r="D2" s="3" t="s">
        <v>1163</v>
      </c>
      <c r="E2" s="3" t="s">
        <v>173</v>
      </c>
      <c r="F2" s="3">
        <v>13</v>
      </c>
      <c r="G2" s="3">
        <v>779</v>
      </c>
      <c r="H2" s="3">
        <v>26880</v>
      </c>
      <c r="I2" s="3">
        <v>18824</v>
      </c>
      <c r="J2" s="3">
        <v>8341</v>
      </c>
      <c r="K2" s="3">
        <v>1976</v>
      </c>
      <c r="L2" s="3">
        <v>0.52300000000000002</v>
      </c>
      <c r="M2" s="3">
        <v>0.29799999999999999</v>
      </c>
      <c r="N2" s="3">
        <v>0.79500000000000004</v>
      </c>
      <c r="O2" s="3">
        <v>34.5</v>
      </c>
      <c r="P2" s="3">
        <v>24.2</v>
      </c>
      <c r="Q2" s="3">
        <v>10.7</v>
      </c>
      <c r="R2" s="3">
        <v>2.5</v>
      </c>
      <c r="S2" s="3">
        <v>118.6</v>
      </c>
      <c r="T2" s="3">
        <v>0.21199999999999999</v>
      </c>
      <c r="U2" s="3">
        <v>6</v>
      </c>
      <c r="V2" s="3">
        <v>54</v>
      </c>
    </row>
    <row r="3" spans="1:22" hidden="1">
      <c r="A3" s="1">
        <v>2</v>
      </c>
      <c r="B3" s="3">
        <v>2</v>
      </c>
      <c r="C3" s="3" t="s">
        <v>1095</v>
      </c>
      <c r="D3" s="3" t="s">
        <v>1164</v>
      </c>
      <c r="E3" s="3" t="s">
        <v>173</v>
      </c>
      <c r="F3" s="3">
        <v>8</v>
      </c>
      <c r="G3" s="3">
        <v>446</v>
      </c>
      <c r="H3" s="3">
        <v>10978</v>
      </c>
      <c r="I3" s="3">
        <v>3750</v>
      </c>
      <c r="J3" s="3">
        <v>2420</v>
      </c>
      <c r="K3" s="3">
        <v>515</v>
      </c>
      <c r="L3" s="3">
        <v>0.47399999999999998</v>
      </c>
      <c r="M3" s="3">
        <v>0.27200000000000002</v>
      </c>
      <c r="N3" s="3">
        <v>0.71499999999999997</v>
      </c>
      <c r="O3" s="3">
        <v>24.6</v>
      </c>
      <c r="P3" s="3">
        <v>8.4</v>
      </c>
      <c r="Q3" s="3">
        <v>5.4</v>
      </c>
      <c r="R3" s="3">
        <v>1.2</v>
      </c>
      <c r="S3" s="3">
        <v>21</v>
      </c>
      <c r="T3" s="3">
        <v>9.1999999999999998E-2</v>
      </c>
      <c r="U3" s="3">
        <v>-1.8</v>
      </c>
      <c r="V3" s="3">
        <v>0.6</v>
      </c>
    </row>
    <row r="4" spans="1:22" hidden="1">
      <c r="A4" s="1">
        <v>3</v>
      </c>
      <c r="B4" s="3">
        <v>3</v>
      </c>
      <c r="C4" s="3" t="s">
        <v>69</v>
      </c>
      <c r="D4" s="3" t="s">
        <v>1165</v>
      </c>
      <c r="E4" s="3" t="s">
        <v>128</v>
      </c>
      <c r="F4" s="3">
        <v>13</v>
      </c>
      <c r="G4" s="3">
        <v>785</v>
      </c>
      <c r="H4" s="3">
        <v>27055</v>
      </c>
      <c r="I4" s="3">
        <v>16997</v>
      </c>
      <c r="J4" s="3">
        <v>3194</v>
      </c>
      <c r="K4" s="3">
        <v>3364</v>
      </c>
      <c r="L4" s="3">
        <v>0.46400000000000002</v>
      </c>
      <c r="M4" s="3">
        <v>0.376</v>
      </c>
      <c r="N4" s="3">
        <v>0.82199999999999995</v>
      </c>
      <c r="O4" s="3">
        <v>34.5</v>
      </c>
      <c r="P4" s="3">
        <v>21.7</v>
      </c>
      <c r="Q4" s="3">
        <v>4.0999999999999996</v>
      </c>
      <c r="R4" s="3">
        <v>4.3</v>
      </c>
      <c r="S4" s="3">
        <v>57.9</v>
      </c>
      <c r="T4" s="3">
        <v>0.10299999999999999</v>
      </c>
      <c r="U4" s="3">
        <v>1.5</v>
      </c>
      <c r="V4" s="3">
        <v>23.9</v>
      </c>
    </row>
    <row r="5" spans="1:22" hidden="1">
      <c r="A5" s="1">
        <v>4</v>
      </c>
      <c r="B5" s="3">
        <v>4</v>
      </c>
      <c r="C5" s="3" t="s">
        <v>76</v>
      </c>
      <c r="D5" s="3" t="s">
        <v>1166</v>
      </c>
      <c r="E5" s="3" t="s">
        <v>68</v>
      </c>
      <c r="F5" s="3">
        <v>8</v>
      </c>
      <c r="G5" s="3">
        <v>419</v>
      </c>
      <c r="H5" s="3">
        <v>11835</v>
      </c>
      <c r="I5" s="3">
        <v>5505</v>
      </c>
      <c r="J5" s="3">
        <v>1108</v>
      </c>
      <c r="K5" s="3">
        <v>1163</v>
      </c>
      <c r="L5" s="3">
        <v>0.41199999999999998</v>
      </c>
      <c r="M5" s="3">
        <v>0.34599999999999997</v>
      </c>
      <c r="N5" s="3">
        <v>0.69399999999999995</v>
      </c>
      <c r="O5" s="3">
        <v>28.2</v>
      </c>
      <c r="P5" s="3">
        <v>13.1</v>
      </c>
      <c r="Q5" s="3">
        <v>2.6</v>
      </c>
      <c r="R5" s="3">
        <v>2.8</v>
      </c>
      <c r="S5" s="3">
        <v>8.8000000000000007</v>
      </c>
      <c r="T5" s="3">
        <v>3.5999999999999997E-2</v>
      </c>
      <c r="U5" s="3">
        <v>-2.1</v>
      </c>
      <c r="V5" s="3">
        <v>-0.4</v>
      </c>
    </row>
    <row r="6" spans="1:22" hidden="1">
      <c r="A6" s="1">
        <v>5</v>
      </c>
      <c r="B6" s="3">
        <v>5</v>
      </c>
      <c r="C6" s="3" t="s">
        <v>36</v>
      </c>
      <c r="D6" s="3" t="s">
        <v>1167</v>
      </c>
      <c r="E6" s="3" t="s">
        <v>138</v>
      </c>
      <c r="F6" s="3">
        <v>5</v>
      </c>
      <c r="G6" s="3">
        <v>313</v>
      </c>
      <c r="H6" s="3">
        <v>4204</v>
      </c>
      <c r="I6" s="3">
        <v>1528</v>
      </c>
      <c r="J6" s="3">
        <v>1507</v>
      </c>
      <c r="K6" s="3">
        <v>190</v>
      </c>
      <c r="L6" s="3">
        <v>0.47</v>
      </c>
      <c r="M6" s="3">
        <v>0</v>
      </c>
      <c r="N6" s="3">
        <v>0.505</v>
      </c>
      <c r="O6" s="3">
        <v>13.4</v>
      </c>
      <c r="P6" s="3">
        <v>4.9000000000000004</v>
      </c>
      <c r="Q6" s="3">
        <v>4.8</v>
      </c>
      <c r="R6" s="3">
        <v>0.6</v>
      </c>
      <c r="S6" s="3">
        <v>4.5999999999999996</v>
      </c>
      <c r="T6" s="3">
        <v>5.2999999999999999E-2</v>
      </c>
      <c r="U6" s="3">
        <v>-3.5</v>
      </c>
      <c r="V6" s="3">
        <v>-1.6</v>
      </c>
    </row>
    <row r="7" spans="1:22" hidden="1">
      <c r="A7" s="1">
        <v>6</v>
      </c>
      <c r="B7" s="3">
        <v>6</v>
      </c>
      <c r="C7" s="3" t="s">
        <v>124</v>
      </c>
      <c r="D7" s="3" t="s">
        <v>1168</v>
      </c>
      <c r="E7" s="3" t="s">
        <v>330</v>
      </c>
      <c r="F7" s="3">
        <v>13</v>
      </c>
      <c r="G7" s="3">
        <v>886</v>
      </c>
      <c r="H7" s="3">
        <v>32127</v>
      </c>
      <c r="I7" s="3">
        <v>22284</v>
      </c>
      <c r="J7" s="3">
        <v>3781</v>
      </c>
      <c r="K7" s="3">
        <v>5989</v>
      </c>
      <c r="L7" s="3">
        <v>0.439</v>
      </c>
      <c r="M7" s="3">
        <v>0.371</v>
      </c>
      <c r="N7" s="3">
        <v>0.89900000000000002</v>
      </c>
      <c r="O7" s="3">
        <v>36.299999999999997</v>
      </c>
      <c r="P7" s="3">
        <v>25.2</v>
      </c>
      <c r="Q7" s="3">
        <v>4.3</v>
      </c>
      <c r="R7" s="3">
        <v>6.8</v>
      </c>
      <c r="S7" s="3">
        <v>116.8</v>
      </c>
      <c r="T7" s="3">
        <v>0.17499999999999999</v>
      </c>
      <c r="U7" s="3">
        <v>4.5999999999999996</v>
      </c>
      <c r="V7" s="3">
        <v>53.7</v>
      </c>
    </row>
    <row r="8" spans="1:22" hidden="1">
      <c r="A8" s="1">
        <v>7</v>
      </c>
      <c r="B8" s="3">
        <v>7</v>
      </c>
      <c r="C8" s="3" t="s">
        <v>25</v>
      </c>
      <c r="D8" s="3" t="s">
        <v>1169</v>
      </c>
      <c r="E8" s="3" t="s">
        <v>78</v>
      </c>
      <c r="F8" s="3">
        <v>13</v>
      </c>
      <c r="G8" s="3">
        <v>962</v>
      </c>
      <c r="H8" s="3">
        <v>30226</v>
      </c>
      <c r="I8" s="3">
        <v>13399</v>
      </c>
      <c r="J8" s="3">
        <v>4641</v>
      </c>
      <c r="K8" s="3">
        <v>1691</v>
      </c>
      <c r="L8" s="3">
        <v>0.45800000000000002</v>
      </c>
      <c r="M8" s="3">
        <v>0.38200000000000001</v>
      </c>
      <c r="N8" s="3">
        <v>0.81</v>
      </c>
      <c r="O8" s="3">
        <v>31.4</v>
      </c>
      <c r="P8" s="3">
        <v>13.9</v>
      </c>
      <c r="Q8" s="3">
        <v>4.8</v>
      </c>
      <c r="R8" s="3">
        <v>1.8</v>
      </c>
      <c r="S8" s="3">
        <v>59.8</v>
      </c>
      <c r="T8" s="3">
        <v>9.5000000000000001E-2</v>
      </c>
      <c r="U8" s="3">
        <v>-0.9</v>
      </c>
      <c r="V8" s="3">
        <v>8.5</v>
      </c>
    </row>
    <row r="9" spans="1:22" hidden="1">
      <c r="A9" s="1">
        <v>8</v>
      </c>
      <c r="B9" s="3">
        <v>8</v>
      </c>
      <c r="C9" s="3" t="s">
        <v>163</v>
      </c>
      <c r="D9" s="3" t="s">
        <v>1170</v>
      </c>
      <c r="E9" s="3" t="s">
        <v>38</v>
      </c>
      <c r="F9" s="3">
        <v>11</v>
      </c>
      <c r="G9" s="3">
        <v>733</v>
      </c>
      <c r="H9" s="3">
        <v>17956</v>
      </c>
      <c r="I9" s="3">
        <v>8047</v>
      </c>
      <c r="J9" s="3">
        <v>2061</v>
      </c>
      <c r="K9" s="3">
        <v>936</v>
      </c>
      <c r="L9" s="3">
        <v>0.41799999999999998</v>
      </c>
      <c r="M9" s="3">
        <v>0.36199999999999999</v>
      </c>
      <c r="N9" s="3">
        <v>0.83699999999999997</v>
      </c>
      <c r="O9" s="3">
        <v>24.5</v>
      </c>
      <c r="P9" s="3">
        <v>11</v>
      </c>
      <c r="Q9" s="3">
        <v>2.8</v>
      </c>
      <c r="R9" s="3">
        <v>1.3</v>
      </c>
      <c r="S9" s="3">
        <v>25</v>
      </c>
      <c r="T9" s="3">
        <v>6.7000000000000004E-2</v>
      </c>
      <c r="U9" s="3">
        <v>-1</v>
      </c>
      <c r="V9" s="3">
        <v>4.5</v>
      </c>
    </row>
    <row r="10" spans="1:22" hidden="1">
      <c r="A10" s="1">
        <v>9</v>
      </c>
      <c r="B10" s="3">
        <v>9</v>
      </c>
      <c r="C10" s="3" t="s">
        <v>34</v>
      </c>
      <c r="D10" s="3" t="s">
        <v>1171</v>
      </c>
      <c r="E10" s="3" t="s">
        <v>300</v>
      </c>
      <c r="F10" s="3">
        <v>13</v>
      </c>
      <c r="G10" s="3">
        <v>893</v>
      </c>
      <c r="H10" s="3">
        <v>24015</v>
      </c>
      <c r="I10" s="3">
        <v>11200</v>
      </c>
      <c r="J10" s="3">
        <v>10889</v>
      </c>
      <c r="K10" s="3">
        <v>1091</v>
      </c>
      <c r="L10" s="3">
        <v>0.54200000000000004</v>
      </c>
      <c r="M10" s="3">
        <v>0.122</v>
      </c>
      <c r="N10" s="3">
        <v>0.48399999999999999</v>
      </c>
      <c r="O10" s="3">
        <v>26.9</v>
      </c>
      <c r="P10" s="3">
        <v>12.5</v>
      </c>
      <c r="Q10" s="3">
        <v>12.2</v>
      </c>
      <c r="R10" s="3">
        <v>1.2</v>
      </c>
      <c r="S10" s="3">
        <v>76.099999999999994</v>
      </c>
      <c r="T10" s="3">
        <v>0.152</v>
      </c>
      <c r="U10" s="3">
        <v>1.1000000000000001</v>
      </c>
      <c r="V10" s="3">
        <v>18.399999999999999</v>
      </c>
    </row>
    <row r="11" spans="1:22" hidden="1">
      <c r="A11" s="1">
        <v>10</v>
      </c>
      <c r="B11" s="3">
        <v>10</v>
      </c>
      <c r="C11" s="3" t="s">
        <v>1098</v>
      </c>
      <c r="D11" s="3" t="s">
        <v>1172</v>
      </c>
      <c r="E11" s="3" t="s">
        <v>171</v>
      </c>
      <c r="F11" s="3">
        <v>11</v>
      </c>
      <c r="G11" s="3">
        <v>707</v>
      </c>
      <c r="H11" s="3">
        <v>16858</v>
      </c>
      <c r="I11" s="3">
        <v>5996</v>
      </c>
      <c r="J11" s="3">
        <v>1442</v>
      </c>
      <c r="K11" s="3">
        <v>1513</v>
      </c>
      <c r="L11" s="3">
        <v>0.41899999999999998</v>
      </c>
      <c r="M11" s="3">
        <v>0.34899999999999998</v>
      </c>
      <c r="N11" s="3">
        <v>0.65300000000000002</v>
      </c>
      <c r="O11" s="3">
        <v>23.8</v>
      </c>
      <c r="P11" s="3">
        <v>8.5</v>
      </c>
      <c r="Q11" s="3">
        <v>2</v>
      </c>
      <c r="R11" s="3">
        <v>2.1</v>
      </c>
      <c r="S11" s="3">
        <v>15.2</v>
      </c>
      <c r="T11" s="3">
        <v>4.2999999999999997E-2</v>
      </c>
      <c r="U11" s="3">
        <v>-3.1</v>
      </c>
      <c r="V11" s="3">
        <v>-4.5</v>
      </c>
    </row>
    <row r="12" spans="1:22" hidden="1">
      <c r="A12" s="1">
        <v>11</v>
      </c>
      <c r="B12" s="3">
        <v>11</v>
      </c>
      <c r="C12" s="3" t="s">
        <v>124</v>
      </c>
      <c r="D12" s="3" t="s">
        <v>1173</v>
      </c>
      <c r="E12" s="3" t="s">
        <v>158</v>
      </c>
      <c r="F12" s="3">
        <v>10</v>
      </c>
      <c r="G12" s="3">
        <v>456</v>
      </c>
      <c r="H12" s="3">
        <v>7272</v>
      </c>
      <c r="I12" s="3">
        <v>2545</v>
      </c>
      <c r="J12" s="3">
        <v>1771</v>
      </c>
      <c r="K12" s="3">
        <v>396</v>
      </c>
      <c r="L12" s="3">
        <v>0.48199999999999998</v>
      </c>
      <c r="M12" s="3">
        <v>0.39</v>
      </c>
      <c r="N12" s="3">
        <v>0.81200000000000006</v>
      </c>
      <c r="O12" s="3">
        <v>15.9</v>
      </c>
      <c r="P12" s="3">
        <v>5.6</v>
      </c>
      <c r="Q12" s="3">
        <v>3.9</v>
      </c>
      <c r="R12" s="3">
        <v>0.9</v>
      </c>
      <c r="S12" s="3">
        <v>15.8</v>
      </c>
      <c r="T12" s="3">
        <v>0.104</v>
      </c>
      <c r="U12" s="3">
        <v>-1.5</v>
      </c>
      <c r="V12" s="3">
        <v>1</v>
      </c>
    </row>
    <row r="13" spans="1:22" hidden="1">
      <c r="A13" s="1">
        <v>12</v>
      </c>
      <c r="B13" s="3">
        <v>12</v>
      </c>
      <c r="C13" s="3" t="s">
        <v>52</v>
      </c>
      <c r="D13" s="3" t="s">
        <v>1174</v>
      </c>
      <c r="E13" s="3" t="s">
        <v>300</v>
      </c>
      <c r="F13" s="3">
        <v>10</v>
      </c>
      <c r="G13" s="3">
        <v>573</v>
      </c>
      <c r="H13" s="3">
        <v>11896</v>
      </c>
      <c r="I13" s="3">
        <v>5805</v>
      </c>
      <c r="J13" s="3">
        <v>2073</v>
      </c>
      <c r="K13" s="3">
        <v>904</v>
      </c>
      <c r="L13" s="3">
        <v>0.439</v>
      </c>
      <c r="M13" s="3">
        <v>0.34200000000000003</v>
      </c>
      <c r="N13" s="3">
        <v>0.85699999999999998</v>
      </c>
      <c r="O13" s="3">
        <v>20.8</v>
      </c>
      <c r="P13" s="3">
        <v>10.1</v>
      </c>
      <c r="Q13" s="3">
        <v>3.6</v>
      </c>
      <c r="R13" s="3">
        <v>1.6</v>
      </c>
      <c r="S13" s="3">
        <v>26.8</v>
      </c>
      <c r="T13" s="3">
        <v>0.108</v>
      </c>
      <c r="U13" s="3">
        <v>0.6</v>
      </c>
      <c r="V13" s="3">
        <v>7.9</v>
      </c>
    </row>
    <row r="14" spans="1:22" hidden="1">
      <c r="A14" s="1">
        <v>13</v>
      </c>
      <c r="B14" s="3">
        <v>13</v>
      </c>
      <c r="C14" s="3" t="s">
        <v>323</v>
      </c>
      <c r="D14" s="3" t="s">
        <v>1175</v>
      </c>
      <c r="E14" s="3" t="s">
        <v>78</v>
      </c>
      <c r="F14" s="3">
        <v>4</v>
      </c>
      <c r="G14" s="3">
        <v>160</v>
      </c>
      <c r="H14" s="3">
        <v>3083</v>
      </c>
      <c r="I14" s="3">
        <v>802</v>
      </c>
      <c r="J14" s="3">
        <v>253</v>
      </c>
      <c r="K14" s="3">
        <v>779</v>
      </c>
      <c r="L14" s="3">
        <v>0.39900000000000002</v>
      </c>
      <c r="M14" s="3">
        <v>0.37</v>
      </c>
      <c r="N14" s="3">
        <v>0.61099999999999999</v>
      </c>
      <c r="O14" s="3">
        <v>19.3</v>
      </c>
      <c r="P14" s="3">
        <v>5</v>
      </c>
      <c r="Q14" s="3">
        <v>1.6</v>
      </c>
      <c r="R14" s="3">
        <v>4.9000000000000004</v>
      </c>
      <c r="S14" s="3">
        <v>1</v>
      </c>
      <c r="T14" s="3">
        <v>1.4999999999999999E-2</v>
      </c>
      <c r="U14" s="3">
        <v>-3.5</v>
      </c>
      <c r="V14" s="3">
        <v>-1.1000000000000001</v>
      </c>
    </row>
    <row r="15" spans="1:22" hidden="1">
      <c r="A15" s="1">
        <v>14</v>
      </c>
      <c r="B15" s="3">
        <v>14</v>
      </c>
      <c r="C15" s="3" t="s">
        <v>57</v>
      </c>
      <c r="D15" s="3" t="s">
        <v>1176</v>
      </c>
      <c r="E15" s="3" t="s">
        <v>78</v>
      </c>
      <c r="F15" s="3">
        <v>8</v>
      </c>
      <c r="G15" s="3">
        <v>445</v>
      </c>
      <c r="H15" s="3">
        <v>8752</v>
      </c>
      <c r="I15" s="3">
        <v>3383</v>
      </c>
      <c r="J15" s="3">
        <v>2368</v>
      </c>
      <c r="K15" s="3">
        <v>496</v>
      </c>
      <c r="L15" s="3">
        <v>0.54</v>
      </c>
      <c r="M15" s="3">
        <v>0.25</v>
      </c>
      <c r="N15" s="3">
        <v>0.56799999999999995</v>
      </c>
      <c r="O15" s="3">
        <v>19.7</v>
      </c>
      <c r="P15" s="3">
        <v>7.6</v>
      </c>
      <c r="Q15" s="3">
        <v>5.3</v>
      </c>
      <c r="R15" s="3">
        <v>1.1000000000000001</v>
      </c>
      <c r="S15" s="3">
        <v>20.7</v>
      </c>
      <c r="T15" s="3">
        <v>0.113</v>
      </c>
      <c r="U15" s="3">
        <v>-0.5</v>
      </c>
      <c r="V15" s="3">
        <v>3.4</v>
      </c>
    </row>
    <row r="16" spans="1:22" hidden="1">
      <c r="A16" s="1">
        <v>15</v>
      </c>
      <c r="B16" s="3">
        <v>15</v>
      </c>
      <c r="C16" s="3" t="s">
        <v>66</v>
      </c>
      <c r="D16" s="3" t="s">
        <v>1177</v>
      </c>
      <c r="E16" s="3" t="s">
        <v>989</v>
      </c>
      <c r="F16" s="3">
        <v>10</v>
      </c>
      <c r="G16" s="3">
        <v>621</v>
      </c>
      <c r="H16" s="3">
        <v>14019</v>
      </c>
      <c r="I16" s="3">
        <v>4259</v>
      </c>
      <c r="J16" s="3">
        <v>2198</v>
      </c>
      <c r="K16" s="3">
        <v>572</v>
      </c>
      <c r="L16" s="3">
        <v>0.47399999999999998</v>
      </c>
      <c r="M16" s="3">
        <v>0.32</v>
      </c>
      <c r="N16" s="3">
        <v>0.624</v>
      </c>
      <c r="O16" s="3">
        <v>22.6</v>
      </c>
      <c r="P16" s="3">
        <v>6.9</v>
      </c>
      <c r="Q16" s="3">
        <v>3.5</v>
      </c>
      <c r="R16" s="3">
        <v>0.9</v>
      </c>
      <c r="S16" s="3">
        <v>23</v>
      </c>
      <c r="T16" s="3">
        <v>7.9000000000000001E-2</v>
      </c>
      <c r="U16" s="3">
        <v>-0.8</v>
      </c>
      <c r="V16" s="3">
        <v>4.0999999999999996</v>
      </c>
    </row>
    <row r="17" spans="1:22" hidden="1">
      <c r="A17" s="1">
        <v>16</v>
      </c>
      <c r="B17" s="3">
        <v>16</v>
      </c>
      <c r="C17" s="3" t="s">
        <v>52</v>
      </c>
      <c r="D17" s="3" t="s">
        <v>1178</v>
      </c>
      <c r="E17" s="3" t="s">
        <v>108</v>
      </c>
      <c r="F17" s="3">
        <v>1</v>
      </c>
      <c r="G17" s="3">
        <v>3</v>
      </c>
      <c r="H17" s="3">
        <v>9</v>
      </c>
      <c r="I17" s="3">
        <v>0</v>
      </c>
      <c r="J17" s="3">
        <v>0</v>
      </c>
      <c r="K17" s="3">
        <v>0</v>
      </c>
      <c r="L17" s="3">
        <v>0</v>
      </c>
      <c r="M17" s="2"/>
      <c r="N17" s="2"/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-0.121</v>
      </c>
      <c r="U17" s="3">
        <v>-16.899999999999999</v>
      </c>
      <c r="V17" s="3">
        <v>0</v>
      </c>
    </row>
    <row r="18" spans="1:22" hidden="1">
      <c r="A18" s="1">
        <v>17</v>
      </c>
      <c r="B18" s="3">
        <v>17</v>
      </c>
      <c r="C18" s="3" t="s">
        <v>20</v>
      </c>
      <c r="D18" s="3" t="s">
        <v>1179</v>
      </c>
      <c r="E18" s="3" t="s">
        <v>78</v>
      </c>
      <c r="F18" s="3">
        <v>8</v>
      </c>
      <c r="G18" s="3">
        <v>414</v>
      </c>
      <c r="H18" s="3">
        <v>7254</v>
      </c>
      <c r="I18" s="3">
        <v>2873</v>
      </c>
      <c r="J18" s="3">
        <v>1820</v>
      </c>
      <c r="K18" s="3">
        <v>367</v>
      </c>
      <c r="L18" s="3">
        <v>0.50800000000000001</v>
      </c>
      <c r="M18" s="3">
        <v>0.28599999999999998</v>
      </c>
      <c r="N18" s="3">
        <v>0.76400000000000001</v>
      </c>
      <c r="O18" s="3">
        <v>17.5</v>
      </c>
      <c r="P18" s="3">
        <v>6.9</v>
      </c>
      <c r="Q18" s="3">
        <v>4.4000000000000004</v>
      </c>
      <c r="R18" s="3">
        <v>0.9</v>
      </c>
      <c r="S18" s="3">
        <v>17.100000000000001</v>
      </c>
      <c r="T18" s="3">
        <v>0.113</v>
      </c>
      <c r="U18" s="3">
        <v>-2</v>
      </c>
      <c r="V18" s="3">
        <v>0</v>
      </c>
    </row>
    <row r="19" spans="1:22" hidden="1">
      <c r="A19" s="1">
        <v>18</v>
      </c>
      <c r="B19" s="3">
        <v>18</v>
      </c>
      <c r="C19" s="3" t="s">
        <v>52</v>
      </c>
      <c r="D19" s="3" t="s">
        <v>1180</v>
      </c>
      <c r="E19" s="3" t="s">
        <v>173</v>
      </c>
      <c r="F19" s="3">
        <v>6</v>
      </c>
      <c r="G19" s="3">
        <v>234</v>
      </c>
      <c r="H19" s="3">
        <v>5562</v>
      </c>
      <c r="I19" s="3">
        <v>2431</v>
      </c>
      <c r="J19" s="3">
        <v>1334</v>
      </c>
      <c r="K19" s="3">
        <v>238</v>
      </c>
      <c r="L19" s="3">
        <v>0.501</v>
      </c>
      <c r="M19" s="3">
        <v>0.29699999999999999</v>
      </c>
      <c r="N19" s="3">
        <v>0.621</v>
      </c>
      <c r="O19" s="3">
        <v>23.8</v>
      </c>
      <c r="P19" s="3">
        <v>10.4</v>
      </c>
      <c r="Q19" s="3">
        <v>5.7</v>
      </c>
      <c r="R19" s="3">
        <v>1</v>
      </c>
      <c r="S19" s="3">
        <v>14.7</v>
      </c>
      <c r="T19" s="3">
        <v>0.127</v>
      </c>
      <c r="U19" s="3">
        <v>0.5</v>
      </c>
      <c r="V19" s="3">
        <v>3.6</v>
      </c>
    </row>
    <row r="20" spans="1:22" hidden="1">
      <c r="A20" s="1">
        <v>19</v>
      </c>
      <c r="B20" s="3">
        <v>19</v>
      </c>
      <c r="C20" s="3" t="s">
        <v>179</v>
      </c>
      <c r="D20" s="3" t="s">
        <v>1181</v>
      </c>
      <c r="E20" s="3" t="s">
        <v>1182</v>
      </c>
      <c r="F20" s="3">
        <v>5</v>
      </c>
      <c r="G20" s="3">
        <v>285</v>
      </c>
      <c r="H20" s="3">
        <v>4080</v>
      </c>
      <c r="I20" s="3">
        <v>1700</v>
      </c>
      <c r="J20" s="3">
        <v>857</v>
      </c>
      <c r="K20" s="3">
        <v>126</v>
      </c>
      <c r="L20" s="3">
        <v>0.46700000000000003</v>
      </c>
      <c r="M20" s="3">
        <v>0.32100000000000001</v>
      </c>
      <c r="N20" s="3">
        <v>0.77300000000000002</v>
      </c>
      <c r="O20" s="3">
        <v>14.3</v>
      </c>
      <c r="P20" s="3">
        <v>6</v>
      </c>
      <c r="Q20" s="3">
        <v>3</v>
      </c>
      <c r="R20" s="3">
        <v>0.4</v>
      </c>
      <c r="S20" s="3">
        <v>3.8</v>
      </c>
      <c r="T20" s="3">
        <v>4.4999999999999998E-2</v>
      </c>
      <c r="U20" s="3">
        <v>-3.6</v>
      </c>
      <c r="V20" s="3">
        <v>-1.6</v>
      </c>
    </row>
    <row r="21" spans="1:22" hidden="1">
      <c r="A21" s="1">
        <v>20</v>
      </c>
      <c r="B21" s="3">
        <v>20</v>
      </c>
      <c r="C21" s="3" t="s">
        <v>23</v>
      </c>
      <c r="D21" s="3" t="s">
        <v>1183</v>
      </c>
      <c r="E21" s="2"/>
      <c r="F21" s="3">
        <v>12</v>
      </c>
      <c r="G21" s="3">
        <v>704</v>
      </c>
      <c r="H21" s="3">
        <v>19514</v>
      </c>
      <c r="I21" s="3">
        <v>9607</v>
      </c>
      <c r="J21" s="3">
        <v>1878</v>
      </c>
      <c r="K21" s="3">
        <v>1759</v>
      </c>
      <c r="L21" s="3">
        <v>0.441</v>
      </c>
      <c r="M21" s="3">
        <v>0.374</v>
      </c>
      <c r="N21" s="3">
        <v>0.79900000000000004</v>
      </c>
      <c r="O21" s="3">
        <v>27.7</v>
      </c>
      <c r="P21" s="3">
        <v>13.6</v>
      </c>
      <c r="Q21" s="3">
        <v>2.7</v>
      </c>
      <c r="R21" s="3">
        <v>2.5</v>
      </c>
      <c r="S21" s="3">
        <v>30.5</v>
      </c>
      <c r="T21" s="3">
        <v>7.4999999999999997E-2</v>
      </c>
      <c r="U21" s="3">
        <v>-1.1000000000000001</v>
      </c>
      <c r="V21" s="3">
        <v>4.3</v>
      </c>
    </row>
    <row r="22" spans="1:22" hidden="1">
      <c r="A22" s="1">
        <v>21</v>
      </c>
      <c r="B22" s="3">
        <v>21</v>
      </c>
      <c r="C22" s="3" t="s">
        <v>190</v>
      </c>
      <c r="D22" s="3" t="s">
        <v>1184</v>
      </c>
      <c r="E22" s="3" t="s">
        <v>404</v>
      </c>
      <c r="F22" s="3">
        <v>5</v>
      </c>
      <c r="G22" s="3">
        <v>269</v>
      </c>
      <c r="H22" s="3">
        <v>6532</v>
      </c>
      <c r="I22" s="3">
        <v>2893</v>
      </c>
      <c r="J22" s="3">
        <v>2006</v>
      </c>
      <c r="K22" s="3">
        <v>477</v>
      </c>
      <c r="L22" s="3">
        <v>0.436</v>
      </c>
      <c r="M22" s="3">
        <v>0.27200000000000002</v>
      </c>
      <c r="N22" s="3">
        <v>0.72299999999999998</v>
      </c>
      <c r="O22" s="3">
        <v>24.3</v>
      </c>
      <c r="P22" s="3">
        <v>10.8</v>
      </c>
      <c r="Q22" s="3">
        <v>7.5</v>
      </c>
      <c r="R22" s="3">
        <v>1.8</v>
      </c>
      <c r="S22" s="3">
        <v>15.3</v>
      </c>
      <c r="T22" s="3">
        <v>0.113</v>
      </c>
      <c r="U22" s="3">
        <v>-0.4</v>
      </c>
      <c r="V22" s="3">
        <v>2.7</v>
      </c>
    </row>
    <row r="23" spans="1:22" hidden="1">
      <c r="A23" s="1">
        <v>22</v>
      </c>
      <c r="B23" s="3">
        <v>22</v>
      </c>
      <c r="C23" s="3" t="s">
        <v>190</v>
      </c>
      <c r="D23" s="3" t="s">
        <v>1185</v>
      </c>
      <c r="E23" s="3" t="s">
        <v>68</v>
      </c>
      <c r="F23" s="3">
        <v>1</v>
      </c>
      <c r="G23" s="3">
        <v>6</v>
      </c>
      <c r="H23" s="3">
        <v>36</v>
      </c>
      <c r="I23" s="3">
        <v>7</v>
      </c>
      <c r="J23" s="3">
        <v>3</v>
      </c>
      <c r="K23" s="3">
        <v>0</v>
      </c>
      <c r="L23" s="3">
        <v>0.5</v>
      </c>
      <c r="M23" s="2"/>
      <c r="N23" s="3">
        <v>0.25</v>
      </c>
      <c r="O23" s="3">
        <v>6</v>
      </c>
      <c r="P23" s="3">
        <v>1.2</v>
      </c>
      <c r="Q23" s="3">
        <v>0.5</v>
      </c>
      <c r="R23" s="3">
        <v>0</v>
      </c>
      <c r="S23" s="3">
        <v>0</v>
      </c>
      <c r="T23" s="3">
        <v>2.1000000000000001E-2</v>
      </c>
      <c r="U23" s="3">
        <v>-7.6</v>
      </c>
      <c r="V23" s="3">
        <v>-0.1</v>
      </c>
    </row>
    <row r="24" spans="1:22" hidden="1">
      <c r="A24" s="1">
        <v>23</v>
      </c>
      <c r="B24" s="3">
        <v>23</v>
      </c>
      <c r="C24" s="3" t="s">
        <v>184</v>
      </c>
      <c r="D24" s="3" t="s">
        <v>1186</v>
      </c>
      <c r="E24" s="3" t="s">
        <v>592</v>
      </c>
      <c r="F24" s="3">
        <v>6</v>
      </c>
      <c r="G24" s="3">
        <v>171</v>
      </c>
      <c r="H24" s="3">
        <v>2183</v>
      </c>
      <c r="I24" s="3">
        <v>855</v>
      </c>
      <c r="J24" s="3">
        <v>250</v>
      </c>
      <c r="K24" s="3">
        <v>138</v>
      </c>
      <c r="L24" s="3">
        <v>0.441</v>
      </c>
      <c r="M24" s="3">
        <v>0.36699999999999999</v>
      </c>
      <c r="N24" s="3">
        <v>0.84699999999999998</v>
      </c>
      <c r="O24" s="3">
        <v>12.8</v>
      </c>
      <c r="P24" s="3">
        <v>5</v>
      </c>
      <c r="Q24" s="3">
        <v>1.5</v>
      </c>
      <c r="R24" s="3">
        <v>0.8</v>
      </c>
      <c r="S24" s="3">
        <v>3</v>
      </c>
      <c r="T24" s="3">
        <v>6.5000000000000002E-2</v>
      </c>
      <c r="U24" s="3">
        <v>-1.9</v>
      </c>
      <c r="V24" s="3">
        <v>0.1</v>
      </c>
    </row>
    <row r="25" spans="1:22" hidden="1">
      <c r="A25" s="1">
        <v>24</v>
      </c>
      <c r="B25" s="3">
        <v>24</v>
      </c>
      <c r="C25" s="3" t="s">
        <v>76</v>
      </c>
      <c r="D25" s="3" t="s">
        <v>1187</v>
      </c>
      <c r="E25" s="3" t="s">
        <v>1188</v>
      </c>
      <c r="F25" s="3">
        <v>4</v>
      </c>
      <c r="G25" s="3">
        <v>84</v>
      </c>
      <c r="H25" s="3">
        <v>605</v>
      </c>
      <c r="I25" s="3">
        <v>197</v>
      </c>
      <c r="J25" s="3">
        <v>56</v>
      </c>
      <c r="K25" s="3">
        <v>39</v>
      </c>
      <c r="L25" s="3">
        <v>0.34699999999999998</v>
      </c>
      <c r="M25" s="3">
        <v>0.30599999999999999</v>
      </c>
      <c r="N25" s="3">
        <v>0.67400000000000004</v>
      </c>
      <c r="O25" s="3">
        <v>7.2</v>
      </c>
      <c r="P25" s="3">
        <v>2.2999999999999998</v>
      </c>
      <c r="Q25" s="3">
        <v>0.7</v>
      </c>
      <c r="R25" s="3">
        <v>0.5</v>
      </c>
      <c r="S25" s="3">
        <v>0.2</v>
      </c>
      <c r="T25" s="3">
        <v>1.7000000000000001E-2</v>
      </c>
      <c r="U25" s="3">
        <v>-5.7</v>
      </c>
      <c r="V25" s="3">
        <v>-0.6</v>
      </c>
    </row>
    <row r="26" spans="1:22" hidden="1">
      <c r="A26" s="1">
        <v>25</v>
      </c>
      <c r="B26" s="3">
        <v>25</v>
      </c>
      <c r="C26" s="3" t="s">
        <v>152</v>
      </c>
      <c r="D26" s="3" t="s">
        <v>1189</v>
      </c>
      <c r="E26" s="3" t="s">
        <v>38</v>
      </c>
      <c r="F26" s="3">
        <v>4</v>
      </c>
      <c r="G26" s="3">
        <v>145</v>
      </c>
      <c r="H26" s="3">
        <v>3076</v>
      </c>
      <c r="I26" s="3">
        <v>1604</v>
      </c>
      <c r="J26" s="3">
        <v>363</v>
      </c>
      <c r="K26" s="3">
        <v>437</v>
      </c>
      <c r="L26" s="3">
        <v>0.41299999999999998</v>
      </c>
      <c r="M26" s="3">
        <v>0.23100000000000001</v>
      </c>
      <c r="N26" s="3">
        <v>0.64700000000000002</v>
      </c>
      <c r="O26" s="3">
        <v>21.2</v>
      </c>
      <c r="P26" s="3">
        <v>11.1</v>
      </c>
      <c r="Q26" s="3">
        <v>2.5</v>
      </c>
      <c r="R26" s="3">
        <v>3</v>
      </c>
      <c r="S26" s="3">
        <v>-1.3</v>
      </c>
      <c r="T26" s="3">
        <v>-2.1000000000000001E-2</v>
      </c>
      <c r="U26" s="3">
        <v>-3.4</v>
      </c>
      <c r="V26" s="3">
        <v>-1.1000000000000001</v>
      </c>
    </row>
    <row r="27" spans="1:22" hidden="1">
      <c r="A27" s="1">
        <v>26</v>
      </c>
      <c r="B27" s="3">
        <v>26</v>
      </c>
      <c r="C27" s="3" t="s">
        <v>41</v>
      </c>
      <c r="D27" s="3" t="s">
        <v>1190</v>
      </c>
      <c r="E27" s="3" t="s">
        <v>171</v>
      </c>
      <c r="F27" s="3">
        <v>7</v>
      </c>
      <c r="G27" s="3">
        <v>346</v>
      </c>
      <c r="H27" s="3">
        <v>5658</v>
      </c>
      <c r="I27" s="3">
        <v>1697</v>
      </c>
      <c r="J27" s="3">
        <v>1562</v>
      </c>
      <c r="K27" s="3">
        <v>178</v>
      </c>
      <c r="L27" s="3">
        <v>0.54200000000000004</v>
      </c>
      <c r="M27" s="2"/>
      <c r="N27" s="3">
        <v>0.54300000000000004</v>
      </c>
      <c r="O27" s="3">
        <v>16.399999999999999</v>
      </c>
      <c r="P27" s="3">
        <v>4.9000000000000004</v>
      </c>
      <c r="Q27" s="3">
        <v>4.5</v>
      </c>
      <c r="R27" s="3">
        <v>0.5</v>
      </c>
      <c r="S27" s="3">
        <v>10.6</v>
      </c>
      <c r="T27" s="3">
        <v>0.09</v>
      </c>
      <c r="U27" s="3">
        <v>-1.9</v>
      </c>
      <c r="V27" s="3">
        <v>0.2</v>
      </c>
    </row>
    <row r="28" spans="1:22" hidden="1">
      <c r="A28" s="1">
        <v>27</v>
      </c>
      <c r="B28" s="3">
        <v>27</v>
      </c>
      <c r="C28" s="3" t="s">
        <v>72</v>
      </c>
      <c r="D28" s="3" t="s">
        <v>1191</v>
      </c>
      <c r="E28" s="3" t="s">
        <v>619</v>
      </c>
      <c r="F28" s="3">
        <v>2</v>
      </c>
      <c r="G28" s="3">
        <v>59</v>
      </c>
      <c r="H28" s="3">
        <v>729</v>
      </c>
      <c r="I28" s="3">
        <v>210</v>
      </c>
      <c r="J28" s="3">
        <v>180</v>
      </c>
      <c r="K28" s="3">
        <v>12</v>
      </c>
      <c r="L28" s="3">
        <v>0.54700000000000004</v>
      </c>
      <c r="M28" s="2"/>
      <c r="N28" s="3">
        <v>0.66700000000000004</v>
      </c>
      <c r="O28" s="3">
        <v>12.4</v>
      </c>
      <c r="P28" s="3">
        <v>3.6</v>
      </c>
      <c r="Q28" s="3">
        <v>3.1</v>
      </c>
      <c r="R28" s="3">
        <v>0.2</v>
      </c>
      <c r="S28" s="3">
        <v>1.7</v>
      </c>
      <c r="T28" s="3">
        <v>0.113</v>
      </c>
      <c r="U28" s="3">
        <v>-2.8</v>
      </c>
      <c r="V28" s="3">
        <v>-0.1</v>
      </c>
    </row>
    <row r="29" spans="1:22" hidden="1">
      <c r="A29" s="1">
        <v>28</v>
      </c>
      <c r="B29" s="3">
        <v>28</v>
      </c>
      <c r="C29" s="3" t="s">
        <v>82</v>
      </c>
      <c r="D29" s="3" t="s">
        <v>1192</v>
      </c>
      <c r="E29" s="3" t="s">
        <v>208</v>
      </c>
      <c r="F29" s="3">
        <v>3</v>
      </c>
      <c r="G29" s="3">
        <v>143</v>
      </c>
      <c r="H29" s="3">
        <v>1675</v>
      </c>
      <c r="I29" s="3">
        <v>488</v>
      </c>
      <c r="J29" s="3">
        <v>252</v>
      </c>
      <c r="K29" s="3">
        <v>54</v>
      </c>
      <c r="L29" s="3">
        <v>0.42</v>
      </c>
      <c r="M29" s="3">
        <v>0.29299999999999998</v>
      </c>
      <c r="N29" s="3">
        <v>0.66</v>
      </c>
      <c r="O29" s="3">
        <v>11.7</v>
      </c>
      <c r="P29" s="3">
        <v>3.4</v>
      </c>
      <c r="Q29" s="3">
        <v>1.8</v>
      </c>
      <c r="R29" s="3">
        <v>0.4</v>
      </c>
      <c r="S29" s="3">
        <v>1.7</v>
      </c>
      <c r="T29" s="3">
        <v>4.8000000000000001E-2</v>
      </c>
      <c r="U29" s="3">
        <v>-3.5</v>
      </c>
      <c r="V29" s="3">
        <v>-0.6</v>
      </c>
    </row>
    <row r="30" spans="1:22" hidden="1">
      <c r="A30" s="1">
        <v>29</v>
      </c>
      <c r="B30" s="3">
        <v>29</v>
      </c>
      <c r="C30" s="3" t="s">
        <v>99</v>
      </c>
      <c r="D30" s="3" t="s">
        <v>1193</v>
      </c>
      <c r="E30" s="3" t="s">
        <v>173</v>
      </c>
      <c r="F30" s="3">
        <v>3</v>
      </c>
      <c r="G30" s="3">
        <v>91</v>
      </c>
      <c r="H30" s="3">
        <v>909</v>
      </c>
      <c r="I30" s="3">
        <v>217</v>
      </c>
      <c r="J30" s="3">
        <v>90</v>
      </c>
      <c r="K30" s="3">
        <v>134</v>
      </c>
      <c r="L30" s="3">
        <v>0.34300000000000003</v>
      </c>
      <c r="M30" s="3">
        <v>0.222</v>
      </c>
      <c r="N30" s="3">
        <v>0.66100000000000003</v>
      </c>
      <c r="O30" s="3">
        <v>10</v>
      </c>
      <c r="P30" s="3">
        <v>2.4</v>
      </c>
      <c r="Q30" s="3">
        <v>1</v>
      </c>
      <c r="R30" s="3">
        <v>1.5</v>
      </c>
      <c r="S30" s="3">
        <v>-0.9</v>
      </c>
      <c r="T30" s="3">
        <v>-4.4999999999999998E-2</v>
      </c>
      <c r="U30" s="3">
        <v>-6.5</v>
      </c>
      <c r="V30" s="3">
        <v>-1</v>
      </c>
    </row>
    <row r="31" spans="1:22" hidden="1">
      <c r="A31" s="1">
        <v>30</v>
      </c>
      <c r="B31" s="3">
        <v>30</v>
      </c>
      <c r="C31" s="3" t="s">
        <v>25</v>
      </c>
      <c r="D31" s="3" t="s">
        <v>1194</v>
      </c>
      <c r="E31" s="3" t="s">
        <v>592</v>
      </c>
      <c r="F31" s="3">
        <v>3</v>
      </c>
      <c r="G31" s="3">
        <v>170</v>
      </c>
      <c r="H31" s="3">
        <v>2394</v>
      </c>
      <c r="I31" s="3">
        <v>712</v>
      </c>
      <c r="J31" s="3">
        <v>725</v>
      </c>
      <c r="K31" s="3">
        <v>63</v>
      </c>
      <c r="L31" s="3">
        <v>0.51300000000000001</v>
      </c>
      <c r="M31" s="2"/>
      <c r="N31" s="3">
        <v>0.55700000000000005</v>
      </c>
      <c r="O31" s="3">
        <v>14.1</v>
      </c>
      <c r="P31" s="3">
        <v>4.2</v>
      </c>
      <c r="Q31" s="3">
        <v>4.3</v>
      </c>
      <c r="R31" s="3">
        <v>0.4</v>
      </c>
      <c r="S31" s="3">
        <v>5.9</v>
      </c>
      <c r="T31" s="3">
        <v>0.11899999999999999</v>
      </c>
      <c r="U31" s="3">
        <v>-2</v>
      </c>
      <c r="V31" s="3">
        <v>0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70"/>
      <c r="N32" s="69"/>
      <c r="O32" s="69"/>
      <c r="P32" s="69"/>
      <c r="Q32" s="69"/>
      <c r="R32" s="69"/>
      <c r="S32" s="69"/>
      <c r="T32" s="69"/>
      <c r="U32" s="69"/>
      <c r="V32" s="69"/>
    </row>
    <row r="33" spans="1:24">
      <c r="A33" s="1">
        <v>31</v>
      </c>
      <c r="B33" s="3">
        <v>31</v>
      </c>
      <c r="C33" s="3" t="s">
        <v>1095</v>
      </c>
      <c r="D33" s="88" t="s">
        <v>1195</v>
      </c>
      <c r="E33" s="3" t="s">
        <v>592</v>
      </c>
      <c r="F33" s="3">
        <v>3</v>
      </c>
      <c r="G33" s="3">
        <v>132</v>
      </c>
      <c r="H33" s="3">
        <v>2566</v>
      </c>
      <c r="I33" s="3">
        <v>807</v>
      </c>
      <c r="J33" s="3">
        <v>263</v>
      </c>
      <c r="K33" s="3">
        <v>107</v>
      </c>
      <c r="L33" s="3">
        <v>0.40899999999999997</v>
      </c>
      <c r="M33" s="3">
        <v>0.31900000000000001</v>
      </c>
      <c r="N33" s="3">
        <v>0.66500000000000004</v>
      </c>
      <c r="O33" s="3">
        <v>19.399999999999999</v>
      </c>
      <c r="P33" s="3">
        <v>6.1</v>
      </c>
      <c r="Q33" s="3">
        <v>2</v>
      </c>
      <c r="R33" s="3">
        <v>0.8</v>
      </c>
      <c r="S33" s="3">
        <v>1.3</v>
      </c>
      <c r="T33" s="3">
        <v>2.4E-2</v>
      </c>
      <c r="U33" s="3">
        <v>-4.2</v>
      </c>
      <c r="V33" s="3">
        <v>-1.5</v>
      </c>
      <c r="X33" s="53" t="s">
        <v>296</v>
      </c>
    </row>
    <row r="34" spans="1:24">
      <c r="A34" s="1">
        <v>32</v>
      </c>
      <c r="B34" s="3">
        <v>32</v>
      </c>
      <c r="C34" s="3" t="s">
        <v>69</v>
      </c>
      <c r="D34" s="82" t="s">
        <v>206</v>
      </c>
      <c r="E34" s="2"/>
      <c r="F34" s="3">
        <v>6</v>
      </c>
      <c r="G34" s="3">
        <v>388</v>
      </c>
      <c r="H34" s="3">
        <v>8617</v>
      </c>
      <c r="I34" s="3">
        <v>2676</v>
      </c>
      <c r="J34" s="3">
        <v>1117</v>
      </c>
      <c r="K34" s="3">
        <v>1586</v>
      </c>
      <c r="L34" s="3">
        <v>0.46800000000000003</v>
      </c>
      <c r="M34" s="3">
        <v>0.35399999999999998</v>
      </c>
      <c r="N34" s="3">
        <v>0.82</v>
      </c>
      <c r="O34" s="3">
        <v>22.2</v>
      </c>
      <c r="P34" s="3">
        <v>6.9</v>
      </c>
      <c r="Q34" s="3">
        <v>2.9</v>
      </c>
      <c r="R34" s="3">
        <v>4.0999999999999996</v>
      </c>
      <c r="S34" s="3">
        <v>17.899999999999999</v>
      </c>
      <c r="T34" s="3">
        <v>0.1</v>
      </c>
      <c r="U34" s="3">
        <v>-0.9</v>
      </c>
      <c r="V34" s="3">
        <v>2.4</v>
      </c>
      <c r="X34" s="54" t="s">
        <v>298</v>
      </c>
    </row>
    <row r="35" spans="1:24">
      <c r="A35" s="1">
        <v>33</v>
      </c>
      <c r="B35" s="3">
        <v>33</v>
      </c>
      <c r="C35" s="3" t="s">
        <v>76</v>
      </c>
      <c r="D35" s="67" t="s">
        <v>1196</v>
      </c>
      <c r="E35" s="3" t="s">
        <v>182</v>
      </c>
      <c r="F35" s="3">
        <v>3</v>
      </c>
      <c r="G35" s="3">
        <v>92</v>
      </c>
      <c r="H35" s="3">
        <v>761</v>
      </c>
      <c r="I35" s="3">
        <v>203</v>
      </c>
      <c r="J35" s="3">
        <v>212</v>
      </c>
      <c r="K35" s="3">
        <v>13</v>
      </c>
      <c r="L35" s="3">
        <v>0.497</v>
      </c>
      <c r="M35" s="3">
        <v>0</v>
      </c>
      <c r="N35" s="3">
        <v>0.68</v>
      </c>
      <c r="O35" s="3">
        <v>8.3000000000000007</v>
      </c>
      <c r="P35" s="3">
        <v>2.2000000000000002</v>
      </c>
      <c r="Q35" s="3">
        <v>2.2999999999999998</v>
      </c>
      <c r="R35" s="3">
        <v>0.1</v>
      </c>
      <c r="S35" s="3">
        <v>1.9</v>
      </c>
      <c r="T35" s="3">
        <v>0.11700000000000001</v>
      </c>
      <c r="U35" s="3">
        <v>-1.8</v>
      </c>
      <c r="V35" s="3">
        <v>0</v>
      </c>
      <c r="X35" s="58" t="s">
        <v>39</v>
      </c>
    </row>
    <row r="36" spans="1:24">
      <c r="A36" s="1">
        <v>34</v>
      </c>
      <c r="B36" s="3">
        <v>34</v>
      </c>
      <c r="C36" s="3" t="s">
        <v>76</v>
      </c>
      <c r="D36" s="80" t="s">
        <v>122</v>
      </c>
      <c r="E36" s="3" t="s">
        <v>123</v>
      </c>
      <c r="F36" s="3">
        <v>13</v>
      </c>
      <c r="G36" s="3">
        <v>810</v>
      </c>
      <c r="H36" s="3">
        <v>20150</v>
      </c>
      <c r="I36" s="3">
        <v>7512</v>
      </c>
      <c r="J36" s="3">
        <v>3388</v>
      </c>
      <c r="K36" s="3">
        <v>1279</v>
      </c>
      <c r="L36" s="3">
        <v>0.41799999999999998</v>
      </c>
      <c r="M36" s="3">
        <v>0.34699999999999998</v>
      </c>
      <c r="N36" s="3">
        <v>0.77700000000000002</v>
      </c>
      <c r="O36" s="3">
        <v>24.9</v>
      </c>
      <c r="P36" s="3">
        <v>9.3000000000000007</v>
      </c>
      <c r="Q36" s="3">
        <v>4.2</v>
      </c>
      <c r="R36" s="3">
        <v>1.6</v>
      </c>
      <c r="S36" s="3">
        <v>43</v>
      </c>
      <c r="T36" s="3">
        <v>0.10199999999999999</v>
      </c>
      <c r="U36" s="3">
        <v>0.1</v>
      </c>
      <c r="V36" s="3">
        <v>10.9</v>
      </c>
      <c r="X36" s="59" t="s">
        <v>106</v>
      </c>
    </row>
    <row r="37" spans="1:24">
      <c r="A37" s="1">
        <v>35</v>
      </c>
      <c r="B37" s="3">
        <v>35</v>
      </c>
      <c r="C37" s="3" t="s">
        <v>25</v>
      </c>
      <c r="D37" s="86" t="s">
        <v>26</v>
      </c>
      <c r="E37" s="3" t="s">
        <v>27</v>
      </c>
      <c r="F37" s="3">
        <v>13</v>
      </c>
      <c r="G37" s="3">
        <v>852</v>
      </c>
      <c r="H37" s="3">
        <v>24405</v>
      </c>
      <c r="I37" s="3">
        <v>7374</v>
      </c>
      <c r="J37" s="3">
        <v>5901</v>
      </c>
      <c r="K37" s="3">
        <v>4781</v>
      </c>
      <c r="L37" s="3">
        <v>0.45</v>
      </c>
      <c r="M37" s="3">
        <v>0.32100000000000001</v>
      </c>
      <c r="N37" s="3">
        <v>0.70799999999999996</v>
      </c>
      <c r="O37" s="3">
        <v>28.6</v>
      </c>
      <c r="P37" s="3">
        <v>8.6999999999999993</v>
      </c>
      <c r="Q37" s="3">
        <v>6.9</v>
      </c>
      <c r="R37" s="3">
        <v>5.6</v>
      </c>
      <c r="S37" s="3">
        <v>62.7</v>
      </c>
      <c r="T37" s="3">
        <v>0.123</v>
      </c>
      <c r="U37" s="3">
        <v>2.4</v>
      </c>
      <c r="V37" s="3">
        <v>27</v>
      </c>
      <c r="X37" s="60" t="s">
        <v>678</v>
      </c>
    </row>
    <row r="38" spans="1:24">
      <c r="A38" s="1">
        <v>36</v>
      </c>
      <c r="B38" s="3">
        <v>36</v>
      </c>
      <c r="C38" s="3" t="s">
        <v>36</v>
      </c>
      <c r="D38" s="67" t="s">
        <v>1197</v>
      </c>
      <c r="E38" s="3" t="s">
        <v>345</v>
      </c>
      <c r="F38" s="3">
        <v>3</v>
      </c>
      <c r="G38" s="3">
        <v>103</v>
      </c>
      <c r="H38" s="3">
        <v>1112</v>
      </c>
      <c r="I38" s="3">
        <v>329</v>
      </c>
      <c r="J38" s="3">
        <v>180</v>
      </c>
      <c r="K38" s="3">
        <v>69</v>
      </c>
      <c r="L38" s="3">
        <v>0.35799999999999998</v>
      </c>
      <c r="M38" s="3">
        <v>0.311</v>
      </c>
      <c r="N38" s="3">
        <v>0.72699999999999998</v>
      </c>
      <c r="O38" s="3">
        <v>10.8</v>
      </c>
      <c r="P38" s="3">
        <v>3.2</v>
      </c>
      <c r="Q38" s="3">
        <v>1.7</v>
      </c>
      <c r="R38" s="3">
        <v>0.7</v>
      </c>
      <c r="S38" s="3">
        <v>1.4</v>
      </c>
      <c r="T38" s="3">
        <v>5.8999999999999997E-2</v>
      </c>
      <c r="U38" s="3">
        <v>-2.4</v>
      </c>
      <c r="V38" s="3">
        <v>-0.1</v>
      </c>
      <c r="X38" s="84" t="s">
        <v>680</v>
      </c>
    </row>
    <row r="39" spans="1:24">
      <c r="A39" s="1">
        <v>37</v>
      </c>
      <c r="B39" s="3">
        <v>37</v>
      </c>
      <c r="C39" s="3" t="s">
        <v>163</v>
      </c>
      <c r="D39" s="82" t="s">
        <v>207</v>
      </c>
      <c r="E39" s="3" t="s">
        <v>208</v>
      </c>
      <c r="F39" s="3">
        <v>7</v>
      </c>
      <c r="G39" s="3">
        <v>337</v>
      </c>
      <c r="H39" s="3">
        <v>5392</v>
      </c>
      <c r="I39" s="3">
        <v>1642</v>
      </c>
      <c r="J39" s="3">
        <v>1179</v>
      </c>
      <c r="K39" s="3">
        <v>217</v>
      </c>
      <c r="L39" s="3">
        <v>0.44400000000000001</v>
      </c>
      <c r="M39" s="3">
        <v>0.35</v>
      </c>
      <c r="N39" s="3">
        <v>0.75900000000000001</v>
      </c>
      <c r="O39" s="3">
        <v>16</v>
      </c>
      <c r="P39" s="3">
        <v>4.9000000000000004</v>
      </c>
      <c r="Q39" s="3">
        <v>3.5</v>
      </c>
      <c r="R39" s="3">
        <v>0.6</v>
      </c>
      <c r="S39" s="3">
        <v>8.6999999999999993</v>
      </c>
      <c r="T39" s="3">
        <v>7.8E-2</v>
      </c>
      <c r="U39" s="3">
        <v>-2</v>
      </c>
      <c r="V39" s="3">
        <v>-0.1</v>
      </c>
      <c r="X39" s="57" t="s">
        <v>111</v>
      </c>
    </row>
    <row r="40" spans="1:24">
      <c r="A40" s="1">
        <v>38</v>
      </c>
      <c r="B40" s="3">
        <v>38</v>
      </c>
      <c r="C40" s="3" t="s">
        <v>23</v>
      </c>
      <c r="D40" s="67" t="s">
        <v>1198</v>
      </c>
      <c r="E40" s="3" t="s">
        <v>208</v>
      </c>
      <c r="F40" s="3">
        <v>3</v>
      </c>
      <c r="G40" s="3">
        <v>69</v>
      </c>
      <c r="H40" s="3">
        <v>934</v>
      </c>
      <c r="I40" s="3">
        <v>295</v>
      </c>
      <c r="J40" s="3">
        <v>169</v>
      </c>
      <c r="K40" s="3">
        <v>37</v>
      </c>
      <c r="L40" s="3">
        <v>0.35</v>
      </c>
      <c r="M40" s="3">
        <v>0.29199999999999998</v>
      </c>
      <c r="N40" s="3">
        <v>0.70599999999999996</v>
      </c>
      <c r="O40" s="3">
        <v>13.5</v>
      </c>
      <c r="P40" s="3">
        <v>4.3</v>
      </c>
      <c r="Q40" s="3">
        <v>2.4</v>
      </c>
      <c r="R40" s="3">
        <v>0.5</v>
      </c>
      <c r="S40" s="3">
        <v>-0.1</v>
      </c>
      <c r="T40" s="3">
        <v>-3.0000000000000001E-3</v>
      </c>
      <c r="U40" s="3">
        <v>-3.9</v>
      </c>
      <c r="V40" s="3">
        <v>-0.5</v>
      </c>
    </row>
    <row r="41" spans="1:24">
      <c r="A41" s="1">
        <v>39</v>
      </c>
      <c r="B41" s="3">
        <v>39</v>
      </c>
      <c r="C41" s="3" t="s">
        <v>34</v>
      </c>
      <c r="D41" s="134" t="s">
        <v>35</v>
      </c>
      <c r="E41" s="3" t="s">
        <v>30</v>
      </c>
      <c r="F41" s="3">
        <v>13</v>
      </c>
      <c r="G41" s="3">
        <v>762</v>
      </c>
      <c r="H41" s="3">
        <v>23514</v>
      </c>
      <c r="I41" s="3">
        <v>12751</v>
      </c>
      <c r="J41" s="3">
        <v>3648</v>
      </c>
      <c r="K41" s="3">
        <v>3018</v>
      </c>
      <c r="L41" s="3">
        <v>0.46100000000000002</v>
      </c>
      <c r="M41" s="3">
        <v>0.38800000000000001</v>
      </c>
      <c r="N41" s="3">
        <v>0.879</v>
      </c>
      <c r="O41" s="3">
        <v>30.9</v>
      </c>
      <c r="P41" s="3">
        <v>16.7</v>
      </c>
      <c r="Q41" s="3">
        <v>4.8</v>
      </c>
      <c r="R41" s="3">
        <v>4</v>
      </c>
      <c r="S41" s="3">
        <v>57.6</v>
      </c>
      <c r="T41" s="3">
        <v>0.11700000000000001</v>
      </c>
      <c r="U41" s="3">
        <v>0.8</v>
      </c>
      <c r="V41" s="3">
        <v>16.5</v>
      </c>
    </row>
    <row r="42" spans="1:24">
      <c r="A42" s="1">
        <v>40</v>
      </c>
      <c r="B42" s="3">
        <v>40</v>
      </c>
      <c r="C42" s="3" t="s">
        <v>124</v>
      </c>
      <c r="D42" s="80" t="s">
        <v>125</v>
      </c>
      <c r="E42" s="3" t="s">
        <v>126</v>
      </c>
      <c r="F42" s="3">
        <v>11</v>
      </c>
      <c r="G42" s="3">
        <v>679</v>
      </c>
      <c r="H42" s="3">
        <v>17116</v>
      </c>
      <c r="I42" s="3">
        <v>7625</v>
      </c>
      <c r="J42" s="3">
        <v>2792</v>
      </c>
      <c r="K42" s="3">
        <v>1817</v>
      </c>
      <c r="L42" s="3">
        <v>0.43</v>
      </c>
      <c r="M42" s="3">
        <v>0.35499999999999998</v>
      </c>
      <c r="N42" s="3">
        <v>0.78700000000000003</v>
      </c>
      <c r="O42" s="3">
        <v>25.2</v>
      </c>
      <c r="P42" s="3">
        <v>11.2</v>
      </c>
      <c r="Q42" s="3">
        <v>4.0999999999999996</v>
      </c>
      <c r="R42" s="3">
        <v>2.7</v>
      </c>
      <c r="S42" s="3">
        <v>26.5</v>
      </c>
      <c r="T42" s="3">
        <v>7.3999999999999996E-2</v>
      </c>
      <c r="U42" s="3">
        <v>-0.4</v>
      </c>
      <c r="V42" s="3">
        <v>6.9</v>
      </c>
    </row>
    <row r="43" spans="1:24">
      <c r="A43" s="1">
        <v>41</v>
      </c>
      <c r="B43" s="3">
        <v>41</v>
      </c>
      <c r="C43" s="3" t="s">
        <v>124</v>
      </c>
      <c r="D43" s="67" t="s">
        <v>1199</v>
      </c>
      <c r="E43" s="3" t="s">
        <v>138</v>
      </c>
      <c r="F43" s="3">
        <v>2</v>
      </c>
      <c r="G43" s="3">
        <v>61</v>
      </c>
      <c r="H43" s="3">
        <v>491</v>
      </c>
      <c r="I43" s="3">
        <v>174</v>
      </c>
      <c r="J43" s="3">
        <v>33</v>
      </c>
      <c r="K43" s="3">
        <v>57</v>
      </c>
      <c r="L43" s="3">
        <v>0.35399999999999998</v>
      </c>
      <c r="M43" s="3">
        <v>0.36</v>
      </c>
      <c r="N43" s="3">
        <v>0.68400000000000005</v>
      </c>
      <c r="O43" s="3">
        <v>8</v>
      </c>
      <c r="P43" s="3">
        <v>2.9</v>
      </c>
      <c r="Q43" s="3">
        <v>0.5</v>
      </c>
      <c r="R43" s="3">
        <v>0.9</v>
      </c>
      <c r="S43" s="3">
        <v>-0.9</v>
      </c>
      <c r="T43" s="3">
        <v>-8.7999999999999995E-2</v>
      </c>
      <c r="U43" s="3">
        <v>-8.1</v>
      </c>
      <c r="V43" s="3">
        <v>-0.8</v>
      </c>
    </row>
    <row r="44" spans="1:24">
      <c r="A44" s="1">
        <v>42</v>
      </c>
      <c r="B44" s="3">
        <v>42</v>
      </c>
      <c r="C44" s="3" t="s">
        <v>57</v>
      </c>
      <c r="D44" s="67" t="s">
        <v>1200</v>
      </c>
      <c r="E44" s="3" t="s">
        <v>173</v>
      </c>
      <c r="F44" s="3">
        <v>2</v>
      </c>
      <c r="G44" s="3">
        <v>100</v>
      </c>
      <c r="H44" s="3">
        <v>1272</v>
      </c>
      <c r="I44" s="3">
        <v>345</v>
      </c>
      <c r="J44" s="3">
        <v>95</v>
      </c>
      <c r="K44" s="3">
        <v>75</v>
      </c>
      <c r="L44" s="3">
        <v>0.38100000000000001</v>
      </c>
      <c r="M44" s="3">
        <v>0.39400000000000002</v>
      </c>
      <c r="N44" s="3">
        <v>0.7</v>
      </c>
      <c r="O44" s="3">
        <v>12.7</v>
      </c>
      <c r="P44" s="3">
        <v>3.5</v>
      </c>
      <c r="Q44" s="3">
        <v>1</v>
      </c>
      <c r="R44" s="3">
        <v>0.8</v>
      </c>
      <c r="S44" s="3">
        <v>0.1</v>
      </c>
      <c r="T44" s="3">
        <v>5.0000000000000001E-3</v>
      </c>
      <c r="U44" s="3">
        <v>-5.8</v>
      </c>
      <c r="V44" s="3">
        <v>-1.2</v>
      </c>
    </row>
    <row r="45" spans="1:24">
      <c r="A45" s="1">
        <v>43</v>
      </c>
      <c r="B45" s="3">
        <v>43</v>
      </c>
      <c r="C45" s="3" t="s">
        <v>184</v>
      </c>
      <c r="D45" s="82" t="s">
        <v>209</v>
      </c>
      <c r="E45" s="3" t="s">
        <v>59</v>
      </c>
      <c r="F45" s="3">
        <v>9</v>
      </c>
      <c r="G45" s="3">
        <v>555</v>
      </c>
      <c r="H45" s="3">
        <v>9182</v>
      </c>
      <c r="I45" s="3">
        <v>3736</v>
      </c>
      <c r="J45" s="3">
        <v>1727</v>
      </c>
      <c r="K45" s="3">
        <v>499</v>
      </c>
      <c r="L45" s="3">
        <v>0.45300000000000001</v>
      </c>
      <c r="M45" s="3">
        <v>0.36199999999999999</v>
      </c>
      <c r="N45" s="3">
        <v>0.75700000000000001</v>
      </c>
      <c r="O45" s="3">
        <v>16.5</v>
      </c>
      <c r="P45" s="3">
        <v>6.7</v>
      </c>
      <c r="Q45" s="3">
        <v>3.1</v>
      </c>
      <c r="R45" s="3">
        <v>0.9</v>
      </c>
      <c r="S45" s="3">
        <v>16.8</v>
      </c>
      <c r="T45" s="3">
        <v>8.7999999999999995E-2</v>
      </c>
      <c r="U45" s="3">
        <v>-1.7</v>
      </c>
      <c r="V45" s="3">
        <v>0.6</v>
      </c>
    </row>
    <row r="46" spans="1:24">
      <c r="A46" s="1">
        <v>44</v>
      </c>
      <c r="B46" s="3">
        <v>44</v>
      </c>
      <c r="C46" s="3" t="s">
        <v>34</v>
      </c>
      <c r="D46" s="67" t="s">
        <v>1201</v>
      </c>
      <c r="E46" s="3" t="s">
        <v>71</v>
      </c>
      <c r="F46" s="3">
        <v>1</v>
      </c>
      <c r="G46" s="3">
        <v>41</v>
      </c>
      <c r="H46" s="3">
        <v>407</v>
      </c>
      <c r="I46" s="3">
        <v>119</v>
      </c>
      <c r="J46" s="3">
        <v>37</v>
      </c>
      <c r="K46" s="3">
        <v>26</v>
      </c>
      <c r="L46" s="3">
        <v>0.375</v>
      </c>
      <c r="M46" s="3">
        <v>0.28000000000000003</v>
      </c>
      <c r="N46" s="3">
        <v>0.72399999999999998</v>
      </c>
      <c r="O46" s="3">
        <v>9.9</v>
      </c>
      <c r="P46" s="3">
        <v>2.9</v>
      </c>
      <c r="Q46" s="3">
        <v>0.9</v>
      </c>
      <c r="R46" s="3">
        <v>0.6</v>
      </c>
      <c r="S46" s="3">
        <v>0.2</v>
      </c>
      <c r="T46" s="3">
        <v>2.1000000000000001E-2</v>
      </c>
      <c r="U46" s="3">
        <v>-4.2</v>
      </c>
      <c r="V46" s="3">
        <v>-0.2</v>
      </c>
    </row>
    <row r="47" spans="1:24">
      <c r="A47" s="1">
        <v>45</v>
      </c>
      <c r="B47" s="3">
        <v>45</v>
      </c>
      <c r="C47" s="3" t="s">
        <v>66</v>
      </c>
      <c r="D47" s="67" t="s">
        <v>1202</v>
      </c>
      <c r="E47" s="3" t="s">
        <v>145</v>
      </c>
      <c r="F47" s="3">
        <v>3</v>
      </c>
      <c r="G47" s="3">
        <v>113</v>
      </c>
      <c r="H47" s="3">
        <v>1961</v>
      </c>
      <c r="I47" s="3">
        <v>687</v>
      </c>
      <c r="J47" s="3">
        <v>403</v>
      </c>
      <c r="K47" s="3">
        <v>91</v>
      </c>
      <c r="L47" s="3">
        <v>0.46400000000000002</v>
      </c>
      <c r="M47" s="3">
        <v>0.309</v>
      </c>
      <c r="N47" s="3">
        <v>0.79800000000000004</v>
      </c>
      <c r="O47" s="3">
        <v>17.399999999999999</v>
      </c>
      <c r="P47" s="3">
        <v>6.1</v>
      </c>
      <c r="Q47" s="3">
        <v>3.6</v>
      </c>
      <c r="R47" s="3">
        <v>0.8</v>
      </c>
      <c r="S47" s="3">
        <v>3.7</v>
      </c>
      <c r="T47" s="3">
        <v>9.0999999999999998E-2</v>
      </c>
      <c r="U47" s="3">
        <v>-0.9</v>
      </c>
      <c r="V47" s="3">
        <v>0.5</v>
      </c>
    </row>
    <row r="48" spans="1:24">
      <c r="A48" s="1">
        <v>46</v>
      </c>
      <c r="B48" s="3">
        <v>46</v>
      </c>
      <c r="C48" s="3" t="s">
        <v>1098</v>
      </c>
      <c r="D48" s="88" t="s">
        <v>1203</v>
      </c>
      <c r="E48" s="3" t="s">
        <v>173</v>
      </c>
      <c r="F48" s="3">
        <v>6</v>
      </c>
      <c r="G48" s="3">
        <v>271</v>
      </c>
      <c r="H48" s="3">
        <v>5358</v>
      </c>
      <c r="I48" s="3">
        <v>1597</v>
      </c>
      <c r="J48" s="3">
        <v>447</v>
      </c>
      <c r="K48" s="3">
        <v>367</v>
      </c>
      <c r="L48" s="3">
        <v>0.41899999999999998</v>
      </c>
      <c r="M48" s="3">
        <v>0.38300000000000001</v>
      </c>
      <c r="N48" s="3">
        <v>0.84</v>
      </c>
      <c r="O48" s="3">
        <v>19.8</v>
      </c>
      <c r="P48" s="3">
        <v>5.9</v>
      </c>
      <c r="Q48" s="3">
        <v>1.6</v>
      </c>
      <c r="R48" s="3">
        <v>1.4</v>
      </c>
      <c r="S48" s="3">
        <v>6.5</v>
      </c>
      <c r="T48" s="3">
        <v>5.8999999999999997E-2</v>
      </c>
      <c r="U48" s="3">
        <v>-2.2999999999999998</v>
      </c>
      <c r="V48" s="3">
        <v>-0.4</v>
      </c>
    </row>
    <row r="49" spans="1:37">
      <c r="A49" s="1">
        <v>47</v>
      </c>
      <c r="B49" s="3">
        <v>47</v>
      </c>
      <c r="C49" s="3" t="s">
        <v>193</v>
      </c>
      <c r="D49" s="67" t="s">
        <v>1204</v>
      </c>
      <c r="E49" s="3" t="s">
        <v>1205</v>
      </c>
      <c r="F49" s="3">
        <v>1</v>
      </c>
      <c r="G49" s="3">
        <v>17</v>
      </c>
      <c r="H49" s="3">
        <v>52</v>
      </c>
      <c r="I49" s="3">
        <v>15</v>
      </c>
      <c r="J49" s="3">
        <v>4</v>
      </c>
      <c r="K49" s="3">
        <v>2</v>
      </c>
      <c r="L49" s="3">
        <v>0.25</v>
      </c>
      <c r="M49" s="3">
        <v>0.2</v>
      </c>
      <c r="N49" s="2"/>
      <c r="O49" s="3">
        <v>3.1</v>
      </c>
      <c r="P49" s="3">
        <v>0.9</v>
      </c>
      <c r="Q49" s="3">
        <v>0.2</v>
      </c>
      <c r="R49" s="3">
        <v>0.1</v>
      </c>
      <c r="S49" s="3">
        <v>-0.3</v>
      </c>
      <c r="T49" s="3">
        <v>-0.27200000000000002</v>
      </c>
      <c r="U49" s="3">
        <v>-16.8</v>
      </c>
      <c r="V49" s="3">
        <v>-0.2</v>
      </c>
    </row>
    <row r="50" spans="1:37">
      <c r="A50" s="1">
        <v>48</v>
      </c>
      <c r="B50" s="3">
        <v>48</v>
      </c>
      <c r="C50" s="3" t="s">
        <v>50</v>
      </c>
      <c r="D50" s="67" t="s">
        <v>1206</v>
      </c>
      <c r="E50" s="2"/>
      <c r="F50" s="3">
        <v>2</v>
      </c>
      <c r="G50" s="3">
        <v>69</v>
      </c>
      <c r="H50" s="3">
        <v>1089</v>
      </c>
      <c r="I50" s="3">
        <v>249</v>
      </c>
      <c r="J50" s="3">
        <v>158</v>
      </c>
      <c r="K50" s="3">
        <v>101</v>
      </c>
      <c r="L50" s="3">
        <v>0.35399999999999998</v>
      </c>
      <c r="M50" s="3">
        <v>0.29699999999999999</v>
      </c>
      <c r="N50" s="3">
        <v>0.68799999999999994</v>
      </c>
      <c r="O50" s="3">
        <v>15.8</v>
      </c>
      <c r="P50" s="3">
        <v>3.6</v>
      </c>
      <c r="Q50" s="3">
        <v>2.2999999999999998</v>
      </c>
      <c r="R50" s="3">
        <v>1.5</v>
      </c>
      <c r="S50" s="3">
        <v>0.3</v>
      </c>
      <c r="T50" s="3">
        <v>1.4999999999999999E-2</v>
      </c>
      <c r="U50" s="3">
        <v>-2.7</v>
      </c>
      <c r="V50" s="3">
        <v>-0.2</v>
      </c>
    </row>
    <row r="51" spans="1:37">
      <c r="A51" s="1">
        <v>49</v>
      </c>
      <c r="B51" s="3">
        <v>49</v>
      </c>
      <c r="C51" s="3" t="s">
        <v>179</v>
      </c>
      <c r="D51" s="83" t="s">
        <v>210</v>
      </c>
      <c r="E51" s="3" t="s">
        <v>211</v>
      </c>
      <c r="F51" s="3">
        <v>8</v>
      </c>
      <c r="G51" s="3">
        <v>472</v>
      </c>
      <c r="H51" s="3">
        <v>6714</v>
      </c>
      <c r="I51" s="3">
        <v>2568</v>
      </c>
      <c r="J51" s="3">
        <v>2166</v>
      </c>
      <c r="K51" s="3">
        <v>643</v>
      </c>
      <c r="L51" s="3">
        <v>0.51700000000000002</v>
      </c>
      <c r="M51" s="3">
        <v>0.218</v>
      </c>
      <c r="N51" s="3">
        <v>0.74</v>
      </c>
      <c r="O51" s="3">
        <v>14.2</v>
      </c>
      <c r="P51" s="3">
        <v>5.4</v>
      </c>
      <c r="Q51" s="3">
        <v>4.5999999999999996</v>
      </c>
      <c r="R51" s="3">
        <v>1.4</v>
      </c>
      <c r="S51" s="3">
        <v>17.8</v>
      </c>
      <c r="T51" s="3">
        <v>0.128</v>
      </c>
      <c r="U51" s="3">
        <v>0.9</v>
      </c>
      <c r="V51" s="3">
        <v>5</v>
      </c>
    </row>
    <row r="52" spans="1:37">
      <c r="A52" s="1">
        <v>50</v>
      </c>
      <c r="B52" s="3">
        <v>50</v>
      </c>
      <c r="C52" s="3" t="s">
        <v>23</v>
      </c>
      <c r="D52" s="67" t="s">
        <v>1207</v>
      </c>
      <c r="E52" s="2"/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</row>
    <row r="53" spans="1:37">
      <c r="A53" s="1">
        <v>51</v>
      </c>
      <c r="B53" s="3">
        <v>51</v>
      </c>
      <c r="C53" s="3" t="s">
        <v>190</v>
      </c>
      <c r="D53" s="67" t="s">
        <v>1208</v>
      </c>
      <c r="E53" s="3" t="s">
        <v>68</v>
      </c>
      <c r="F53" s="3">
        <v>1</v>
      </c>
      <c r="G53" s="3">
        <v>10</v>
      </c>
      <c r="H53" s="3">
        <v>54</v>
      </c>
      <c r="I53" s="3">
        <v>9</v>
      </c>
      <c r="J53" s="3">
        <v>7</v>
      </c>
      <c r="K53" s="3">
        <v>1</v>
      </c>
      <c r="L53" s="3">
        <v>0.14299999999999999</v>
      </c>
      <c r="M53" s="3">
        <v>0</v>
      </c>
      <c r="N53" s="3">
        <v>0.625</v>
      </c>
      <c r="O53" s="3">
        <v>5.4</v>
      </c>
      <c r="P53" s="3">
        <v>0.9</v>
      </c>
      <c r="Q53" s="3">
        <v>0.7</v>
      </c>
      <c r="R53" s="3">
        <v>0.1</v>
      </c>
      <c r="S53" s="3">
        <v>-0.1</v>
      </c>
      <c r="T53" s="3">
        <v>-0.127</v>
      </c>
      <c r="U53" s="3">
        <v>-9.9</v>
      </c>
      <c r="V53" s="3">
        <v>-0.1</v>
      </c>
    </row>
    <row r="54" spans="1:37">
      <c r="A54" s="1">
        <v>52</v>
      </c>
      <c r="B54" s="3">
        <v>52</v>
      </c>
      <c r="C54" s="3" t="s">
        <v>25</v>
      </c>
      <c r="D54" s="67" t="s">
        <v>1209</v>
      </c>
      <c r="E54" s="2"/>
      <c r="F54" s="3">
        <v>2</v>
      </c>
      <c r="G54" s="3">
        <v>37</v>
      </c>
      <c r="H54" s="3">
        <v>164</v>
      </c>
      <c r="I54" s="3">
        <v>35</v>
      </c>
      <c r="J54" s="3">
        <v>38</v>
      </c>
      <c r="K54" s="3">
        <v>8</v>
      </c>
      <c r="L54" s="3">
        <v>0.52</v>
      </c>
      <c r="M54" s="2"/>
      <c r="N54" s="3">
        <v>0.6</v>
      </c>
      <c r="O54" s="3">
        <v>4.4000000000000004</v>
      </c>
      <c r="P54" s="3">
        <v>0.9</v>
      </c>
      <c r="Q54" s="3">
        <v>1</v>
      </c>
      <c r="R54" s="3">
        <v>0.2</v>
      </c>
      <c r="S54" s="3">
        <v>0.2</v>
      </c>
      <c r="T54" s="3">
        <v>6.0999999999999999E-2</v>
      </c>
      <c r="U54" s="3">
        <v>-5.6</v>
      </c>
      <c r="V54" s="3">
        <v>-0.2</v>
      </c>
    </row>
    <row r="55" spans="1:37">
      <c r="A55" s="1">
        <v>53</v>
      </c>
      <c r="B55" s="3">
        <v>53</v>
      </c>
      <c r="C55" s="3" t="s">
        <v>28</v>
      </c>
      <c r="D55" s="67" t="s">
        <v>1210</v>
      </c>
      <c r="E55" s="2"/>
      <c r="F55" s="3">
        <v>1</v>
      </c>
      <c r="G55" s="3">
        <v>41</v>
      </c>
      <c r="H55" s="3">
        <v>540</v>
      </c>
      <c r="I55" s="3">
        <v>93</v>
      </c>
      <c r="J55" s="3">
        <v>176</v>
      </c>
      <c r="K55" s="3">
        <v>28</v>
      </c>
      <c r="L55" s="3">
        <v>0.51300000000000001</v>
      </c>
      <c r="M55" s="3">
        <v>0</v>
      </c>
      <c r="N55" s="3">
        <v>0.48099999999999998</v>
      </c>
      <c r="O55" s="3">
        <v>13.2</v>
      </c>
      <c r="P55" s="3">
        <v>2.2999999999999998</v>
      </c>
      <c r="Q55" s="3">
        <v>4.3</v>
      </c>
      <c r="R55" s="3">
        <v>0.7</v>
      </c>
      <c r="S55" s="3">
        <v>1.4</v>
      </c>
      <c r="T55" s="3">
        <v>0.122</v>
      </c>
      <c r="U55" s="3">
        <v>-3.6</v>
      </c>
      <c r="V55" s="3">
        <v>-0.2</v>
      </c>
    </row>
    <row r="56" spans="1:37">
      <c r="A56" s="1">
        <v>54</v>
      </c>
      <c r="B56" s="3">
        <v>54</v>
      </c>
      <c r="C56" s="3" t="s">
        <v>66</v>
      </c>
      <c r="D56" s="67" t="s">
        <v>1211</v>
      </c>
      <c r="E56" s="2"/>
      <c r="F56" s="3">
        <v>2</v>
      </c>
      <c r="G56" s="3">
        <v>45</v>
      </c>
      <c r="H56" s="3">
        <v>247</v>
      </c>
      <c r="I56" s="3">
        <v>59</v>
      </c>
      <c r="J56" s="3">
        <v>39</v>
      </c>
      <c r="K56" s="3">
        <v>17</v>
      </c>
      <c r="L56" s="3">
        <v>0.45100000000000001</v>
      </c>
      <c r="M56" s="3">
        <v>0.125</v>
      </c>
      <c r="N56" s="3">
        <v>0.5</v>
      </c>
      <c r="O56" s="3">
        <v>5.5</v>
      </c>
      <c r="P56" s="3">
        <v>1.3</v>
      </c>
      <c r="Q56" s="3">
        <v>0.9</v>
      </c>
      <c r="R56" s="3">
        <v>0.4</v>
      </c>
      <c r="S56" s="3">
        <v>-0.2</v>
      </c>
      <c r="T56" s="3">
        <v>-3.2000000000000001E-2</v>
      </c>
      <c r="U56" s="3">
        <v>-7</v>
      </c>
      <c r="V56" s="3">
        <v>-0.3</v>
      </c>
    </row>
    <row r="57" spans="1:37">
      <c r="A57" s="1">
        <v>55</v>
      </c>
      <c r="B57" s="3">
        <v>55</v>
      </c>
      <c r="C57" s="3" t="s">
        <v>20</v>
      </c>
      <c r="D57" s="67" t="s">
        <v>1212</v>
      </c>
      <c r="E57" s="3" t="s">
        <v>123</v>
      </c>
      <c r="F57" s="3">
        <v>2</v>
      </c>
      <c r="G57" s="3">
        <v>7</v>
      </c>
      <c r="H57" s="3">
        <v>21</v>
      </c>
      <c r="I57" s="3">
        <v>0</v>
      </c>
      <c r="J57" s="3">
        <v>6</v>
      </c>
      <c r="K57" s="3">
        <v>2</v>
      </c>
      <c r="L57" s="3">
        <v>0</v>
      </c>
      <c r="M57" s="3">
        <v>0</v>
      </c>
      <c r="N57" s="3">
        <v>0</v>
      </c>
      <c r="O57" s="3">
        <v>3</v>
      </c>
      <c r="P57" s="3">
        <v>0</v>
      </c>
      <c r="Q57" s="3">
        <v>0.9</v>
      </c>
      <c r="R57" s="3">
        <v>0.3</v>
      </c>
      <c r="S57" s="3">
        <v>-0.3</v>
      </c>
      <c r="T57" s="3">
        <v>-0.59699999999999998</v>
      </c>
      <c r="U57" s="3">
        <v>-25.5</v>
      </c>
      <c r="V57" s="3">
        <v>-0.1</v>
      </c>
    </row>
    <row r="58" spans="1:37">
      <c r="A58" s="1">
        <v>56</v>
      </c>
      <c r="B58" s="3">
        <v>56</v>
      </c>
      <c r="C58" s="3" t="s">
        <v>163</v>
      </c>
      <c r="D58" s="67" t="s">
        <v>1213</v>
      </c>
      <c r="E58" s="2"/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</row>
    <row r="59" spans="1:37">
      <c r="A59" s="1">
        <v>57</v>
      </c>
      <c r="B59" s="3">
        <v>57</v>
      </c>
      <c r="C59" s="3" t="s">
        <v>1214</v>
      </c>
      <c r="D59" s="67" t="s">
        <v>1215</v>
      </c>
      <c r="E59" s="2"/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</row>
    <row r="60" spans="1:37">
      <c r="A60" s="1">
        <v>58</v>
      </c>
      <c r="B60" s="3">
        <v>58</v>
      </c>
      <c r="C60" s="3" t="s">
        <v>135</v>
      </c>
      <c r="D60" s="67" t="s">
        <v>1216</v>
      </c>
      <c r="E60" s="3" t="s">
        <v>143</v>
      </c>
      <c r="F60" s="3">
        <v>2</v>
      </c>
      <c r="G60" s="3">
        <v>98</v>
      </c>
      <c r="H60" s="3">
        <v>1397</v>
      </c>
      <c r="I60" s="3">
        <v>379</v>
      </c>
      <c r="J60" s="3">
        <v>266</v>
      </c>
      <c r="K60" s="3">
        <v>50</v>
      </c>
      <c r="L60" s="3">
        <v>0.41799999999999998</v>
      </c>
      <c r="M60" s="3">
        <v>0.34300000000000003</v>
      </c>
      <c r="N60" s="3">
        <v>0.86699999999999999</v>
      </c>
      <c r="O60" s="3">
        <v>14.3</v>
      </c>
      <c r="P60" s="3">
        <v>3.9</v>
      </c>
      <c r="Q60" s="3">
        <v>2.7</v>
      </c>
      <c r="R60" s="3">
        <v>0.5</v>
      </c>
      <c r="S60" s="3">
        <v>1.9</v>
      </c>
      <c r="T60" s="3">
        <v>6.6000000000000003E-2</v>
      </c>
      <c r="U60" s="3">
        <v>-3.1</v>
      </c>
      <c r="V60" s="3">
        <v>-0.4</v>
      </c>
    </row>
    <row r="61" spans="1:37">
      <c r="A61" s="1">
        <v>59</v>
      </c>
      <c r="B61" s="3">
        <v>59</v>
      </c>
      <c r="C61" s="3" t="s">
        <v>79</v>
      </c>
      <c r="D61" s="67" t="s">
        <v>1217</v>
      </c>
      <c r="E61" s="3" t="s">
        <v>71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</row>
    <row r="62" spans="1:37">
      <c r="A62" s="1">
        <v>60</v>
      </c>
      <c r="B62" s="3">
        <v>60</v>
      </c>
      <c r="C62" s="3" t="s">
        <v>31</v>
      </c>
      <c r="D62" s="88" t="s">
        <v>1218</v>
      </c>
      <c r="E62" s="3" t="s">
        <v>43</v>
      </c>
      <c r="F62" s="3">
        <v>4</v>
      </c>
      <c r="G62" s="3">
        <v>189</v>
      </c>
      <c r="H62" s="3">
        <v>2745</v>
      </c>
      <c r="I62" s="3">
        <v>787</v>
      </c>
      <c r="J62" s="3">
        <v>593</v>
      </c>
      <c r="K62" s="3">
        <v>126</v>
      </c>
      <c r="L62" s="3">
        <v>0.436</v>
      </c>
      <c r="M62" s="3">
        <v>0</v>
      </c>
      <c r="N62" s="3">
        <v>0.67100000000000004</v>
      </c>
      <c r="O62" s="3">
        <v>14.5</v>
      </c>
      <c r="P62" s="3">
        <v>4.2</v>
      </c>
      <c r="Q62" s="3">
        <v>3.1</v>
      </c>
      <c r="R62" s="3">
        <v>0.7</v>
      </c>
      <c r="S62" s="3">
        <v>2.4</v>
      </c>
      <c r="T62" s="3">
        <v>4.2000000000000003E-2</v>
      </c>
      <c r="U62" s="3">
        <v>-4</v>
      </c>
      <c r="V62" s="3">
        <v>-1.4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1219</v>
      </c>
      <c r="E65" s="3" t="s">
        <v>506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1220</v>
      </c>
      <c r="E66" s="3" t="s">
        <v>722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1221</v>
      </c>
      <c r="E67" s="3" t="s">
        <v>570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1222</v>
      </c>
      <c r="E68" s="3" t="s">
        <v>506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1223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 t="s">
        <v>1224</v>
      </c>
      <c r="E70" s="3" t="s"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>
      <c r="D71" s="3" t="s">
        <v>1225</v>
      </c>
      <c r="E71" s="3" t="s">
        <v>506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1226</v>
      </c>
      <c r="E72" s="3" t="s">
        <v>570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4:37">
      <c r="D73" s="3" t="s">
        <v>1227</v>
      </c>
      <c r="E73" s="3" t="s">
        <v>1080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4:37">
      <c r="D74" s="3" t="s">
        <v>1228</v>
      </c>
      <c r="E74" s="3" t="s">
        <v>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4:37">
      <c r="D75" s="3" t="s">
        <v>1229</v>
      </c>
      <c r="E75" s="3" t="s">
        <v>506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4:37">
      <c r="D76" s="3" t="s">
        <v>1230</v>
      </c>
      <c r="E76" s="3" t="s">
        <v>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</sheetData>
  <conditionalFormatting sqref="G1:G62">
    <cfRule type="cellIs" dxfId="12" priority="1" operator="greaterThan">
      <formula>82</formula>
    </cfRule>
    <cfRule type="cellIs" dxfId="11" priority="2" operator="greaterThan">
      <formula>82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8BF0-D9DF-A04C-8D7C-75445DD07946}">
  <dimension ref="A1:AK70"/>
  <sheetViews>
    <sheetView zoomScale="163" workbookViewId="0">
      <pane ySplit="1" topLeftCell="A42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9.5" bestFit="1" customWidth="1"/>
    <col min="5" max="5" width="18.5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5.37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76</v>
      </c>
      <c r="D2" s="3" t="s">
        <v>1231</v>
      </c>
      <c r="E2" s="3" t="s">
        <v>171</v>
      </c>
      <c r="F2" s="3">
        <v>14</v>
      </c>
      <c r="G2" s="3">
        <v>772</v>
      </c>
      <c r="H2" s="3">
        <v>26644</v>
      </c>
      <c r="I2" s="3">
        <v>18241</v>
      </c>
      <c r="J2" s="3">
        <v>3137</v>
      </c>
      <c r="K2" s="3">
        <v>4343</v>
      </c>
      <c r="L2" s="3">
        <v>0.47399999999999998</v>
      </c>
      <c r="M2" s="3">
        <v>0.39400000000000002</v>
      </c>
      <c r="N2" s="3">
        <v>0.88700000000000001</v>
      </c>
      <c r="O2" s="3">
        <v>34.5</v>
      </c>
      <c r="P2" s="3">
        <v>23.6</v>
      </c>
      <c r="Q2" s="3">
        <v>4.0999999999999996</v>
      </c>
      <c r="R2" s="3">
        <v>5.6</v>
      </c>
      <c r="S2" s="3">
        <v>90.7</v>
      </c>
      <c r="T2" s="3">
        <v>0.16300000000000001</v>
      </c>
      <c r="U2" s="3">
        <v>4.4000000000000004</v>
      </c>
      <c r="V2" s="3">
        <v>43.2</v>
      </c>
    </row>
    <row r="3" spans="1:22" hidden="1">
      <c r="A3" s="1">
        <v>2</v>
      </c>
      <c r="B3" s="3">
        <v>2</v>
      </c>
      <c r="C3" s="3" t="s">
        <v>135</v>
      </c>
      <c r="D3" s="3" t="s">
        <v>1232</v>
      </c>
      <c r="E3" s="3" t="s">
        <v>224</v>
      </c>
      <c r="F3" s="3">
        <v>7</v>
      </c>
      <c r="G3" s="3">
        <v>428</v>
      </c>
      <c r="H3" s="3">
        <v>8864</v>
      </c>
      <c r="I3" s="3">
        <v>3809</v>
      </c>
      <c r="J3" s="3">
        <v>1693</v>
      </c>
      <c r="K3" s="3">
        <v>293</v>
      </c>
      <c r="L3" s="3">
        <v>0.434</v>
      </c>
      <c r="M3" s="3">
        <v>0.3</v>
      </c>
      <c r="N3" s="3">
        <v>0.71</v>
      </c>
      <c r="O3" s="3">
        <v>20.7</v>
      </c>
      <c r="P3" s="3">
        <v>8.9</v>
      </c>
      <c r="Q3" s="3">
        <v>4</v>
      </c>
      <c r="R3" s="3">
        <v>0.7</v>
      </c>
      <c r="S3" s="3">
        <v>14.1</v>
      </c>
      <c r="T3" s="3">
        <v>7.5999999999999998E-2</v>
      </c>
      <c r="U3" s="3">
        <v>-1.6</v>
      </c>
      <c r="V3" s="3">
        <v>0.8</v>
      </c>
    </row>
    <row r="4" spans="1:22" hidden="1">
      <c r="A4" s="1">
        <v>3</v>
      </c>
      <c r="B4" s="3">
        <v>3</v>
      </c>
      <c r="C4" s="3" t="s">
        <v>193</v>
      </c>
      <c r="D4" s="3" t="s">
        <v>1233</v>
      </c>
      <c r="E4" s="2"/>
      <c r="F4" s="3">
        <v>11</v>
      </c>
      <c r="G4" s="3">
        <v>748</v>
      </c>
      <c r="H4" s="3">
        <v>16101</v>
      </c>
      <c r="I4" s="3">
        <v>8349</v>
      </c>
      <c r="J4" s="3">
        <v>5822</v>
      </c>
      <c r="K4" s="3">
        <v>638</v>
      </c>
      <c r="L4" s="3">
        <v>0.54800000000000004</v>
      </c>
      <c r="M4" s="3">
        <v>0.28899999999999998</v>
      </c>
      <c r="N4" s="3">
        <v>0.77700000000000002</v>
      </c>
      <c r="O4" s="3">
        <v>21.5</v>
      </c>
      <c r="P4" s="3">
        <v>11.2</v>
      </c>
      <c r="Q4" s="3">
        <v>7.8</v>
      </c>
      <c r="R4" s="3">
        <v>0.9</v>
      </c>
      <c r="S4" s="3">
        <v>52.8</v>
      </c>
      <c r="T4" s="3">
        <v>0.157</v>
      </c>
      <c r="U4" s="3">
        <v>-0.1</v>
      </c>
      <c r="V4" s="3">
        <v>7.6</v>
      </c>
    </row>
    <row r="5" spans="1:22" hidden="1">
      <c r="A5" s="1">
        <v>4</v>
      </c>
      <c r="B5" s="3">
        <v>4</v>
      </c>
      <c r="C5" s="3" t="s">
        <v>76</v>
      </c>
      <c r="D5" s="3" t="s">
        <v>1234</v>
      </c>
      <c r="E5" s="3" t="s">
        <v>530</v>
      </c>
      <c r="F5" s="3">
        <v>13</v>
      </c>
      <c r="G5" s="3">
        <v>806</v>
      </c>
      <c r="H5" s="3">
        <v>20318</v>
      </c>
      <c r="I5" s="3">
        <v>6796</v>
      </c>
      <c r="J5" s="3">
        <v>6376</v>
      </c>
      <c r="K5" s="3">
        <v>795</v>
      </c>
      <c r="L5" s="3">
        <v>0.52</v>
      </c>
      <c r="M5" s="3">
        <v>0.23799999999999999</v>
      </c>
      <c r="N5" s="3">
        <v>0.59299999999999997</v>
      </c>
      <c r="O5" s="3">
        <v>25.2</v>
      </c>
      <c r="P5" s="3">
        <v>8.4</v>
      </c>
      <c r="Q5" s="3">
        <v>7.9</v>
      </c>
      <c r="R5" s="3">
        <v>1</v>
      </c>
      <c r="S5" s="3">
        <v>49.2</v>
      </c>
      <c r="T5" s="3">
        <v>0.11600000000000001</v>
      </c>
      <c r="U5" s="3">
        <v>-1.7</v>
      </c>
      <c r="V5" s="3">
        <v>1.4</v>
      </c>
    </row>
    <row r="6" spans="1:22" hidden="1">
      <c r="A6" s="1">
        <v>5</v>
      </c>
      <c r="B6" s="3">
        <v>5</v>
      </c>
      <c r="C6" s="3" t="s">
        <v>163</v>
      </c>
      <c r="D6" s="3" t="s">
        <v>1235</v>
      </c>
      <c r="E6" s="2"/>
      <c r="F6" s="3">
        <v>13</v>
      </c>
      <c r="G6" s="3">
        <v>908</v>
      </c>
      <c r="H6" s="3">
        <v>23066</v>
      </c>
      <c r="I6" s="3">
        <v>12025</v>
      </c>
      <c r="J6" s="3">
        <v>8518</v>
      </c>
      <c r="K6" s="3">
        <v>1249</v>
      </c>
      <c r="L6" s="3">
        <v>0.56000000000000005</v>
      </c>
      <c r="M6" s="3">
        <v>0.34399999999999997</v>
      </c>
      <c r="N6" s="3">
        <v>0.79300000000000004</v>
      </c>
      <c r="O6" s="3">
        <v>25.4</v>
      </c>
      <c r="P6" s="3">
        <v>13.2</v>
      </c>
      <c r="Q6" s="3">
        <v>9.4</v>
      </c>
      <c r="R6" s="3">
        <v>1.4</v>
      </c>
      <c r="S6" s="3">
        <v>82.6</v>
      </c>
      <c r="T6" s="3">
        <v>0.17199999999999999</v>
      </c>
      <c r="U6" s="3">
        <v>1</v>
      </c>
      <c r="V6" s="3">
        <v>17.2</v>
      </c>
    </row>
    <row r="7" spans="1:22" hidden="1">
      <c r="A7" s="1">
        <v>6</v>
      </c>
      <c r="B7" s="3">
        <v>6</v>
      </c>
      <c r="C7" s="3" t="s">
        <v>69</v>
      </c>
      <c r="D7" s="3" t="s">
        <v>1236</v>
      </c>
      <c r="E7" s="2"/>
      <c r="F7" s="3">
        <v>3</v>
      </c>
      <c r="G7" s="3">
        <v>162</v>
      </c>
      <c r="H7" s="3">
        <v>2455</v>
      </c>
      <c r="I7" s="3">
        <v>590</v>
      </c>
      <c r="J7" s="3">
        <v>562</v>
      </c>
      <c r="K7" s="3">
        <v>96</v>
      </c>
      <c r="L7" s="3">
        <v>0.52100000000000002</v>
      </c>
      <c r="M7" s="3">
        <v>0</v>
      </c>
      <c r="N7" s="3">
        <v>0.40799999999999997</v>
      </c>
      <c r="O7" s="3">
        <v>15.2</v>
      </c>
      <c r="P7" s="3">
        <v>3.6</v>
      </c>
      <c r="Q7" s="3">
        <v>3.5</v>
      </c>
      <c r="R7" s="3">
        <v>0.6</v>
      </c>
      <c r="S7" s="3">
        <v>4</v>
      </c>
      <c r="T7" s="3">
        <v>7.8E-2</v>
      </c>
      <c r="U7" s="3">
        <v>-2.6</v>
      </c>
      <c r="V7" s="3">
        <v>-0.4</v>
      </c>
    </row>
    <row r="8" spans="1:22" hidden="1">
      <c r="A8" s="1">
        <v>7</v>
      </c>
      <c r="B8" s="3">
        <v>7</v>
      </c>
      <c r="C8" s="3" t="s">
        <v>36</v>
      </c>
      <c r="D8" s="3" t="s">
        <v>1237</v>
      </c>
      <c r="E8" s="2"/>
      <c r="F8" s="3">
        <v>13</v>
      </c>
      <c r="G8" s="3">
        <v>839</v>
      </c>
      <c r="H8" s="3">
        <v>16384</v>
      </c>
      <c r="I8" s="3">
        <v>4251</v>
      </c>
      <c r="J8" s="3">
        <v>4951</v>
      </c>
      <c r="K8" s="3">
        <v>551</v>
      </c>
      <c r="L8" s="3">
        <v>0.53500000000000003</v>
      </c>
      <c r="M8" s="3">
        <v>0</v>
      </c>
      <c r="N8" s="3">
        <v>0.55300000000000005</v>
      </c>
      <c r="O8" s="3">
        <v>19.5</v>
      </c>
      <c r="P8" s="3">
        <v>5.0999999999999996</v>
      </c>
      <c r="Q8" s="3">
        <v>5.9</v>
      </c>
      <c r="R8" s="3">
        <v>0.7</v>
      </c>
      <c r="S8" s="3">
        <v>32.4</v>
      </c>
      <c r="T8" s="3">
        <v>9.5000000000000001E-2</v>
      </c>
      <c r="U8" s="3">
        <v>-2.5</v>
      </c>
      <c r="V8" s="3">
        <v>-2.2000000000000002</v>
      </c>
    </row>
    <row r="9" spans="1:22" hidden="1">
      <c r="A9" s="1">
        <v>8</v>
      </c>
      <c r="B9" s="3">
        <v>8</v>
      </c>
      <c r="C9" s="3" t="s">
        <v>34</v>
      </c>
      <c r="D9" s="3" t="s">
        <v>1238</v>
      </c>
      <c r="E9" s="3" t="s">
        <v>173</v>
      </c>
      <c r="F9" s="3">
        <v>9</v>
      </c>
      <c r="G9" s="3">
        <v>451</v>
      </c>
      <c r="H9" s="3">
        <v>13202</v>
      </c>
      <c r="I9" s="3">
        <v>6301</v>
      </c>
      <c r="J9" s="3">
        <v>1385</v>
      </c>
      <c r="K9" s="3">
        <v>1777</v>
      </c>
      <c r="L9" s="3">
        <v>0.41099999999999998</v>
      </c>
      <c r="M9" s="3">
        <v>0.35199999999999998</v>
      </c>
      <c r="N9" s="3">
        <v>0.80700000000000005</v>
      </c>
      <c r="O9" s="3">
        <v>29.3</v>
      </c>
      <c r="P9" s="3">
        <v>14</v>
      </c>
      <c r="Q9" s="3">
        <v>3.1</v>
      </c>
      <c r="R9" s="3">
        <v>3.9</v>
      </c>
      <c r="S9" s="3">
        <v>11.6</v>
      </c>
      <c r="T9" s="3">
        <v>4.2000000000000003E-2</v>
      </c>
      <c r="U9" s="3">
        <v>-1.6</v>
      </c>
      <c r="V9" s="3">
        <v>1.4</v>
      </c>
    </row>
    <row r="10" spans="1:22" hidden="1">
      <c r="A10" s="1">
        <v>9</v>
      </c>
      <c r="B10" s="3">
        <v>9</v>
      </c>
      <c r="C10" s="3" t="s">
        <v>1095</v>
      </c>
      <c r="D10" s="3" t="s">
        <v>1239</v>
      </c>
      <c r="E10" s="3" t="s">
        <v>300</v>
      </c>
      <c r="F10" s="3">
        <v>12</v>
      </c>
      <c r="G10" s="3">
        <v>750</v>
      </c>
      <c r="H10" s="3">
        <v>24810</v>
      </c>
      <c r="I10" s="3">
        <v>14486</v>
      </c>
      <c r="J10" s="3">
        <v>2831</v>
      </c>
      <c r="K10" s="3">
        <v>3938</v>
      </c>
      <c r="L10" s="3">
        <v>0.41799999999999998</v>
      </c>
      <c r="M10" s="3">
        <v>0.36</v>
      </c>
      <c r="N10" s="3">
        <v>0.84</v>
      </c>
      <c r="O10" s="3">
        <v>33.1</v>
      </c>
      <c r="P10" s="3">
        <v>19.3</v>
      </c>
      <c r="Q10" s="3">
        <v>3.8</v>
      </c>
      <c r="R10" s="3">
        <v>5.3</v>
      </c>
      <c r="S10" s="3">
        <v>59.8</v>
      </c>
      <c r="T10" s="3">
        <v>0.11600000000000001</v>
      </c>
      <c r="U10" s="3">
        <v>2.8</v>
      </c>
      <c r="V10" s="3">
        <v>29.8</v>
      </c>
    </row>
    <row r="11" spans="1:22" hidden="1">
      <c r="A11" s="1">
        <v>10</v>
      </c>
      <c r="B11" s="3">
        <v>10</v>
      </c>
      <c r="C11" s="3" t="s">
        <v>57</v>
      </c>
      <c r="D11" s="3" t="s">
        <v>1240</v>
      </c>
      <c r="E11" s="3" t="s">
        <v>1241</v>
      </c>
      <c r="F11" s="3">
        <v>6</v>
      </c>
      <c r="G11" s="3">
        <v>241</v>
      </c>
      <c r="H11" s="3">
        <v>3213</v>
      </c>
      <c r="I11" s="3">
        <v>1438</v>
      </c>
      <c r="J11" s="3">
        <v>243</v>
      </c>
      <c r="K11" s="3">
        <v>331</v>
      </c>
      <c r="L11" s="3">
        <v>0.40899999999999997</v>
      </c>
      <c r="M11" s="3">
        <v>0.372</v>
      </c>
      <c r="N11" s="3">
        <v>0.879</v>
      </c>
      <c r="O11" s="3">
        <v>13.3</v>
      </c>
      <c r="P11" s="3">
        <v>6</v>
      </c>
      <c r="Q11" s="3">
        <v>1</v>
      </c>
      <c r="R11" s="3">
        <v>1.4</v>
      </c>
      <c r="S11" s="3">
        <v>2.2000000000000002</v>
      </c>
      <c r="T11" s="3">
        <v>3.3000000000000002E-2</v>
      </c>
      <c r="U11" s="3">
        <v>-2.5</v>
      </c>
      <c r="V11" s="3">
        <v>-0.4</v>
      </c>
    </row>
    <row r="12" spans="1:22" hidden="1">
      <c r="A12" s="1">
        <v>11</v>
      </c>
      <c r="B12" s="3">
        <v>11</v>
      </c>
      <c r="C12" s="3" t="s">
        <v>25</v>
      </c>
      <c r="D12" s="3" t="s">
        <v>1242</v>
      </c>
      <c r="E12" s="3" t="s">
        <v>347</v>
      </c>
      <c r="F12" s="3">
        <v>12</v>
      </c>
      <c r="G12" s="3">
        <v>840</v>
      </c>
      <c r="H12" s="3">
        <v>27120</v>
      </c>
      <c r="I12" s="3">
        <v>16179</v>
      </c>
      <c r="J12" s="3">
        <v>2956</v>
      </c>
      <c r="K12" s="3">
        <v>1937</v>
      </c>
      <c r="L12" s="3">
        <v>0.45200000000000001</v>
      </c>
      <c r="M12" s="3">
        <v>0.41199999999999998</v>
      </c>
      <c r="N12" s="3">
        <v>0.85899999999999999</v>
      </c>
      <c r="O12" s="3">
        <v>32.299999999999997</v>
      </c>
      <c r="P12" s="3">
        <v>19.3</v>
      </c>
      <c r="Q12" s="3">
        <v>3.5</v>
      </c>
      <c r="R12" s="3">
        <v>2.2999999999999998</v>
      </c>
      <c r="S12" s="3">
        <v>56.8</v>
      </c>
      <c r="T12" s="3">
        <v>0.10100000000000001</v>
      </c>
      <c r="U12" s="3">
        <v>0.5</v>
      </c>
      <c r="V12" s="3">
        <v>17.399999999999999</v>
      </c>
    </row>
    <row r="13" spans="1:22" hidden="1">
      <c r="A13" s="1">
        <v>12</v>
      </c>
      <c r="B13" s="3">
        <v>12</v>
      </c>
      <c r="C13" s="3" t="s">
        <v>193</v>
      </c>
      <c r="D13" s="3" t="s">
        <v>1243</v>
      </c>
      <c r="E13" s="3" t="s">
        <v>65</v>
      </c>
      <c r="F13" s="3">
        <v>14</v>
      </c>
      <c r="G13" s="3">
        <v>769</v>
      </c>
      <c r="H13" s="3">
        <v>17159</v>
      </c>
      <c r="I13" s="3">
        <v>8152</v>
      </c>
      <c r="J13" s="3">
        <v>2579</v>
      </c>
      <c r="K13" s="3">
        <v>1494</v>
      </c>
      <c r="L13" s="3">
        <v>0.41499999999999998</v>
      </c>
      <c r="M13" s="3">
        <v>0.38500000000000001</v>
      </c>
      <c r="N13" s="3">
        <v>0.80600000000000005</v>
      </c>
      <c r="O13" s="3">
        <v>22.3</v>
      </c>
      <c r="P13" s="3">
        <v>10.6</v>
      </c>
      <c r="Q13" s="3">
        <v>3.4</v>
      </c>
      <c r="R13" s="3">
        <v>1.9</v>
      </c>
      <c r="S13" s="3">
        <v>31.1</v>
      </c>
      <c r="T13" s="3">
        <v>8.6999999999999994E-2</v>
      </c>
      <c r="U13" s="3">
        <v>-0.5</v>
      </c>
      <c r="V13" s="3">
        <v>6.4</v>
      </c>
    </row>
    <row r="14" spans="1:22" hidden="1">
      <c r="A14" s="1">
        <v>13</v>
      </c>
      <c r="B14" s="3">
        <v>13</v>
      </c>
      <c r="C14" s="3" t="s">
        <v>323</v>
      </c>
      <c r="D14" s="3" t="s">
        <v>1244</v>
      </c>
      <c r="E14" s="3" t="s">
        <v>138</v>
      </c>
      <c r="F14" s="3">
        <v>14</v>
      </c>
      <c r="G14" s="3">
        <v>785</v>
      </c>
      <c r="H14" s="3">
        <v>18348</v>
      </c>
      <c r="I14" s="3">
        <v>8038</v>
      </c>
      <c r="J14" s="3">
        <v>3833</v>
      </c>
      <c r="K14" s="3">
        <v>1206</v>
      </c>
      <c r="L14" s="3">
        <v>0.44400000000000001</v>
      </c>
      <c r="M14" s="3">
        <v>0.34200000000000003</v>
      </c>
      <c r="N14" s="3">
        <v>0.77800000000000002</v>
      </c>
      <c r="O14" s="3">
        <v>23.4</v>
      </c>
      <c r="P14" s="3">
        <v>10.199999999999999</v>
      </c>
      <c r="Q14" s="3">
        <v>4.9000000000000004</v>
      </c>
      <c r="R14" s="3">
        <v>1.5</v>
      </c>
      <c r="S14" s="3">
        <v>27.3</v>
      </c>
      <c r="T14" s="3">
        <v>7.0999999999999994E-2</v>
      </c>
      <c r="U14" s="3">
        <v>-1.5</v>
      </c>
      <c r="V14" s="3">
        <v>2.4</v>
      </c>
    </row>
    <row r="15" spans="1:22" hidden="1">
      <c r="A15" s="1">
        <v>14</v>
      </c>
      <c r="B15" s="3">
        <v>14</v>
      </c>
      <c r="C15" s="3" t="s">
        <v>52</v>
      </c>
      <c r="D15" s="3" t="s">
        <v>1245</v>
      </c>
      <c r="E15" s="3" t="s">
        <v>138</v>
      </c>
      <c r="F15" s="3">
        <v>13</v>
      </c>
      <c r="G15" s="3">
        <v>832</v>
      </c>
      <c r="H15" s="3">
        <v>22093</v>
      </c>
      <c r="I15" s="3">
        <v>9965</v>
      </c>
      <c r="J15" s="3">
        <v>3690</v>
      </c>
      <c r="K15" s="3">
        <v>1235</v>
      </c>
      <c r="L15" s="3">
        <v>0.435</v>
      </c>
      <c r="M15" s="3">
        <v>0.377</v>
      </c>
      <c r="N15" s="3">
        <v>0.77400000000000002</v>
      </c>
      <c r="O15" s="3">
        <v>26.6</v>
      </c>
      <c r="P15" s="3">
        <v>12</v>
      </c>
      <c r="Q15" s="3">
        <v>4.4000000000000004</v>
      </c>
      <c r="R15" s="3">
        <v>1.5</v>
      </c>
      <c r="S15" s="3">
        <v>39.299999999999997</v>
      </c>
      <c r="T15" s="3">
        <v>8.5000000000000006E-2</v>
      </c>
      <c r="U15" s="3">
        <v>-0.8</v>
      </c>
      <c r="V15" s="3">
        <v>6.7</v>
      </c>
    </row>
    <row r="16" spans="1:22" hidden="1">
      <c r="A16" s="1">
        <v>15</v>
      </c>
      <c r="B16" s="3">
        <v>15</v>
      </c>
      <c r="C16" s="3" t="s">
        <v>41</v>
      </c>
      <c r="D16" s="3" t="s">
        <v>1246</v>
      </c>
      <c r="E16" s="3" t="s">
        <v>608</v>
      </c>
      <c r="F16" s="3">
        <v>13</v>
      </c>
      <c r="G16" s="3">
        <v>710</v>
      </c>
      <c r="H16" s="3">
        <v>22459</v>
      </c>
      <c r="I16" s="3">
        <v>14157</v>
      </c>
      <c r="J16" s="3">
        <v>4507</v>
      </c>
      <c r="K16" s="3">
        <v>2156</v>
      </c>
      <c r="L16" s="3">
        <v>0.498</v>
      </c>
      <c r="M16" s="3">
        <v>0.39</v>
      </c>
      <c r="N16" s="3">
        <v>0.86099999999999999</v>
      </c>
      <c r="O16" s="3">
        <v>31.6</v>
      </c>
      <c r="P16" s="3">
        <v>19.899999999999999</v>
      </c>
      <c r="Q16" s="3">
        <v>6.3</v>
      </c>
      <c r="R16" s="3">
        <v>3</v>
      </c>
      <c r="S16" s="3">
        <v>99.6</v>
      </c>
      <c r="T16" s="3">
        <v>0.21299999999999999</v>
      </c>
      <c r="U16" s="3">
        <v>6.5</v>
      </c>
      <c r="V16" s="3">
        <v>48.4</v>
      </c>
    </row>
    <row r="17" spans="1:22" hidden="1">
      <c r="A17" s="1">
        <v>16</v>
      </c>
      <c r="B17" s="3">
        <v>16</v>
      </c>
      <c r="C17" s="3" t="s">
        <v>66</v>
      </c>
      <c r="D17" s="3" t="s">
        <v>1247</v>
      </c>
      <c r="E17" s="3" t="s">
        <v>105</v>
      </c>
      <c r="F17" s="3">
        <v>14</v>
      </c>
      <c r="G17" s="3">
        <v>952</v>
      </c>
      <c r="H17" s="3">
        <v>29924</v>
      </c>
      <c r="I17" s="3">
        <v>16383</v>
      </c>
      <c r="J17" s="3">
        <v>9976</v>
      </c>
      <c r="K17" s="3">
        <v>2739</v>
      </c>
      <c r="L17" s="3">
        <v>0.497</v>
      </c>
      <c r="M17" s="3">
        <v>0.34499999999999997</v>
      </c>
      <c r="N17" s="3">
        <v>0.77</v>
      </c>
      <c r="O17" s="3">
        <v>31.4</v>
      </c>
      <c r="P17" s="3">
        <v>17.2</v>
      </c>
      <c r="Q17" s="3">
        <v>10.5</v>
      </c>
      <c r="R17" s="3">
        <v>2.9</v>
      </c>
      <c r="S17" s="3">
        <v>78</v>
      </c>
      <c r="T17" s="3">
        <v>0.125</v>
      </c>
      <c r="U17" s="3">
        <v>2.1</v>
      </c>
      <c r="V17" s="3">
        <v>30.7</v>
      </c>
    </row>
    <row r="18" spans="1:22" hidden="1">
      <c r="A18" s="1">
        <v>17</v>
      </c>
      <c r="B18" s="3">
        <v>17</v>
      </c>
      <c r="C18" s="3" t="s">
        <v>50</v>
      </c>
      <c r="D18" s="3" t="s">
        <v>1248</v>
      </c>
      <c r="E18" s="3" t="s">
        <v>744</v>
      </c>
      <c r="F18" s="3">
        <v>10</v>
      </c>
      <c r="G18" s="3">
        <v>461</v>
      </c>
      <c r="H18" s="3">
        <v>11470</v>
      </c>
      <c r="I18" s="3">
        <v>3320</v>
      </c>
      <c r="J18" s="3">
        <v>1534</v>
      </c>
      <c r="K18" s="3">
        <v>845</v>
      </c>
      <c r="L18" s="3">
        <v>0.39100000000000001</v>
      </c>
      <c r="M18" s="3">
        <v>0.33700000000000002</v>
      </c>
      <c r="N18" s="3">
        <v>0.76400000000000001</v>
      </c>
      <c r="O18" s="3">
        <v>24.9</v>
      </c>
      <c r="P18" s="3">
        <v>7.2</v>
      </c>
      <c r="Q18" s="3">
        <v>3.3</v>
      </c>
      <c r="R18" s="3">
        <v>1.8</v>
      </c>
      <c r="S18" s="3">
        <v>12.9</v>
      </c>
      <c r="T18" s="3">
        <v>5.3999999999999999E-2</v>
      </c>
      <c r="U18" s="3">
        <v>-1.7</v>
      </c>
      <c r="V18" s="3">
        <v>0.9</v>
      </c>
    </row>
    <row r="19" spans="1:22" hidden="1">
      <c r="A19" s="1">
        <v>18</v>
      </c>
      <c r="B19" s="3">
        <v>18</v>
      </c>
      <c r="C19" s="3" t="s">
        <v>69</v>
      </c>
      <c r="D19" s="3" t="s">
        <v>1249</v>
      </c>
      <c r="E19" s="3" t="s">
        <v>182</v>
      </c>
      <c r="F19" s="3">
        <v>3</v>
      </c>
      <c r="G19" s="3">
        <v>148</v>
      </c>
      <c r="H19" s="3">
        <v>2605</v>
      </c>
      <c r="I19" s="3">
        <v>612</v>
      </c>
      <c r="J19" s="3">
        <v>472</v>
      </c>
      <c r="K19" s="3">
        <v>92</v>
      </c>
      <c r="L19" s="3">
        <v>0.376</v>
      </c>
      <c r="M19" s="3">
        <v>0.31900000000000001</v>
      </c>
      <c r="N19" s="3">
        <v>0.63300000000000001</v>
      </c>
      <c r="O19" s="3">
        <v>17.600000000000001</v>
      </c>
      <c r="P19" s="3">
        <v>4.0999999999999996</v>
      </c>
      <c r="Q19" s="3">
        <v>3.2</v>
      </c>
      <c r="R19" s="3">
        <v>0.6</v>
      </c>
      <c r="S19" s="3">
        <v>2.2999999999999998</v>
      </c>
      <c r="T19" s="3">
        <v>4.2000000000000003E-2</v>
      </c>
      <c r="U19" s="3">
        <v>-3.2</v>
      </c>
      <c r="V19" s="3">
        <v>-0.8</v>
      </c>
    </row>
    <row r="20" spans="1:22" hidden="1">
      <c r="A20" s="1">
        <v>19</v>
      </c>
      <c r="B20" s="3">
        <v>19</v>
      </c>
      <c r="C20" s="3" t="s">
        <v>1095</v>
      </c>
      <c r="D20" s="3" t="s">
        <v>1250</v>
      </c>
      <c r="E20" s="3" t="s">
        <v>115</v>
      </c>
      <c r="F20" s="3">
        <v>14</v>
      </c>
      <c r="G20" s="3">
        <v>949</v>
      </c>
      <c r="H20" s="3">
        <v>30081</v>
      </c>
      <c r="I20" s="3">
        <v>15298</v>
      </c>
      <c r="J20" s="3">
        <v>5845</v>
      </c>
      <c r="K20" s="3">
        <v>2250</v>
      </c>
      <c r="L20" s="3">
        <v>0.47799999999999998</v>
      </c>
      <c r="M20" s="3">
        <v>0.36599999999999999</v>
      </c>
      <c r="N20" s="3">
        <v>0.83599999999999997</v>
      </c>
      <c r="O20" s="3">
        <v>31.7</v>
      </c>
      <c r="P20" s="3">
        <v>16.100000000000001</v>
      </c>
      <c r="Q20" s="3">
        <v>6.2</v>
      </c>
      <c r="R20" s="3">
        <v>2.4</v>
      </c>
      <c r="S20" s="3">
        <v>73.5</v>
      </c>
      <c r="T20" s="3">
        <v>0.11700000000000001</v>
      </c>
      <c r="U20" s="3">
        <v>0.9</v>
      </c>
      <c r="V20" s="3">
        <v>22.2</v>
      </c>
    </row>
    <row r="21" spans="1:22" hidden="1">
      <c r="A21" s="1">
        <v>20</v>
      </c>
      <c r="B21" s="3">
        <v>20</v>
      </c>
      <c r="C21" s="3" t="s">
        <v>135</v>
      </c>
      <c r="D21" s="3" t="s">
        <v>1251</v>
      </c>
      <c r="E21" s="2"/>
      <c r="F21" s="3">
        <v>6</v>
      </c>
      <c r="G21" s="3">
        <v>251</v>
      </c>
      <c r="H21" s="3">
        <v>4566</v>
      </c>
      <c r="I21" s="3">
        <v>1832</v>
      </c>
      <c r="J21" s="3">
        <v>952</v>
      </c>
      <c r="K21" s="3">
        <v>269</v>
      </c>
      <c r="L21" s="3">
        <v>0.46899999999999997</v>
      </c>
      <c r="M21" s="3">
        <v>0.3</v>
      </c>
      <c r="N21" s="3">
        <v>0.59699999999999998</v>
      </c>
      <c r="O21" s="3">
        <v>18.2</v>
      </c>
      <c r="P21" s="3">
        <v>7.3</v>
      </c>
      <c r="Q21" s="3">
        <v>3.8</v>
      </c>
      <c r="R21" s="3">
        <v>1.1000000000000001</v>
      </c>
      <c r="S21" s="3">
        <v>7.1</v>
      </c>
      <c r="T21" s="3">
        <v>7.4999999999999997E-2</v>
      </c>
      <c r="U21" s="3">
        <v>-2.5</v>
      </c>
      <c r="V21" s="3">
        <v>-0.5</v>
      </c>
    </row>
    <row r="22" spans="1:22" hidden="1">
      <c r="A22" s="1">
        <v>21</v>
      </c>
      <c r="B22" s="3">
        <v>21</v>
      </c>
      <c r="C22" s="3" t="s">
        <v>124</v>
      </c>
      <c r="D22" s="3" t="s">
        <v>1252</v>
      </c>
      <c r="E22" s="3" t="s">
        <v>171</v>
      </c>
      <c r="F22" s="3">
        <v>2</v>
      </c>
      <c r="G22" s="3">
        <v>84</v>
      </c>
      <c r="H22" s="3">
        <v>829</v>
      </c>
      <c r="I22" s="3">
        <v>277</v>
      </c>
      <c r="J22" s="3">
        <v>83</v>
      </c>
      <c r="K22" s="3">
        <v>97</v>
      </c>
      <c r="L22" s="3">
        <v>0.371</v>
      </c>
      <c r="M22" s="3">
        <v>0.26</v>
      </c>
      <c r="N22" s="3">
        <v>0.71399999999999997</v>
      </c>
      <c r="O22" s="3">
        <v>9.9</v>
      </c>
      <c r="P22" s="3">
        <v>3.3</v>
      </c>
      <c r="Q22" s="3">
        <v>1</v>
      </c>
      <c r="R22" s="3">
        <v>1.2</v>
      </c>
      <c r="S22" s="3">
        <v>-0.8</v>
      </c>
      <c r="T22" s="3">
        <v>-4.7E-2</v>
      </c>
      <c r="U22" s="3">
        <v>-6</v>
      </c>
      <c r="V22" s="3">
        <v>-0.8</v>
      </c>
    </row>
    <row r="23" spans="1:22" hidden="1">
      <c r="A23" s="1">
        <v>22</v>
      </c>
      <c r="B23" s="3">
        <v>22</v>
      </c>
      <c r="C23" s="3" t="s">
        <v>23</v>
      </c>
      <c r="D23" s="3" t="s">
        <v>1253</v>
      </c>
      <c r="E23" s="3" t="s">
        <v>1254</v>
      </c>
      <c r="F23" s="3">
        <v>8</v>
      </c>
      <c r="G23" s="3">
        <v>478</v>
      </c>
      <c r="H23" s="3">
        <v>11728</v>
      </c>
      <c r="I23" s="3">
        <v>5430</v>
      </c>
      <c r="J23" s="3">
        <v>3884</v>
      </c>
      <c r="K23" s="3">
        <v>470</v>
      </c>
      <c r="L23" s="3">
        <v>0.54600000000000004</v>
      </c>
      <c r="M23" s="3">
        <v>0.222</v>
      </c>
      <c r="N23" s="3">
        <v>0.65400000000000003</v>
      </c>
      <c r="O23" s="3">
        <v>24.5</v>
      </c>
      <c r="P23" s="3">
        <v>11.4</v>
      </c>
      <c r="Q23" s="3">
        <v>8.1</v>
      </c>
      <c r="R23" s="3">
        <v>1</v>
      </c>
      <c r="S23" s="3">
        <v>38.799999999999997</v>
      </c>
      <c r="T23" s="3">
        <v>0.159</v>
      </c>
      <c r="U23" s="3">
        <v>0.5</v>
      </c>
      <c r="V23" s="3">
        <v>7.5</v>
      </c>
    </row>
    <row r="24" spans="1:22" hidden="1">
      <c r="A24" s="1">
        <v>23</v>
      </c>
      <c r="B24" s="3">
        <v>23</v>
      </c>
      <c r="C24" s="3" t="s">
        <v>52</v>
      </c>
      <c r="D24" s="3" t="s">
        <v>1255</v>
      </c>
      <c r="E24" s="2"/>
      <c r="F24" s="3">
        <v>5</v>
      </c>
      <c r="G24" s="3">
        <v>319</v>
      </c>
      <c r="H24" s="3">
        <v>7718</v>
      </c>
      <c r="I24" s="3">
        <v>3910</v>
      </c>
      <c r="J24" s="3">
        <v>1894</v>
      </c>
      <c r="K24" s="3">
        <v>407</v>
      </c>
      <c r="L24" s="3">
        <v>0.42299999999999999</v>
      </c>
      <c r="M24" s="3">
        <v>0.35899999999999999</v>
      </c>
      <c r="N24" s="3">
        <v>0.80800000000000005</v>
      </c>
      <c r="O24" s="3">
        <v>24.2</v>
      </c>
      <c r="P24" s="3">
        <v>12.3</v>
      </c>
      <c r="Q24" s="3">
        <v>5.9</v>
      </c>
      <c r="R24" s="3">
        <v>1.3</v>
      </c>
      <c r="S24" s="3">
        <v>20.8</v>
      </c>
      <c r="T24" s="3">
        <v>0.129</v>
      </c>
      <c r="U24" s="3">
        <v>1.6</v>
      </c>
      <c r="V24" s="3">
        <v>7.1</v>
      </c>
    </row>
    <row r="25" spans="1:22" hidden="1">
      <c r="A25" s="1">
        <v>24</v>
      </c>
      <c r="B25" s="3">
        <v>24</v>
      </c>
      <c r="C25" s="3" t="s">
        <v>82</v>
      </c>
      <c r="D25" s="3" t="s">
        <v>1256</v>
      </c>
      <c r="E25" s="3" t="s">
        <v>364</v>
      </c>
      <c r="F25" s="3">
        <v>14</v>
      </c>
      <c r="G25" s="3">
        <v>884</v>
      </c>
      <c r="H25" s="3">
        <v>21859</v>
      </c>
      <c r="I25" s="3">
        <v>10845</v>
      </c>
      <c r="J25" s="3">
        <v>2463</v>
      </c>
      <c r="K25" s="3">
        <v>3606</v>
      </c>
      <c r="L25" s="3">
        <v>0.42299999999999999</v>
      </c>
      <c r="M25" s="3">
        <v>0.34499999999999997</v>
      </c>
      <c r="N25" s="3">
        <v>0.85399999999999998</v>
      </c>
      <c r="O25" s="3">
        <v>24.7</v>
      </c>
      <c r="P25" s="3">
        <v>12.3</v>
      </c>
      <c r="Q25" s="3">
        <v>2.8</v>
      </c>
      <c r="R25" s="3">
        <v>4.0999999999999996</v>
      </c>
      <c r="S25" s="3">
        <v>36.4</v>
      </c>
      <c r="T25" s="3">
        <v>0.08</v>
      </c>
      <c r="U25" s="3">
        <v>-0.6</v>
      </c>
      <c r="V25" s="3">
        <v>7.5</v>
      </c>
    </row>
    <row r="26" spans="1:22" hidden="1">
      <c r="A26" s="1">
        <v>25</v>
      </c>
      <c r="B26" s="3">
        <v>25</v>
      </c>
      <c r="C26" s="3" t="s">
        <v>190</v>
      </c>
      <c r="D26" s="3" t="s">
        <v>1257</v>
      </c>
      <c r="E26" s="3" t="s">
        <v>314</v>
      </c>
      <c r="F26" s="3">
        <v>5</v>
      </c>
      <c r="G26" s="3">
        <v>200</v>
      </c>
      <c r="H26" s="3">
        <v>3456</v>
      </c>
      <c r="I26" s="3">
        <v>1592</v>
      </c>
      <c r="J26" s="3">
        <v>424</v>
      </c>
      <c r="K26" s="3">
        <v>282</v>
      </c>
      <c r="L26" s="3">
        <v>0.44700000000000001</v>
      </c>
      <c r="M26" s="3">
        <v>0.34499999999999997</v>
      </c>
      <c r="N26" s="3">
        <v>0.751</v>
      </c>
      <c r="O26" s="3">
        <v>17.3</v>
      </c>
      <c r="P26" s="3">
        <v>8</v>
      </c>
      <c r="Q26" s="3">
        <v>2.1</v>
      </c>
      <c r="R26" s="3">
        <v>1.4</v>
      </c>
      <c r="S26" s="3">
        <v>3.3</v>
      </c>
      <c r="T26" s="3">
        <v>4.5999999999999999E-2</v>
      </c>
      <c r="U26" s="3">
        <v>-1.6</v>
      </c>
      <c r="V26" s="3">
        <v>0.4</v>
      </c>
    </row>
    <row r="27" spans="1:22" hidden="1">
      <c r="A27" s="1">
        <v>26</v>
      </c>
      <c r="B27" s="3">
        <v>26</v>
      </c>
      <c r="C27" s="3" t="s">
        <v>20</v>
      </c>
      <c r="D27" s="3" t="s">
        <v>1258</v>
      </c>
      <c r="E27" s="3" t="s">
        <v>530</v>
      </c>
      <c r="F27" s="3">
        <v>5</v>
      </c>
      <c r="G27" s="3">
        <v>151</v>
      </c>
      <c r="H27" s="3">
        <v>2100</v>
      </c>
      <c r="I27" s="3">
        <v>890</v>
      </c>
      <c r="J27" s="3">
        <v>429</v>
      </c>
      <c r="K27" s="3">
        <v>127</v>
      </c>
      <c r="L27" s="3">
        <v>0.40799999999999997</v>
      </c>
      <c r="M27" s="3">
        <v>0.35699999999999998</v>
      </c>
      <c r="N27" s="3">
        <v>0.67</v>
      </c>
      <c r="O27" s="3">
        <v>13.9</v>
      </c>
      <c r="P27" s="3">
        <v>5.9</v>
      </c>
      <c r="Q27" s="3">
        <v>2.8</v>
      </c>
      <c r="R27" s="3">
        <v>0.8</v>
      </c>
      <c r="S27" s="3">
        <v>3</v>
      </c>
      <c r="T27" s="3">
        <v>6.9000000000000006E-2</v>
      </c>
      <c r="U27" s="3">
        <v>-0.1</v>
      </c>
      <c r="V27" s="3">
        <v>1</v>
      </c>
    </row>
    <row r="28" spans="1:22" hidden="1">
      <c r="A28" s="1">
        <v>27</v>
      </c>
      <c r="B28" s="3">
        <v>27</v>
      </c>
      <c r="C28" s="3" t="s">
        <v>1214</v>
      </c>
      <c r="D28" s="3" t="s">
        <v>1259</v>
      </c>
      <c r="E28" s="3" t="s">
        <v>143</v>
      </c>
      <c r="F28" s="3">
        <v>1</v>
      </c>
      <c r="G28" s="3">
        <v>36</v>
      </c>
      <c r="H28" s="3">
        <v>298</v>
      </c>
      <c r="I28" s="3">
        <v>114</v>
      </c>
      <c r="J28" s="3">
        <v>58</v>
      </c>
      <c r="K28" s="3">
        <v>6</v>
      </c>
      <c r="L28" s="3">
        <v>0.44600000000000001</v>
      </c>
      <c r="M28" s="2">
        <v>0</v>
      </c>
      <c r="N28" s="3">
        <v>0.66700000000000004</v>
      </c>
      <c r="O28" s="3">
        <v>8.3000000000000007</v>
      </c>
      <c r="P28" s="3">
        <v>3.2</v>
      </c>
      <c r="Q28" s="3">
        <v>1.6</v>
      </c>
      <c r="R28" s="3">
        <v>0.2</v>
      </c>
      <c r="S28" s="3">
        <v>0.2</v>
      </c>
      <c r="T28" s="3">
        <v>3.2000000000000001E-2</v>
      </c>
      <c r="U28" s="3">
        <v>-3.9</v>
      </c>
      <c r="V28" s="3">
        <v>-0.1</v>
      </c>
    </row>
    <row r="29" spans="1:22" hidden="1">
      <c r="A29" s="1">
        <v>28</v>
      </c>
      <c r="B29" s="3">
        <v>28</v>
      </c>
      <c r="C29" s="3" t="s">
        <v>99</v>
      </c>
      <c r="D29" s="3" t="s">
        <v>1260</v>
      </c>
      <c r="E29" s="3" t="s">
        <v>1261</v>
      </c>
      <c r="F29" s="3">
        <v>6</v>
      </c>
      <c r="G29" s="3">
        <v>360</v>
      </c>
      <c r="H29" s="3">
        <v>8018</v>
      </c>
      <c r="I29" s="3">
        <v>2506</v>
      </c>
      <c r="J29" s="3">
        <v>702</v>
      </c>
      <c r="K29" s="3">
        <v>981</v>
      </c>
      <c r="L29" s="3">
        <v>0.40699999999999997</v>
      </c>
      <c r="M29" s="3">
        <v>0.32400000000000001</v>
      </c>
      <c r="N29" s="3">
        <v>0.74299999999999999</v>
      </c>
      <c r="O29" s="3">
        <v>22.3</v>
      </c>
      <c r="P29" s="3">
        <v>7</v>
      </c>
      <c r="Q29" s="3">
        <v>2</v>
      </c>
      <c r="R29" s="3">
        <v>2.7</v>
      </c>
      <c r="S29" s="3">
        <v>3</v>
      </c>
      <c r="T29" s="3">
        <v>1.7999999999999999E-2</v>
      </c>
      <c r="U29" s="3">
        <v>-4.0999999999999996</v>
      </c>
      <c r="V29" s="3">
        <v>-4.0999999999999996</v>
      </c>
    </row>
    <row r="30" spans="1:22" hidden="1">
      <c r="A30" s="1">
        <v>29</v>
      </c>
      <c r="B30" s="3">
        <v>29</v>
      </c>
      <c r="C30" s="3" t="s">
        <v>79</v>
      </c>
      <c r="D30" s="3" t="s">
        <v>1262</v>
      </c>
      <c r="E30" s="3" t="s">
        <v>530</v>
      </c>
      <c r="F30" s="3">
        <v>14</v>
      </c>
      <c r="G30" s="3">
        <v>846</v>
      </c>
      <c r="H30" s="3">
        <v>17909</v>
      </c>
      <c r="I30" s="3">
        <v>5709</v>
      </c>
      <c r="J30" s="3">
        <v>2043</v>
      </c>
      <c r="K30" s="3">
        <v>2469</v>
      </c>
      <c r="L30" s="3">
        <v>0.44</v>
      </c>
      <c r="M30" s="3">
        <v>0.34799999999999998</v>
      </c>
      <c r="N30" s="3">
        <v>0.78500000000000003</v>
      </c>
      <c r="O30" s="3">
        <v>21.2</v>
      </c>
      <c r="P30" s="3">
        <v>6.7</v>
      </c>
      <c r="Q30" s="3">
        <v>2.4</v>
      </c>
      <c r="R30" s="3">
        <v>2.9</v>
      </c>
      <c r="S30" s="3">
        <v>30.9</v>
      </c>
      <c r="T30" s="3">
        <v>8.3000000000000004E-2</v>
      </c>
      <c r="U30" s="3">
        <v>-1.2</v>
      </c>
      <c r="V30" s="3">
        <v>3.8</v>
      </c>
    </row>
    <row r="31" spans="1:22" hidden="1">
      <c r="A31" s="1">
        <v>30</v>
      </c>
      <c r="B31" s="3">
        <v>30</v>
      </c>
      <c r="C31" s="3" t="s">
        <v>99</v>
      </c>
      <c r="D31" s="3" t="s">
        <v>1263</v>
      </c>
      <c r="E31" s="3" t="s">
        <v>123</v>
      </c>
      <c r="F31" s="3">
        <v>14</v>
      </c>
      <c r="G31" s="3">
        <v>841</v>
      </c>
      <c r="H31" s="3">
        <v>27870</v>
      </c>
      <c r="I31" s="3">
        <v>15405</v>
      </c>
      <c r="J31" s="3">
        <v>4493</v>
      </c>
      <c r="K31" s="3">
        <v>3604</v>
      </c>
      <c r="L31" s="3">
        <v>0.47199999999999998</v>
      </c>
      <c r="M31" s="3">
        <v>0.32900000000000001</v>
      </c>
      <c r="N31" s="3">
        <v>0.84199999999999997</v>
      </c>
      <c r="O31" s="3">
        <v>33.1</v>
      </c>
      <c r="P31" s="3">
        <v>18.3</v>
      </c>
      <c r="Q31" s="3">
        <v>5.3</v>
      </c>
      <c r="R31" s="3">
        <v>4.3</v>
      </c>
      <c r="S31" s="3">
        <v>119.1</v>
      </c>
      <c r="T31" s="3">
        <v>0.20499999999999999</v>
      </c>
      <c r="U31" s="3">
        <v>5</v>
      </c>
      <c r="V31" s="3">
        <v>48.9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4">
      <c r="A33" s="1">
        <v>31</v>
      </c>
      <c r="B33" s="3">
        <v>31</v>
      </c>
      <c r="C33" s="3" t="s">
        <v>72</v>
      </c>
      <c r="D33" s="89" t="s">
        <v>73</v>
      </c>
      <c r="E33" s="2"/>
      <c r="F33" s="3">
        <v>10</v>
      </c>
      <c r="G33" s="3">
        <v>719</v>
      </c>
      <c r="H33" s="3">
        <v>20890</v>
      </c>
      <c r="I33" s="3">
        <v>11184</v>
      </c>
      <c r="J33" s="3">
        <v>2559</v>
      </c>
      <c r="K33" s="3">
        <v>1194</v>
      </c>
      <c r="L33" s="3">
        <v>0.46</v>
      </c>
      <c r="M33" s="3">
        <v>0.39400000000000002</v>
      </c>
      <c r="N33" s="3">
        <v>0.85899999999999999</v>
      </c>
      <c r="O33" s="3">
        <v>29.1</v>
      </c>
      <c r="P33" s="3">
        <v>15.6</v>
      </c>
      <c r="Q33" s="3">
        <v>3.6</v>
      </c>
      <c r="R33" s="3">
        <v>1.7</v>
      </c>
      <c r="S33" s="92">
        <v>37.6</v>
      </c>
      <c r="T33" s="3">
        <v>8.5999999999999993E-2</v>
      </c>
      <c r="U33" s="3">
        <v>-0.9</v>
      </c>
      <c r="V33" s="3">
        <v>5.8</v>
      </c>
    </row>
    <row r="34" spans="1:24">
      <c r="A34" s="1">
        <v>32</v>
      </c>
      <c r="B34" s="3">
        <v>32</v>
      </c>
      <c r="C34" s="3" t="s">
        <v>76</v>
      </c>
      <c r="D34" s="67" t="s">
        <v>1264</v>
      </c>
      <c r="E34" s="3" t="s">
        <v>1265</v>
      </c>
      <c r="F34" s="3">
        <v>3</v>
      </c>
      <c r="G34" s="3">
        <v>22</v>
      </c>
      <c r="H34" s="3">
        <v>150</v>
      </c>
      <c r="I34" s="3">
        <v>45</v>
      </c>
      <c r="J34" s="3">
        <v>18</v>
      </c>
      <c r="K34" s="3">
        <v>4</v>
      </c>
      <c r="L34" s="3">
        <v>0.34</v>
      </c>
      <c r="M34" s="3">
        <v>0.27600000000000002</v>
      </c>
      <c r="N34" s="3">
        <v>0.33300000000000002</v>
      </c>
      <c r="O34" s="3">
        <v>6.8</v>
      </c>
      <c r="P34" s="3">
        <v>2</v>
      </c>
      <c r="Q34" s="3">
        <v>0.8</v>
      </c>
      <c r="R34" s="3">
        <v>0.2</v>
      </c>
      <c r="S34" s="92">
        <v>-0.3</v>
      </c>
      <c r="T34" s="3">
        <v>-9.2999999999999999E-2</v>
      </c>
      <c r="U34" s="3">
        <v>-8.6999999999999993</v>
      </c>
      <c r="V34" s="3">
        <v>-0.2</v>
      </c>
      <c r="X34" s="53" t="s">
        <v>296</v>
      </c>
    </row>
    <row r="35" spans="1:24">
      <c r="A35" s="1">
        <v>33</v>
      </c>
      <c r="B35" s="3">
        <v>33</v>
      </c>
      <c r="C35" s="3" t="s">
        <v>34</v>
      </c>
      <c r="D35" s="88" t="s">
        <v>1266</v>
      </c>
      <c r="E35" s="3" t="s">
        <v>171</v>
      </c>
      <c r="F35" s="3">
        <v>6</v>
      </c>
      <c r="G35" s="3">
        <v>356</v>
      </c>
      <c r="H35" s="3">
        <v>7794</v>
      </c>
      <c r="I35" s="3">
        <v>2326</v>
      </c>
      <c r="J35" s="3">
        <v>1026</v>
      </c>
      <c r="K35" s="3">
        <v>272</v>
      </c>
      <c r="L35" s="3">
        <v>0.41799999999999998</v>
      </c>
      <c r="M35" s="3">
        <v>0.36199999999999999</v>
      </c>
      <c r="N35" s="3">
        <v>0.78600000000000003</v>
      </c>
      <c r="O35" s="3">
        <v>21.9</v>
      </c>
      <c r="P35" s="3">
        <v>6.5</v>
      </c>
      <c r="Q35" s="3">
        <v>2.9</v>
      </c>
      <c r="R35" s="3">
        <v>0.8</v>
      </c>
      <c r="S35" s="92">
        <v>10</v>
      </c>
      <c r="T35" s="3">
        <v>6.2E-2</v>
      </c>
      <c r="U35" s="3">
        <v>-2.5</v>
      </c>
      <c r="V35" s="3">
        <v>-0.9</v>
      </c>
      <c r="X35" s="54" t="s">
        <v>298</v>
      </c>
    </row>
    <row r="36" spans="1:24">
      <c r="A36" s="1">
        <v>34</v>
      </c>
      <c r="B36" s="3">
        <v>34</v>
      </c>
      <c r="C36" s="3" t="s">
        <v>69</v>
      </c>
      <c r="D36" s="82" t="s">
        <v>212</v>
      </c>
      <c r="E36" s="3" t="s">
        <v>213</v>
      </c>
      <c r="F36" s="3">
        <v>8</v>
      </c>
      <c r="G36" s="3">
        <v>456</v>
      </c>
      <c r="H36" s="3">
        <v>8392</v>
      </c>
      <c r="I36" s="3">
        <v>2997</v>
      </c>
      <c r="J36" s="3">
        <v>894</v>
      </c>
      <c r="K36" s="3">
        <v>1421</v>
      </c>
      <c r="L36" s="3">
        <v>0.42299999999999999</v>
      </c>
      <c r="M36" s="3">
        <v>0.33</v>
      </c>
      <c r="N36" s="3">
        <v>0.73099999999999998</v>
      </c>
      <c r="O36" s="3">
        <v>18.399999999999999</v>
      </c>
      <c r="P36" s="3">
        <v>6.6</v>
      </c>
      <c r="Q36" s="3">
        <v>2</v>
      </c>
      <c r="R36" s="3">
        <v>3.1</v>
      </c>
      <c r="S36" s="92">
        <v>10.3</v>
      </c>
      <c r="T36" s="3">
        <v>5.8999999999999997E-2</v>
      </c>
      <c r="U36" s="3">
        <v>-1.9</v>
      </c>
      <c r="V36" s="3">
        <v>0.1</v>
      </c>
      <c r="X36" s="58" t="s">
        <v>39</v>
      </c>
    </row>
    <row r="37" spans="1:24">
      <c r="A37" s="1">
        <v>35</v>
      </c>
      <c r="B37" s="3">
        <v>35</v>
      </c>
      <c r="C37" s="3" t="s">
        <v>36</v>
      </c>
      <c r="D37" s="67" t="s">
        <v>1267</v>
      </c>
      <c r="E37" s="3" t="s">
        <v>63</v>
      </c>
      <c r="F37" s="3">
        <v>2</v>
      </c>
      <c r="G37" s="3">
        <v>24</v>
      </c>
      <c r="H37" s="3">
        <v>120</v>
      </c>
      <c r="I37" s="3">
        <v>28</v>
      </c>
      <c r="J37" s="3">
        <v>24</v>
      </c>
      <c r="K37" s="3">
        <v>9</v>
      </c>
      <c r="L37" s="3">
        <v>0.314</v>
      </c>
      <c r="M37" s="3">
        <v>0.2</v>
      </c>
      <c r="N37" s="3">
        <v>0.71399999999999997</v>
      </c>
      <c r="O37" s="3">
        <v>5</v>
      </c>
      <c r="P37" s="3">
        <v>1.2</v>
      </c>
      <c r="Q37" s="3">
        <v>1</v>
      </c>
      <c r="R37" s="3">
        <v>0.4</v>
      </c>
      <c r="S37" s="92">
        <v>-0.1</v>
      </c>
      <c r="T37" s="3">
        <v>-4.9000000000000002E-2</v>
      </c>
      <c r="U37" s="3">
        <v>-5.0999999999999996</v>
      </c>
      <c r="V37" s="3">
        <v>-0.1</v>
      </c>
      <c r="X37" s="59" t="s">
        <v>106</v>
      </c>
    </row>
    <row r="38" spans="1:24">
      <c r="A38" s="1">
        <v>36</v>
      </c>
      <c r="B38" s="3">
        <v>36</v>
      </c>
      <c r="C38" s="3" t="s">
        <v>1214</v>
      </c>
      <c r="D38" s="67" t="s">
        <v>1268</v>
      </c>
      <c r="E38" s="3" t="s">
        <v>89</v>
      </c>
      <c r="F38" s="3">
        <v>1</v>
      </c>
      <c r="G38" s="3">
        <v>43</v>
      </c>
      <c r="H38" s="3">
        <v>635</v>
      </c>
      <c r="I38" s="3">
        <v>197</v>
      </c>
      <c r="J38" s="3">
        <v>156</v>
      </c>
      <c r="K38" s="3">
        <v>11</v>
      </c>
      <c r="L38" s="3">
        <v>0.50700000000000001</v>
      </c>
      <c r="M38" s="2"/>
      <c r="N38" s="3">
        <v>0.65200000000000002</v>
      </c>
      <c r="O38" s="3">
        <v>14.8</v>
      </c>
      <c r="P38" s="3">
        <v>4.5999999999999996</v>
      </c>
      <c r="Q38" s="3">
        <v>3.6</v>
      </c>
      <c r="R38" s="3">
        <v>0.3</v>
      </c>
      <c r="S38" s="92">
        <v>1.3</v>
      </c>
      <c r="T38" s="3">
        <v>0.10100000000000001</v>
      </c>
      <c r="U38" s="3">
        <v>-2.1</v>
      </c>
      <c r="V38" s="3">
        <v>0</v>
      </c>
      <c r="X38" s="60" t="s">
        <v>678</v>
      </c>
    </row>
    <row r="39" spans="1:24">
      <c r="A39" s="1">
        <v>37</v>
      </c>
      <c r="B39" s="3">
        <v>37</v>
      </c>
      <c r="C39" s="3" t="s">
        <v>28</v>
      </c>
      <c r="D39" s="67" t="s">
        <v>1269</v>
      </c>
      <c r="E39" s="3" t="s">
        <v>49</v>
      </c>
      <c r="F39" s="3">
        <v>1</v>
      </c>
      <c r="G39" s="3">
        <v>24</v>
      </c>
      <c r="H39" s="3">
        <v>119</v>
      </c>
      <c r="I39" s="3">
        <v>57</v>
      </c>
      <c r="J39" s="3">
        <v>24</v>
      </c>
      <c r="K39" s="3">
        <v>3</v>
      </c>
      <c r="L39" s="3">
        <v>0.39300000000000002</v>
      </c>
      <c r="M39" s="3">
        <v>0.308</v>
      </c>
      <c r="N39" s="3">
        <v>0.71399999999999997</v>
      </c>
      <c r="O39" s="3">
        <v>5</v>
      </c>
      <c r="P39" s="3">
        <v>2.4</v>
      </c>
      <c r="Q39" s="3">
        <v>1</v>
      </c>
      <c r="R39" s="3">
        <v>0.1</v>
      </c>
      <c r="S39" s="92">
        <v>0</v>
      </c>
      <c r="T39" s="3">
        <v>4.0000000000000001E-3</v>
      </c>
      <c r="U39" s="3">
        <v>-5.7</v>
      </c>
      <c r="V39" s="3">
        <v>-0.1</v>
      </c>
      <c r="X39" s="84" t="s">
        <v>680</v>
      </c>
    </row>
    <row r="40" spans="1:24">
      <c r="A40" s="1">
        <v>38</v>
      </c>
      <c r="B40" s="3">
        <v>38</v>
      </c>
      <c r="C40" s="3" t="s">
        <v>52</v>
      </c>
      <c r="D40" s="80" t="s">
        <v>127</v>
      </c>
      <c r="E40" s="3" t="s">
        <v>128</v>
      </c>
      <c r="F40" s="3">
        <v>9</v>
      </c>
      <c r="G40" s="3">
        <v>440</v>
      </c>
      <c r="H40" s="3">
        <v>13246</v>
      </c>
      <c r="I40" s="3">
        <v>5571</v>
      </c>
      <c r="J40" s="3">
        <v>1972</v>
      </c>
      <c r="K40" s="3">
        <v>1201</v>
      </c>
      <c r="L40" s="3">
        <v>0.46200000000000002</v>
      </c>
      <c r="M40" s="3">
        <v>0.373</v>
      </c>
      <c r="N40" s="3">
        <v>0.71299999999999997</v>
      </c>
      <c r="O40" s="3">
        <v>30.1</v>
      </c>
      <c r="P40" s="3">
        <v>12.7</v>
      </c>
      <c r="Q40" s="3">
        <v>4.5</v>
      </c>
      <c r="R40" s="3">
        <v>2.7</v>
      </c>
      <c r="S40" s="92">
        <v>28.9</v>
      </c>
      <c r="T40" s="3">
        <v>0.105</v>
      </c>
      <c r="U40" s="3">
        <v>1.1000000000000001</v>
      </c>
      <c r="V40" s="3">
        <v>10.199999999999999</v>
      </c>
      <c r="X40" s="57" t="s">
        <v>111</v>
      </c>
    </row>
    <row r="41" spans="1:24">
      <c r="A41" s="1">
        <v>39</v>
      </c>
      <c r="B41" s="3">
        <v>39</v>
      </c>
      <c r="C41" s="3" t="s">
        <v>1095</v>
      </c>
      <c r="D41" s="67" t="s">
        <v>1270</v>
      </c>
      <c r="E41" s="2"/>
      <c r="F41" s="3">
        <v>3</v>
      </c>
      <c r="G41" s="3">
        <v>104</v>
      </c>
      <c r="H41" s="3">
        <v>1034</v>
      </c>
      <c r="I41" s="3">
        <v>373</v>
      </c>
      <c r="J41" s="3">
        <v>269</v>
      </c>
      <c r="K41" s="3">
        <v>25</v>
      </c>
      <c r="L41" s="3">
        <v>0.45</v>
      </c>
      <c r="M41" s="3">
        <v>0</v>
      </c>
      <c r="N41" s="3">
        <v>0.55700000000000005</v>
      </c>
      <c r="O41" s="3">
        <v>9.9</v>
      </c>
      <c r="P41" s="3">
        <v>3.6</v>
      </c>
      <c r="Q41" s="3">
        <v>2.6</v>
      </c>
      <c r="R41" s="3">
        <v>0.2</v>
      </c>
      <c r="S41" s="92">
        <v>0.3</v>
      </c>
      <c r="T41" s="3">
        <v>1.4E-2</v>
      </c>
      <c r="U41" s="3">
        <v>-7</v>
      </c>
      <c r="V41" s="3">
        <v>-1.3</v>
      </c>
    </row>
    <row r="42" spans="1:24">
      <c r="A42" s="1">
        <v>40</v>
      </c>
      <c r="B42" s="3">
        <v>40</v>
      </c>
      <c r="C42" s="3" t="s">
        <v>57</v>
      </c>
      <c r="D42" s="88" t="s">
        <v>1271</v>
      </c>
      <c r="E42" s="3" t="s">
        <v>453</v>
      </c>
      <c r="F42" s="3">
        <v>8</v>
      </c>
      <c r="G42" s="3">
        <v>377</v>
      </c>
      <c r="H42" s="3">
        <v>5945</v>
      </c>
      <c r="I42" s="3">
        <v>2395</v>
      </c>
      <c r="J42" s="3">
        <v>1426</v>
      </c>
      <c r="K42" s="3">
        <v>301</v>
      </c>
      <c r="L42" s="3">
        <v>0.48399999999999999</v>
      </c>
      <c r="M42" s="3">
        <v>0.32800000000000001</v>
      </c>
      <c r="N42" s="3">
        <v>0.76700000000000002</v>
      </c>
      <c r="O42" s="3">
        <v>15.8</v>
      </c>
      <c r="P42" s="3">
        <v>6.4</v>
      </c>
      <c r="Q42" s="3">
        <v>3.8</v>
      </c>
      <c r="R42" s="3">
        <v>0.8</v>
      </c>
      <c r="S42" s="92">
        <v>13.2</v>
      </c>
      <c r="T42" s="3">
        <v>0.107</v>
      </c>
      <c r="U42" s="3">
        <v>-0.7</v>
      </c>
      <c r="V42" s="3">
        <v>2</v>
      </c>
    </row>
    <row r="43" spans="1:24">
      <c r="A43" s="1">
        <v>41</v>
      </c>
      <c r="B43" s="3">
        <v>41</v>
      </c>
      <c r="C43" s="3" t="s">
        <v>31</v>
      </c>
      <c r="D43" s="67" t="s">
        <v>1272</v>
      </c>
      <c r="E43" s="3" t="s">
        <v>151</v>
      </c>
      <c r="F43" s="3">
        <v>4</v>
      </c>
      <c r="G43" s="3">
        <v>132</v>
      </c>
      <c r="H43" s="3">
        <v>1464</v>
      </c>
      <c r="I43" s="3">
        <v>430</v>
      </c>
      <c r="J43" s="3">
        <v>126</v>
      </c>
      <c r="K43" s="3">
        <v>189</v>
      </c>
      <c r="L43" s="3">
        <v>0.38400000000000001</v>
      </c>
      <c r="M43" s="3">
        <v>0.32200000000000001</v>
      </c>
      <c r="N43" s="3">
        <v>0.63</v>
      </c>
      <c r="O43" s="3">
        <v>11.1</v>
      </c>
      <c r="P43" s="3">
        <v>3.3</v>
      </c>
      <c r="Q43" s="3">
        <v>1</v>
      </c>
      <c r="R43" s="3">
        <v>1.4</v>
      </c>
      <c r="S43" s="92">
        <v>-0.3</v>
      </c>
      <c r="T43" s="3">
        <v>-0.01</v>
      </c>
      <c r="U43" s="3">
        <v>-5.0999999999999996</v>
      </c>
      <c r="V43" s="3">
        <v>-1.2</v>
      </c>
    </row>
    <row r="44" spans="1:24">
      <c r="A44" s="1">
        <v>42</v>
      </c>
      <c r="B44" s="3">
        <v>42</v>
      </c>
      <c r="C44" s="3" t="s">
        <v>41</v>
      </c>
      <c r="D44" s="82" t="s">
        <v>214</v>
      </c>
      <c r="E44" s="2"/>
      <c r="F44" s="3">
        <v>8</v>
      </c>
      <c r="G44" s="3">
        <v>475</v>
      </c>
      <c r="H44" s="3">
        <v>8545</v>
      </c>
      <c r="I44" s="3">
        <v>3661</v>
      </c>
      <c r="J44" s="3">
        <v>1159</v>
      </c>
      <c r="K44" s="3">
        <v>448</v>
      </c>
      <c r="L44" s="3">
        <v>0.42199999999999999</v>
      </c>
      <c r="M44" s="3">
        <v>0.39600000000000002</v>
      </c>
      <c r="N44" s="3">
        <v>0.86299999999999999</v>
      </c>
      <c r="O44" s="3">
        <v>18</v>
      </c>
      <c r="P44" s="3">
        <v>7.7</v>
      </c>
      <c r="Q44" s="3">
        <v>2.4</v>
      </c>
      <c r="R44" s="3">
        <v>0.9</v>
      </c>
      <c r="S44" s="92">
        <v>18.600000000000001</v>
      </c>
      <c r="T44" s="3">
        <v>0.105</v>
      </c>
      <c r="U44" s="3">
        <v>0.2</v>
      </c>
      <c r="V44" s="3">
        <v>4.7</v>
      </c>
    </row>
    <row r="45" spans="1:24">
      <c r="A45" s="1">
        <v>43</v>
      </c>
      <c r="B45" s="3">
        <v>43</v>
      </c>
      <c r="C45" s="3" t="s">
        <v>99</v>
      </c>
      <c r="D45" s="67" t="s">
        <v>1273</v>
      </c>
      <c r="E45" s="3" t="s">
        <v>63</v>
      </c>
      <c r="F45" s="3">
        <v>3</v>
      </c>
      <c r="G45" s="3">
        <v>36</v>
      </c>
      <c r="H45" s="3">
        <v>534</v>
      </c>
      <c r="I45" s="3">
        <v>140</v>
      </c>
      <c r="J45" s="3">
        <v>65</v>
      </c>
      <c r="K45" s="3">
        <v>51</v>
      </c>
      <c r="L45" s="3">
        <v>0.38200000000000001</v>
      </c>
      <c r="M45" s="3">
        <v>0.29399999999999998</v>
      </c>
      <c r="N45" s="3">
        <v>0.70299999999999996</v>
      </c>
      <c r="O45" s="3">
        <v>14.8</v>
      </c>
      <c r="P45" s="3">
        <v>3.9</v>
      </c>
      <c r="Q45" s="3">
        <v>1.8</v>
      </c>
      <c r="R45" s="3">
        <v>1.4</v>
      </c>
      <c r="S45" s="92">
        <v>0.4</v>
      </c>
      <c r="T45" s="3">
        <v>0.04</v>
      </c>
      <c r="U45" s="3">
        <v>-2.5</v>
      </c>
      <c r="V45" s="3">
        <v>-0.1</v>
      </c>
    </row>
    <row r="46" spans="1:24">
      <c r="A46" s="1">
        <v>44</v>
      </c>
      <c r="B46" s="3">
        <v>44</v>
      </c>
      <c r="C46" s="3" t="s">
        <v>25</v>
      </c>
      <c r="D46" s="67" t="s">
        <v>1274</v>
      </c>
      <c r="E46" s="3" t="s">
        <v>695</v>
      </c>
      <c r="F46" s="3">
        <v>2</v>
      </c>
      <c r="G46" s="3">
        <v>110</v>
      </c>
      <c r="H46" s="3">
        <v>1334</v>
      </c>
      <c r="I46" s="3">
        <v>408</v>
      </c>
      <c r="J46" s="3">
        <v>100</v>
      </c>
      <c r="K46" s="3">
        <v>214</v>
      </c>
      <c r="L46" s="3">
        <v>0.434</v>
      </c>
      <c r="M46" s="3">
        <v>0.182</v>
      </c>
      <c r="N46" s="3">
        <v>0.754</v>
      </c>
      <c r="O46" s="3">
        <v>12.1</v>
      </c>
      <c r="P46" s="3">
        <v>3.7</v>
      </c>
      <c r="Q46" s="3">
        <v>0.9</v>
      </c>
      <c r="R46" s="3">
        <v>1.9</v>
      </c>
      <c r="S46" s="92">
        <v>0.5</v>
      </c>
      <c r="T46" s="3">
        <v>1.7000000000000001E-2</v>
      </c>
      <c r="U46" s="3">
        <v>-4.5</v>
      </c>
      <c r="V46" s="3">
        <v>-0.8</v>
      </c>
    </row>
    <row r="47" spans="1:24">
      <c r="A47" s="1">
        <v>45</v>
      </c>
      <c r="B47" s="3">
        <v>45</v>
      </c>
      <c r="C47" s="3" t="s">
        <v>1098</v>
      </c>
      <c r="D47" s="67" t="s">
        <v>1275</v>
      </c>
      <c r="E47" s="3" t="s">
        <v>173</v>
      </c>
      <c r="F47" s="3">
        <v>3</v>
      </c>
      <c r="G47" s="3">
        <v>75</v>
      </c>
      <c r="H47" s="3">
        <v>888</v>
      </c>
      <c r="I47" s="3">
        <v>265</v>
      </c>
      <c r="J47" s="3">
        <v>227</v>
      </c>
      <c r="K47" s="3">
        <v>26</v>
      </c>
      <c r="L47" s="3">
        <v>0.438</v>
      </c>
      <c r="M47" s="3">
        <v>0.34699999999999998</v>
      </c>
      <c r="N47" s="3">
        <v>0.629</v>
      </c>
      <c r="O47" s="3">
        <v>11.8</v>
      </c>
      <c r="P47" s="3">
        <v>3.5</v>
      </c>
      <c r="Q47" s="3">
        <v>3</v>
      </c>
      <c r="R47" s="3">
        <v>0.3</v>
      </c>
      <c r="S47" s="92">
        <v>2.1</v>
      </c>
      <c r="T47" s="3">
        <v>0.11600000000000001</v>
      </c>
      <c r="U47" s="3">
        <v>-0.4</v>
      </c>
      <c r="V47" s="3">
        <v>0.4</v>
      </c>
    </row>
    <row r="48" spans="1:24">
      <c r="A48" s="1">
        <v>46</v>
      </c>
      <c r="B48" s="3">
        <v>46</v>
      </c>
      <c r="C48" s="3" t="s">
        <v>31</v>
      </c>
      <c r="D48" s="67" t="s">
        <v>1276</v>
      </c>
      <c r="E48" s="3" t="s">
        <v>635</v>
      </c>
      <c r="F48" s="3">
        <v>3</v>
      </c>
      <c r="G48" s="3">
        <v>49</v>
      </c>
      <c r="H48" s="3">
        <v>475</v>
      </c>
      <c r="I48" s="3">
        <v>197</v>
      </c>
      <c r="J48" s="3">
        <v>34</v>
      </c>
      <c r="K48" s="3">
        <v>24</v>
      </c>
      <c r="L48" s="3">
        <v>0.39300000000000002</v>
      </c>
      <c r="M48" s="3">
        <v>0.34499999999999997</v>
      </c>
      <c r="N48" s="3">
        <v>0.875</v>
      </c>
      <c r="O48" s="3">
        <v>9.6999999999999993</v>
      </c>
      <c r="P48" s="3">
        <v>4</v>
      </c>
      <c r="Q48" s="3">
        <v>0.7</v>
      </c>
      <c r="R48" s="3">
        <v>0.5</v>
      </c>
      <c r="S48" s="92">
        <v>0</v>
      </c>
      <c r="T48" s="3">
        <v>3.0000000000000001E-3</v>
      </c>
      <c r="U48" s="3">
        <v>-5</v>
      </c>
      <c r="V48" s="3">
        <v>-0.3</v>
      </c>
    </row>
    <row r="49" spans="1:37">
      <c r="A49" s="1">
        <v>47</v>
      </c>
      <c r="B49" s="3">
        <v>47</v>
      </c>
      <c r="C49" s="3" t="s">
        <v>28</v>
      </c>
      <c r="D49" s="67" t="s">
        <v>1277</v>
      </c>
      <c r="E49" s="3" t="s">
        <v>49</v>
      </c>
      <c r="F49" s="3">
        <v>1</v>
      </c>
      <c r="G49" s="3">
        <v>10</v>
      </c>
      <c r="H49" s="3">
        <v>45</v>
      </c>
      <c r="I49" s="3">
        <v>14</v>
      </c>
      <c r="J49" s="3">
        <v>9</v>
      </c>
      <c r="K49" s="3">
        <v>5</v>
      </c>
      <c r="L49" s="3">
        <v>0.35699999999999998</v>
      </c>
      <c r="M49" s="2"/>
      <c r="N49" s="3">
        <v>0.44400000000000001</v>
      </c>
      <c r="O49" s="3">
        <v>4.5</v>
      </c>
      <c r="P49" s="3">
        <v>1.4</v>
      </c>
      <c r="Q49" s="3">
        <v>0.9</v>
      </c>
      <c r="R49" s="3">
        <v>0.5</v>
      </c>
      <c r="S49" s="92">
        <v>0.1</v>
      </c>
      <c r="T49" s="3">
        <v>0.06</v>
      </c>
      <c r="U49" s="3">
        <v>-0.3</v>
      </c>
      <c r="V49" s="3">
        <v>0</v>
      </c>
    </row>
    <row r="50" spans="1:37">
      <c r="A50" s="1">
        <v>48</v>
      </c>
      <c r="B50" s="3">
        <v>48</v>
      </c>
      <c r="C50" s="3" t="s">
        <v>184</v>
      </c>
      <c r="D50" s="67" t="s">
        <v>1278</v>
      </c>
      <c r="E50" s="3" t="s">
        <v>917</v>
      </c>
      <c r="F50" s="3">
        <v>1</v>
      </c>
      <c r="G50" s="3">
        <v>3</v>
      </c>
      <c r="H50" s="3">
        <v>9</v>
      </c>
      <c r="I50" s="3">
        <v>0</v>
      </c>
      <c r="J50" s="3">
        <v>3</v>
      </c>
      <c r="K50" s="3">
        <v>0</v>
      </c>
      <c r="L50" s="3">
        <v>0</v>
      </c>
      <c r="M50" s="2"/>
      <c r="N50" s="2"/>
      <c r="O50" s="3">
        <v>3</v>
      </c>
      <c r="P50" s="3">
        <v>0</v>
      </c>
      <c r="Q50" s="3">
        <v>1</v>
      </c>
      <c r="R50" s="3">
        <v>0</v>
      </c>
      <c r="S50" s="92">
        <v>0</v>
      </c>
      <c r="T50" s="3">
        <v>-5.0000000000000001E-3</v>
      </c>
      <c r="U50" s="3">
        <v>-7.7</v>
      </c>
      <c r="V50" s="3">
        <v>0</v>
      </c>
    </row>
    <row r="51" spans="1:37">
      <c r="A51" s="1">
        <v>49</v>
      </c>
      <c r="B51" s="3">
        <v>49</v>
      </c>
      <c r="C51" s="3" t="s">
        <v>152</v>
      </c>
      <c r="D51" s="67" t="s">
        <v>1279</v>
      </c>
      <c r="E51" s="3" t="s">
        <v>138</v>
      </c>
      <c r="F51" s="3">
        <v>2</v>
      </c>
      <c r="G51" s="3">
        <v>38</v>
      </c>
      <c r="H51" s="3">
        <v>296</v>
      </c>
      <c r="I51" s="3">
        <v>83</v>
      </c>
      <c r="J51" s="3">
        <v>20</v>
      </c>
      <c r="K51" s="3">
        <v>34</v>
      </c>
      <c r="L51" s="3">
        <v>0.33</v>
      </c>
      <c r="M51" s="3">
        <v>0.14299999999999999</v>
      </c>
      <c r="N51" s="3">
        <v>0.72</v>
      </c>
      <c r="O51" s="3">
        <v>7.8</v>
      </c>
      <c r="P51" s="3">
        <v>2.2000000000000002</v>
      </c>
      <c r="Q51" s="3">
        <v>0.5</v>
      </c>
      <c r="R51" s="3">
        <v>0.9</v>
      </c>
      <c r="S51" s="92">
        <v>-0.7</v>
      </c>
      <c r="T51" s="3">
        <v>-0.113</v>
      </c>
      <c r="U51" s="3">
        <v>-9.5</v>
      </c>
      <c r="V51" s="3">
        <v>-0.6</v>
      </c>
    </row>
    <row r="52" spans="1:37">
      <c r="A52" s="1">
        <v>50</v>
      </c>
      <c r="B52" s="3">
        <v>50</v>
      </c>
      <c r="C52" s="3" t="s">
        <v>66</v>
      </c>
      <c r="D52" s="88" t="s">
        <v>1280</v>
      </c>
      <c r="E52" s="3" t="s">
        <v>1281</v>
      </c>
      <c r="F52" s="3">
        <v>6</v>
      </c>
      <c r="G52" s="3">
        <v>388</v>
      </c>
      <c r="H52" s="3">
        <v>6905</v>
      </c>
      <c r="I52" s="3">
        <v>1847</v>
      </c>
      <c r="J52" s="3">
        <v>1843</v>
      </c>
      <c r="K52" s="3">
        <v>384</v>
      </c>
      <c r="L52" s="3">
        <v>0.47099999999999997</v>
      </c>
      <c r="M52" s="3">
        <v>0.13300000000000001</v>
      </c>
      <c r="N52" s="3">
        <v>0.68200000000000005</v>
      </c>
      <c r="O52" s="3">
        <v>17.8</v>
      </c>
      <c r="P52" s="3">
        <v>4.8</v>
      </c>
      <c r="Q52" s="3">
        <v>4.8</v>
      </c>
      <c r="R52" s="3">
        <v>1</v>
      </c>
      <c r="S52" s="92">
        <v>13.8</v>
      </c>
      <c r="T52" s="3">
        <v>9.6000000000000002E-2</v>
      </c>
      <c r="U52" s="3">
        <v>-2.1</v>
      </c>
      <c r="V52" s="3">
        <v>-0.1</v>
      </c>
    </row>
    <row r="53" spans="1:37">
      <c r="A53" s="1">
        <v>51</v>
      </c>
      <c r="B53" s="3">
        <v>51</v>
      </c>
      <c r="C53" s="3" t="s">
        <v>124</v>
      </c>
      <c r="D53" s="67" t="s">
        <v>1282</v>
      </c>
      <c r="E53" s="3" t="s">
        <v>404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94">
        <v>0</v>
      </c>
      <c r="T53" s="43">
        <v>0</v>
      </c>
      <c r="U53" s="43">
        <v>0</v>
      </c>
      <c r="V53" s="43">
        <v>0</v>
      </c>
    </row>
    <row r="54" spans="1:37">
      <c r="A54" s="1">
        <v>52</v>
      </c>
      <c r="B54" s="3">
        <v>52</v>
      </c>
      <c r="C54" s="3" t="s">
        <v>34</v>
      </c>
      <c r="D54" s="67" t="s">
        <v>1283</v>
      </c>
      <c r="E54" s="3" t="s">
        <v>128</v>
      </c>
      <c r="F54" s="3">
        <v>1</v>
      </c>
      <c r="G54" s="3">
        <v>23</v>
      </c>
      <c r="H54" s="3">
        <v>135</v>
      </c>
      <c r="I54" s="3">
        <v>46</v>
      </c>
      <c r="J54" s="3">
        <v>34</v>
      </c>
      <c r="K54" s="3">
        <v>5</v>
      </c>
      <c r="L54" s="3">
        <v>0.54300000000000004</v>
      </c>
      <c r="M54" s="2"/>
      <c r="N54" s="3">
        <v>0.57099999999999995</v>
      </c>
      <c r="O54" s="3">
        <v>5.9</v>
      </c>
      <c r="P54" s="3">
        <v>2</v>
      </c>
      <c r="Q54" s="3">
        <v>1.5</v>
      </c>
      <c r="R54" s="3">
        <v>0.2</v>
      </c>
      <c r="S54" s="92">
        <v>0.5</v>
      </c>
      <c r="T54" s="3">
        <v>0.161</v>
      </c>
      <c r="U54" s="3">
        <v>1.2</v>
      </c>
      <c r="V54" s="3">
        <v>0.1</v>
      </c>
    </row>
    <row r="55" spans="1:37">
      <c r="A55" s="1">
        <v>53</v>
      </c>
      <c r="B55" s="3">
        <v>53</v>
      </c>
      <c r="C55" s="3" t="s">
        <v>179</v>
      </c>
      <c r="D55" s="88" t="s">
        <v>1284</v>
      </c>
      <c r="E55" s="3" t="s">
        <v>173</v>
      </c>
      <c r="F55" s="3">
        <v>5</v>
      </c>
      <c r="G55" s="3">
        <v>177</v>
      </c>
      <c r="H55" s="3">
        <v>1907</v>
      </c>
      <c r="I55" s="3">
        <v>346</v>
      </c>
      <c r="J55" s="3">
        <v>252</v>
      </c>
      <c r="K55" s="3">
        <v>122</v>
      </c>
      <c r="L55" s="3">
        <v>0.40200000000000002</v>
      </c>
      <c r="M55" s="3">
        <v>0.35199999999999998</v>
      </c>
      <c r="N55" s="3">
        <v>0.54900000000000004</v>
      </c>
      <c r="O55" s="3">
        <v>10.8</v>
      </c>
      <c r="P55" s="3">
        <v>2</v>
      </c>
      <c r="Q55" s="3">
        <v>1.4</v>
      </c>
      <c r="R55" s="3">
        <v>0.7</v>
      </c>
      <c r="S55" s="92">
        <v>1.6</v>
      </c>
      <c r="T55" s="3">
        <v>0.04</v>
      </c>
      <c r="U55" s="3">
        <v>-2.2000000000000002</v>
      </c>
      <c r="V55" s="3">
        <v>-0.1</v>
      </c>
    </row>
    <row r="56" spans="1:37">
      <c r="A56" s="1">
        <v>54</v>
      </c>
      <c r="B56" s="3">
        <v>54</v>
      </c>
      <c r="C56" s="3" t="s">
        <v>76</v>
      </c>
      <c r="D56" s="67" t="s">
        <v>1285</v>
      </c>
      <c r="E56" s="2"/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94">
        <v>0</v>
      </c>
      <c r="T56" s="43">
        <v>0</v>
      </c>
      <c r="U56" s="43">
        <v>0</v>
      </c>
      <c r="V56" s="43">
        <v>0</v>
      </c>
    </row>
    <row r="57" spans="1:37">
      <c r="A57" s="1">
        <v>55</v>
      </c>
      <c r="B57" s="3">
        <v>55</v>
      </c>
      <c r="C57" s="3" t="s">
        <v>190</v>
      </c>
      <c r="D57" s="82" t="s">
        <v>215</v>
      </c>
      <c r="E57" s="3" t="s">
        <v>143</v>
      </c>
      <c r="F57" s="3">
        <v>10</v>
      </c>
      <c r="G57" s="3">
        <v>598</v>
      </c>
      <c r="H57" s="3">
        <v>12564</v>
      </c>
      <c r="I57" s="3">
        <v>4743</v>
      </c>
      <c r="J57" s="3">
        <v>1208</v>
      </c>
      <c r="K57" s="3">
        <v>1055</v>
      </c>
      <c r="L57" s="3">
        <v>0.45500000000000002</v>
      </c>
      <c r="M57" s="3">
        <v>0.38800000000000001</v>
      </c>
      <c r="N57" s="3">
        <v>0.74199999999999999</v>
      </c>
      <c r="O57" s="3">
        <v>21</v>
      </c>
      <c r="P57" s="3">
        <v>7.9</v>
      </c>
      <c r="Q57" s="3">
        <v>2</v>
      </c>
      <c r="R57" s="3">
        <v>1.8</v>
      </c>
      <c r="S57" s="92">
        <v>14.8</v>
      </c>
      <c r="T57" s="3">
        <v>5.7000000000000002E-2</v>
      </c>
      <c r="U57" s="3">
        <v>-1.9</v>
      </c>
      <c r="V57" s="3">
        <v>0.2</v>
      </c>
    </row>
    <row r="58" spans="1:37" ht="30">
      <c r="A58" s="1">
        <v>56</v>
      </c>
      <c r="B58" s="3">
        <v>56</v>
      </c>
      <c r="C58" s="3" t="s">
        <v>31</v>
      </c>
      <c r="D58" s="67" t="s">
        <v>1286</v>
      </c>
      <c r="E58" s="2"/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94">
        <v>0</v>
      </c>
      <c r="T58" s="43">
        <v>0</v>
      </c>
      <c r="U58" s="43">
        <v>0</v>
      </c>
      <c r="V58" s="43">
        <v>0</v>
      </c>
    </row>
    <row r="59" spans="1:37">
      <c r="A59" s="1">
        <v>57</v>
      </c>
      <c r="B59" s="3">
        <v>57</v>
      </c>
      <c r="C59" s="3" t="s">
        <v>20</v>
      </c>
      <c r="D59" s="67" t="s">
        <v>1287</v>
      </c>
      <c r="E59" s="2"/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94">
        <v>0</v>
      </c>
      <c r="T59" s="43">
        <v>0</v>
      </c>
      <c r="U59" s="43">
        <v>0</v>
      </c>
      <c r="V59" s="43">
        <v>0</v>
      </c>
    </row>
    <row r="60" spans="1:37">
      <c r="A60" s="1">
        <v>58</v>
      </c>
      <c r="B60" s="3">
        <v>58</v>
      </c>
      <c r="C60" s="3" t="s">
        <v>31</v>
      </c>
      <c r="D60" s="67" t="s">
        <v>1288</v>
      </c>
      <c r="E60" s="2"/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94">
        <v>0</v>
      </c>
      <c r="T60" s="43">
        <v>0</v>
      </c>
      <c r="U60" s="43">
        <v>0</v>
      </c>
      <c r="V60" s="43">
        <v>0</v>
      </c>
    </row>
    <row r="61" spans="1:37">
      <c r="A61" s="1">
        <v>59</v>
      </c>
      <c r="B61" s="3">
        <v>59</v>
      </c>
      <c r="C61" s="3" t="s">
        <v>79</v>
      </c>
      <c r="D61" s="67" t="s">
        <v>1289</v>
      </c>
      <c r="E61" s="2"/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94">
        <v>0</v>
      </c>
      <c r="T61" s="43">
        <v>0</v>
      </c>
      <c r="U61" s="43">
        <v>0</v>
      </c>
      <c r="V61" s="43">
        <v>0</v>
      </c>
    </row>
    <row r="62" spans="1:37">
      <c r="A62" s="1">
        <v>60</v>
      </c>
      <c r="B62" s="3">
        <v>60</v>
      </c>
      <c r="C62" s="3" t="s">
        <v>36</v>
      </c>
      <c r="D62" s="54" t="s">
        <v>37</v>
      </c>
      <c r="E62" s="3" t="s">
        <v>38</v>
      </c>
      <c r="F62" s="3">
        <v>12</v>
      </c>
      <c r="G62" s="3">
        <v>556</v>
      </c>
      <c r="H62" s="3">
        <v>15582</v>
      </c>
      <c r="I62" s="3">
        <v>9723</v>
      </c>
      <c r="J62" s="3">
        <v>1321</v>
      </c>
      <c r="K62" s="3">
        <v>2641</v>
      </c>
      <c r="L62" s="3">
        <v>0.434</v>
      </c>
      <c r="M62" s="3">
        <v>0.36299999999999999</v>
      </c>
      <c r="N62" s="3">
        <v>0.872</v>
      </c>
      <c r="O62" s="3">
        <v>28</v>
      </c>
      <c r="P62" s="3">
        <v>17.5</v>
      </c>
      <c r="Q62" s="3">
        <v>2.4</v>
      </c>
      <c r="R62" s="3">
        <v>4.8</v>
      </c>
      <c r="S62" s="92">
        <v>45.3</v>
      </c>
      <c r="T62" s="3">
        <v>0.14000000000000001</v>
      </c>
      <c r="U62" s="3">
        <v>2.1</v>
      </c>
      <c r="V62" s="3">
        <v>16.100000000000001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1290</v>
      </c>
      <c r="E65" s="3" t="s">
        <v>570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1291</v>
      </c>
      <c r="E66" s="3" t="s">
        <v>570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1292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1293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1294</v>
      </c>
      <c r="E69" s="3" t="s">
        <v>570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2"/>
      <c r="AH69" s="3"/>
      <c r="AI69" s="3"/>
      <c r="AJ69" s="3"/>
      <c r="AK69" s="3"/>
    </row>
    <row r="70" spans="4:37">
      <c r="D70" s="3" t="s">
        <v>1295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</sheetData>
  <conditionalFormatting sqref="G1:G62">
    <cfRule type="cellIs" dxfId="10" priority="1" operator="greaterThan">
      <formula>82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BF5E-B0F9-DF49-91D9-9E3BD53C4BF4}">
  <dimension ref="A1:AK72"/>
  <sheetViews>
    <sheetView zoomScale="132" workbookViewId="0">
      <pane ySplit="1" topLeftCell="A35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3.5" bestFit="1" customWidth="1"/>
    <col min="5" max="5" width="13" bestFit="1" customWidth="1"/>
    <col min="6" max="6" width="3.375" bestFit="1" customWidth="1"/>
    <col min="7" max="7" width="3.625" bestFit="1" customWidth="1"/>
    <col min="8" max="9" width="5.375" bestFit="1" customWidth="1"/>
    <col min="10" max="11" width="4.5" bestFit="1" customWidth="1"/>
    <col min="12" max="14" width="5.375" bestFit="1" customWidth="1"/>
    <col min="15" max="17" width="4.5" bestFit="1" customWidth="1"/>
    <col min="18" max="18" width="3.875" bestFit="1" customWidth="1"/>
    <col min="19" max="19" width="4.5" bestFit="1" customWidth="1"/>
    <col min="20" max="20" width="5.875" bestFit="1" customWidth="1"/>
    <col min="21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69</v>
      </c>
      <c r="D2" s="3" t="s">
        <v>1296</v>
      </c>
      <c r="E2" s="3" t="s">
        <v>173</v>
      </c>
      <c r="F2" s="3">
        <v>11</v>
      </c>
      <c r="G2" s="3">
        <v>647</v>
      </c>
      <c r="H2" s="3">
        <v>22588</v>
      </c>
      <c r="I2" s="3">
        <v>12088</v>
      </c>
      <c r="J2" s="3">
        <v>2704</v>
      </c>
      <c r="K2" s="3">
        <v>5735</v>
      </c>
      <c r="L2" s="3">
        <v>0.43</v>
      </c>
      <c r="M2" s="3">
        <v>0.32200000000000001</v>
      </c>
      <c r="N2" s="3">
        <v>0.77600000000000002</v>
      </c>
      <c r="O2" s="3">
        <v>34.9</v>
      </c>
      <c r="P2" s="3">
        <v>18.7</v>
      </c>
      <c r="Q2" s="3">
        <v>4.2</v>
      </c>
      <c r="R2" s="3">
        <v>8.9</v>
      </c>
      <c r="S2" s="3">
        <v>44.5</v>
      </c>
      <c r="T2" s="3">
        <v>9.4E-2</v>
      </c>
      <c r="U2" s="3">
        <v>2.2000000000000002</v>
      </c>
      <c r="V2" s="3">
        <v>24.1</v>
      </c>
    </row>
    <row r="3" spans="1:22" hidden="1">
      <c r="A3" s="1">
        <v>2</v>
      </c>
      <c r="B3" s="3">
        <v>2</v>
      </c>
      <c r="C3" s="3" t="s">
        <v>66</v>
      </c>
      <c r="D3" s="3" t="s">
        <v>1297</v>
      </c>
      <c r="E3" s="3" t="s">
        <v>404</v>
      </c>
      <c r="F3" s="3">
        <v>10</v>
      </c>
      <c r="G3" s="3">
        <v>705</v>
      </c>
      <c r="H3" s="3">
        <v>18938</v>
      </c>
      <c r="I3" s="3">
        <v>6824</v>
      </c>
      <c r="J3" s="3">
        <v>3278</v>
      </c>
      <c r="K3" s="3">
        <v>2462</v>
      </c>
      <c r="L3" s="3">
        <v>0.434</v>
      </c>
      <c r="M3" s="3">
        <v>0.29399999999999998</v>
      </c>
      <c r="N3" s="3">
        <v>0.78200000000000003</v>
      </c>
      <c r="O3" s="3">
        <v>26.9</v>
      </c>
      <c r="P3" s="3">
        <v>9.6999999999999993</v>
      </c>
      <c r="Q3" s="3">
        <v>4.5999999999999996</v>
      </c>
      <c r="R3" s="3">
        <v>3.5</v>
      </c>
      <c r="S3" s="3">
        <v>20.2</v>
      </c>
      <c r="T3" s="3">
        <v>5.0999999999999997E-2</v>
      </c>
      <c r="U3" s="3">
        <v>-1.9</v>
      </c>
      <c r="V3" s="3">
        <v>0.5</v>
      </c>
    </row>
    <row r="4" spans="1:22" hidden="1">
      <c r="A4" s="1">
        <v>3</v>
      </c>
      <c r="B4" s="3">
        <v>3</v>
      </c>
      <c r="C4" s="3" t="s">
        <v>1214</v>
      </c>
      <c r="D4" s="3" t="s">
        <v>1298</v>
      </c>
      <c r="E4" s="3" t="s">
        <v>744</v>
      </c>
      <c r="F4" s="3">
        <v>12</v>
      </c>
      <c r="G4" s="3">
        <v>790</v>
      </c>
      <c r="H4" s="3">
        <v>19202</v>
      </c>
      <c r="I4" s="3">
        <v>8354</v>
      </c>
      <c r="J4" s="3">
        <v>5608</v>
      </c>
      <c r="K4" s="3">
        <v>851</v>
      </c>
      <c r="L4" s="3">
        <v>0.53400000000000003</v>
      </c>
      <c r="M4" s="3">
        <v>0.19800000000000001</v>
      </c>
      <c r="N4" s="3">
        <v>0.66300000000000003</v>
      </c>
      <c r="O4" s="3">
        <v>24.3</v>
      </c>
      <c r="P4" s="3">
        <v>10.6</v>
      </c>
      <c r="Q4" s="3">
        <v>7.1</v>
      </c>
      <c r="R4" s="3">
        <v>1.1000000000000001</v>
      </c>
      <c r="S4" s="3">
        <v>60.2</v>
      </c>
      <c r="T4" s="3">
        <v>0.15</v>
      </c>
      <c r="U4" s="3">
        <v>0.9</v>
      </c>
      <c r="V4" s="3">
        <v>14</v>
      </c>
    </row>
    <row r="5" spans="1:22" hidden="1">
      <c r="A5" s="1">
        <v>4</v>
      </c>
      <c r="B5" s="3">
        <v>4</v>
      </c>
      <c r="C5" s="3" t="s">
        <v>135</v>
      </c>
      <c r="D5" s="3" t="s">
        <v>1299</v>
      </c>
      <c r="E5" s="3" t="s">
        <v>68</v>
      </c>
      <c r="F5" s="3">
        <v>9</v>
      </c>
      <c r="G5" s="3">
        <v>609</v>
      </c>
      <c r="H5" s="3">
        <v>13472</v>
      </c>
      <c r="I5" s="3">
        <v>4235</v>
      </c>
      <c r="J5" s="3">
        <v>1924</v>
      </c>
      <c r="K5" s="3">
        <v>645</v>
      </c>
      <c r="L5" s="3">
        <v>0.40400000000000003</v>
      </c>
      <c r="M5" s="3">
        <v>0.33700000000000002</v>
      </c>
      <c r="N5" s="3">
        <v>0.74099999999999999</v>
      </c>
      <c r="O5" s="3">
        <v>22.1</v>
      </c>
      <c r="P5" s="3">
        <v>7</v>
      </c>
      <c r="Q5" s="3">
        <v>3.2</v>
      </c>
      <c r="R5" s="3">
        <v>1.1000000000000001</v>
      </c>
      <c r="S5" s="3">
        <v>10.7</v>
      </c>
      <c r="T5" s="3">
        <v>3.7999999999999999E-2</v>
      </c>
      <c r="U5" s="3">
        <v>-1.6</v>
      </c>
      <c r="V5" s="3">
        <v>1.2</v>
      </c>
    </row>
    <row r="6" spans="1:22" hidden="1">
      <c r="A6" s="1">
        <v>5</v>
      </c>
      <c r="B6" s="3">
        <v>5</v>
      </c>
      <c r="C6" s="3" t="s">
        <v>36</v>
      </c>
      <c r="D6" s="3" t="s">
        <v>1300</v>
      </c>
      <c r="E6" s="3" t="s">
        <v>173</v>
      </c>
      <c r="F6" s="3">
        <v>11</v>
      </c>
      <c r="G6" s="3">
        <v>654</v>
      </c>
      <c r="H6" s="3">
        <v>19508</v>
      </c>
      <c r="I6" s="3">
        <v>12802</v>
      </c>
      <c r="J6" s="3">
        <v>6664</v>
      </c>
      <c r="K6" s="3">
        <v>1979</v>
      </c>
      <c r="L6" s="3">
        <v>0.46</v>
      </c>
      <c r="M6" s="3">
        <v>0.33100000000000002</v>
      </c>
      <c r="N6" s="3">
        <v>0.73699999999999999</v>
      </c>
      <c r="O6" s="3">
        <v>29.8</v>
      </c>
      <c r="P6" s="3">
        <v>19.600000000000001</v>
      </c>
      <c r="Q6" s="3">
        <v>10.199999999999999</v>
      </c>
      <c r="R6" s="3">
        <v>3</v>
      </c>
      <c r="S6" s="3">
        <v>46.8</v>
      </c>
      <c r="T6" s="3">
        <v>0.115</v>
      </c>
      <c r="U6" s="3">
        <v>2.4</v>
      </c>
      <c r="V6" s="3">
        <v>21.6</v>
      </c>
    </row>
    <row r="7" spans="1:22" hidden="1">
      <c r="A7" s="1">
        <v>6</v>
      </c>
      <c r="B7" s="3">
        <v>6</v>
      </c>
      <c r="C7" s="3" t="s">
        <v>25</v>
      </c>
      <c r="D7" s="3" t="s">
        <v>1301</v>
      </c>
      <c r="E7" s="3" t="s">
        <v>208</v>
      </c>
      <c r="F7" s="3">
        <v>7</v>
      </c>
      <c r="G7" s="3">
        <v>384</v>
      </c>
      <c r="H7" s="3">
        <v>5694</v>
      </c>
      <c r="I7" s="3">
        <v>1353</v>
      </c>
      <c r="J7" s="3">
        <v>1100</v>
      </c>
      <c r="K7" s="3">
        <v>260</v>
      </c>
      <c r="L7" s="3">
        <v>0.45300000000000001</v>
      </c>
      <c r="M7" s="3">
        <v>0</v>
      </c>
      <c r="N7" s="3">
        <v>0.71799999999999997</v>
      </c>
      <c r="O7" s="3">
        <v>14.8</v>
      </c>
      <c r="P7" s="3">
        <v>3.5</v>
      </c>
      <c r="Q7" s="3">
        <v>2.9</v>
      </c>
      <c r="R7" s="3">
        <v>0.7</v>
      </c>
      <c r="S7" s="3">
        <v>10.4</v>
      </c>
      <c r="T7" s="3">
        <v>8.7999999999999995E-2</v>
      </c>
      <c r="U7" s="3">
        <v>-1.4</v>
      </c>
      <c r="V7" s="3">
        <v>0.8</v>
      </c>
    </row>
    <row r="8" spans="1:22" hidden="1">
      <c r="A8" s="1">
        <v>7</v>
      </c>
      <c r="B8" s="3">
        <v>7</v>
      </c>
      <c r="C8" s="3" t="s">
        <v>34</v>
      </c>
      <c r="D8" s="3" t="s">
        <v>1302</v>
      </c>
      <c r="E8" s="3" t="s">
        <v>1094</v>
      </c>
      <c r="F8" s="3">
        <v>10</v>
      </c>
      <c r="G8" s="3">
        <v>646</v>
      </c>
      <c r="H8" s="3">
        <v>17670</v>
      </c>
      <c r="I8" s="3">
        <v>8402</v>
      </c>
      <c r="J8" s="3">
        <v>5293</v>
      </c>
      <c r="K8" s="3">
        <v>1376</v>
      </c>
      <c r="L8" s="3">
        <v>0.51400000000000001</v>
      </c>
      <c r="M8" s="3">
        <v>5.8999999999999997E-2</v>
      </c>
      <c r="N8" s="3">
        <v>0.70299999999999996</v>
      </c>
      <c r="O8" s="3">
        <v>27.4</v>
      </c>
      <c r="P8" s="3">
        <v>13</v>
      </c>
      <c r="Q8" s="3">
        <v>8.1999999999999993</v>
      </c>
      <c r="R8" s="3">
        <v>2.1</v>
      </c>
      <c r="S8" s="3">
        <v>50.4</v>
      </c>
      <c r="T8" s="3">
        <v>0.13700000000000001</v>
      </c>
      <c r="U8" s="3">
        <v>1.4</v>
      </c>
      <c r="V8" s="3">
        <v>15.3</v>
      </c>
    </row>
    <row r="9" spans="1:22" hidden="1">
      <c r="A9" s="1">
        <v>8</v>
      </c>
      <c r="B9" s="3">
        <v>8</v>
      </c>
      <c r="C9" s="3" t="s">
        <v>28</v>
      </c>
      <c r="D9" s="3" t="s">
        <v>1303</v>
      </c>
      <c r="E9" s="3" t="s">
        <v>463</v>
      </c>
      <c r="F9" s="3">
        <v>11</v>
      </c>
      <c r="G9" s="3">
        <v>711</v>
      </c>
      <c r="H9" s="3">
        <v>17698</v>
      </c>
      <c r="I9" s="3">
        <v>5350</v>
      </c>
      <c r="J9" s="3">
        <v>4280</v>
      </c>
      <c r="K9" s="3">
        <v>879</v>
      </c>
      <c r="L9" s="3">
        <v>0.42</v>
      </c>
      <c r="M9" s="3">
        <v>0.33200000000000002</v>
      </c>
      <c r="N9" s="3">
        <v>0.746</v>
      </c>
      <c r="O9" s="3">
        <v>24.9</v>
      </c>
      <c r="P9" s="3">
        <v>7.5</v>
      </c>
      <c r="Q9" s="3">
        <v>6</v>
      </c>
      <c r="R9" s="3">
        <v>1.2</v>
      </c>
      <c r="S9" s="3">
        <v>27.6</v>
      </c>
      <c r="T9" s="3">
        <v>7.4999999999999997E-2</v>
      </c>
      <c r="U9" s="3">
        <v>-0.6</v>
      </c>
      <c r="V9" s="3">
        <v>6.5</v>
      </c>
    </row>
    <row r="10" spans="1:22" hidden="1">
      <c r="A10" s="1">
        <v>9</v>
      </c>
      <c r="B10" s="3">
        <v>9</v>
      </c>
      <c r="C10" s="3" t="s">
        <v>193</v>
      </c>
      <c r="D10" s="3" t="s">
        <v>1304</v>
      </c>
      <c r="E10" s="3" t="s">
        <v>213</v>
      </c>
      <c r="F10" s="3">
        <v>14</v>
      </c>
      <c r="G10" s="3">
        <v>835</v>
      </c>
      <c r="H10" s="3">
        <v>25654</v>
      </c>
      <c r="I10" s="3">
        <v>12687</v>
      </c>
      <c r="J10" s="3">
        <v>3698</v>
      </c>
      <c r="K10" s="3">
        <v>2940</v>
      </c>
      <c r="L10" s="3">
        <v>0.45500000000000002</v>
      </c>
      <c r="M10" s="3">
        <v>0.37</v>
      </c>
      <c r="N10" s="3">
        <v>0.82199999999999995</v>
      </c>
      <c r="O10" s="3">
        <v>30.7</v>
      </c>
      <c r="P10" s="3">
        <v>15.2</v>
      </c>
      <c r="Q10" s="3">
        <v>4.4000000000000004</v>
      </c>
      <c r="R10" s="3">
        <v>3.5</v>
      </c>
      <c r="S10" s="3">
        <v>63.4</v>
      </c>
      <c r="T10" s="3">
        <v>0.11899999999999999</v>
      </c>
      <c r="U10" s="3">
        <v>1.6</v>
      </c>
      <c r="V10" s="3">
        <v>23</v>
      </c>
    </row>
    <row r="11" spans="1:22" hidden="1">
      <c r="A11" s="1">
        <v>10</v>
      </c>
      <c r="B11" s="3">
        <v>10</v>
      </c>
      <c r="C11" s="3" t="s">
        <v>41</v>
      </c>
      <c r="D11" s="3" t="s">
        <v>1305</v>
      </c>
      <c r="E11" s="3" t="s">
        <v>1306</v>
      </c>
      <c r="F11" s="3">
        <v>15</v>
      </c>
      <c r="G11" s="3">
        <v>901</v>
      </c>
      <c r="H11" s="3">
        <v>30270</v>
      </c>
      <c r="I11" s="3">
        <v>18595</v>
      </c>
      <c r="J11" s="3">
        <v>5644</v>
      </c>
      <c r="K11" s="3">
        <v>3342</v>
      </c>
      <c r="L11" s="3">
        <v>0.44</v>
      </c>
      <c r="M11" s="3">
        <v>0.38400000000000001</v>
      </c>
      <c r="N11" s="3">
        <v>0.85299999999999998</v>
      </c>
      <c r="O11" s="3">
        <v>33.6</v>
      </c>
      <c r="P11" s="3">
        <v>20.6</v>
      </c>
      <c r="Q11" s="3">
        <v>6.3</v>
      </c>
      <c r="R11" s="3">
        <v>3.7</v>
      </c>
      <c r="S11" s="3">
        <v>89.6</v>
      </c>
      <c r="T11" s="3">
        <v>0.14199999999999999</v>
      </c>
      <c r="U11" s="3">
        <v>3.8</v>
      </c>
      <c r="V11" s="3">
        <v>44.1</v>
      </c>
    </row>
    <row r="12" spans="1:22" hidden="1">
      <c r="A12" s="1">
        <v>11</v>
      </c>
      <c r="B12" s="3">
        <v>11</v>
      </c>
      <c r="C12" s="3" t="s">
        <v>1098</v>
      </c>
      <c r="D12" s="3" t="s">
        <v>1307</v>
      </c>
      <c r="E12" s="3" t="s">
        <v>138</v>
      </c>
      <c r="F12" s="3">
        <v>8</v>
      </c>
      <c r="G12" s="3">
        <v>339</v>
      </c>
      <c r="H12" s="3">
        <v>3389</v>
      </c>
      <c r="I12" s="3">
        <v>1050</v>
      </c>
      <c r="J12" s="3">
        <v>1131</v>
      </c>
      <c r="K12" s="3">
        <v>183</v>
      </c>
      <c r="L12" s="3">
        <v>0.52700000000000002</v>
      </c>
      <c r="M12" s="2"/>
      <c r="N12" s="3">
        <v>0.73799999999999999</v>
      </c>
      <c r="O12" s="3">
        <v>10</v>
      </c>
      <c r="P12" s="3">
        <v>3.1</v>
      </c>
      <c r="Q12" s="3">
        <v>3.3</v>
      </c>
      <c r="R12" s="3">
        <v>0.5</v>
      </c>
      <c r="S12" s="3">
        <v>9.6</v>
      </c>
      <c r="T12" s="3">
        <v>0.13500000000000001</v>
      </c>
      <c r="U12" s="3">
        <v>0.1</v>
      </c>
      <c r="V12" s="3">
        <v>1.8</v>
      </c>
    </row>
    <row r="13" spans="1:22" hidden="1">
      <c r="A13" s="1">
        <v>12</v>
      </c>
      <c r="B13" s="3">
        <v>12</v>
      </c>
      <c r="C13" s="3" t="s">
        <v>152</v>
      </c>
      <c r="D13" s="3" t="s">
        <v>1308</v>
      </c>
      <c r="E13" s="3" t="s">
        <v>138</v>
      </c>
      <c r="F13" s="3">
        <v>5</v>
      </c>
      <c r="G13" s="3">
        <v>185</v>
      </c>
      <c r="H13" s="3">
        <v>2905</v>
      </c>
      <c r="I13" s="3">
        <v>1050</v>
      </c>
      <c r="J13" s="3">
        <v>351</v>
      </c>
      <c r="K13" s="3">
        <v>120</v>
      </c>
      <c r="L13" s="3">
        <v>0.40600000000000003</v>
      </c>
      <c r="M13" s="3">
        <v>0.32500000000000001</v>
      </c>
      <c r="N13" s="3">
        <v>0.63500000000000001</v>
      </c>
      <c r="O13" s="3">
        <v>15.7</v>
      </c>
      <c r="P13" s="3">
        <v>5.7</v>
      </c>
      <c r="Q13" s="3">
        <v>1.9</v>
      </c>
      <c r="R13" s="3">
        <v>0.6</v>
      </c>
      <c r="S13" s="3">
        <v>0.8</v>
      </c>
      <c r="T13" s="3">
        <v>1.2999999999999999E-2</v>
      </c>
      <c r="U13" s="3">
        <v>-4.4000000000000004</v>
      </c>
      <c r="V13" s="3">
        <v>-1.7</v>
      </c>
    </row>
    <row r="14" spans="1:22" hidden="1">
      <c r="A14" s="1">
        <v>13</v>
      </c>
      <c r="B14" s="3">
        <v>13</v>
      </c>
      <c r="C14" s="3" t="s">
        <v>163</v>
      </c>
      <c r="D14" s="3" t="s">
        <v>1309</v>
      </c>
      <c r="E14" s="3" t="s">
        <v>78</v>
      </c>
      <c r="F14" s="3">
        <v>12</v>
      </c>
      <c r="G14" s="3">
        <v>722</v>
      </c>
      <c r="H14" s="3">
        <v>13756</v>
      </c>
      <c r="I14" s="3">
        <v>4291</v>
      </c>
      <c r="J14" s="3">
        <v>4616</v>
      </c>
      <c r="K14" s="3">
        <v>539</v>
      </c>
      <c r="L14" s="3">
        <v>0.56699999999999995</v>
      </c>
      <c r="M14" s="3">
        <v>0</v>
      </c>
      <c r="N14" s="3">
        <v>0.58299999999999996</v>
      </c>
      <c r="O14" s="3">
        <v>19.100000000000001</v>
      </c>
      <c r="P14" s="3">
        <v>5.9</v>
      </c>
      <c r="Q14" s="3">
        <v>6.4</v>
      </c>
      <c r="R14" s="3">
        <v>0.7</v>
      </c>
      <c r="S14" s="3">
        <v>43.3</v>
      </c>
      <c r="T14" s="3">
        <v>0.151</v>
      </c>
      <c r="U14" s="3">
        <v>-0.2</v>
      </c>
      <c r="V14" s="3">
        <v>6.2</v>
      </c>
    </row>
    <row r="15" spans="1:22" hidden="1">
      <c r="A15" s="1">
        <v>14</v>
      </c>
      <c r="B15" s="3">
        <v>14</v>
      </c>
      <c r="C15" s="3" t="s">
        <v>52</v>
      </c>
      <c r="D15" s="3" t="s">
        <v>1310</v>
      </c>
      <c r="E15" s="3" t="s">
        <v>173</v>
      </c>
      <c r="F15" s="3">
        <v>11</v>
      </c>
      <c r="G15" s="3">
        <v>719</v>
      </c>
      <c r="H15" s="3">
        <v>14923</v>
      </c>
      <c r="I15" s="3">
        <v>4782</v>
      </c>
      <c r="J15" s="3">
        <v>2799</v>
      </c>
      <c r="K15" s="3">
        <v>736</v>
      </c>
      <c r="L15" s="3">
        <v>0.44700000000000001</v>
      </c>
      <c r="M15" s="3">
        <v>0.36899999999999999</v>
      </c>
      <c r="N15" s="3">
        <v>0.755</v>
      </c>
      <c r="O15" s="3">
        <v>20.8</v>
      </c>
      <c r="P15" s="3">
        <v>6.7</v>
      </c>
      <c r="Q15" s="3">
        <v>3.9</v>
      </c>
      <c r="R15" s="3">
        <v>1</v>
      </c>
      <c r="S15" s="3">
        <v>31.9</v>
      </c>
      <c r="T15" s="3">
        <v>0.10199999999999999</v>
      </c>
      <c r="U15" s="3">
        <v>0</v>
      </c>
      <c r="V15" s="3">
        <v>7.4</v>
      </c>
    </row>
    <row r="16" spans="1:22" hidden="1">
      <c r="A16" s="1">
        <v>15</v>
      </c>
      <c r="B16" s="3">
        <v>15</v>
      </c>
      <c r="C16" s="3" t="s">
        <v>57</v>
      </c>
      <c r="D16" s="3" t="s">
        <v>1311</v>
      </c>
      <c r="E16" s="3" t="s">
        <v>154</v>
      </c>
      <c r="F16" s="3">
        <v>6</v>
      </c>
      <c r="G16" s="3">
        <v>238</v>
      </c>
      <c r="H16" s="3">
        <v>4635</v>
      </c>
      <c r="I16" s="3">
        <v>1520</v>
      </c>
      <c r="J16" s="3">
        <v>1345</v>
      </c>
      <c r="K16" s="3">
        <v>174</v>
      </c>
      <c r="L16" s="3">
        <v>0.48</v>
      </c>
      <c r="M16" s="3">
        <v>0</v>
      </c>
      <c r="N16" s="3">
        <v>0.55300000000000005</v>
      </c>
      <c r="O16" s="3">
        <v>19.5</v>
      </c>
      <c r="P16" s="3">
        <v>6.4</v>
      </c>
      <c r="Q16" s="3">
        <v>5.7</v>
      </c>
      <c r="R16" s="3">
        <v>0.7</v>
      </c>
      <c r="S16" s="3">
        <v>10.3</v>
      </c>
      <c r="T16" s="3">
        <v>0.107</v>
      </c>
      <c r="U16" s="3">
        <v>-1.1000000000000001</v>
      </c>
      <c r="V16" s="3">
        <v>1.1000000000000001</v>
      </c>
    </row>
    <row r="17" spans="1:22" hidden="1">
      <c r="A17" s="1">
        <v>16</v>
      </c>
      <c r="B17" s="3">
        <v>16</v>
      </c>
      <c r="C17" s="3" t="s">
        <v>135</v>
      </c>
      <c r="D17" s="3" t="s">
        <v>1312</v>
      </c>
      <c r="E17" s="3" t="s">
        <v>147</v>
      </c>
      <c r="F17" s="3">
        <v>8</v>
      </c>
      <c r="G17" s="3">
        <v>381</v>
      </c>
      <c r="H17" s="3">
        <v>5332</v>
      </c>
      <c r="I17" s="3">
        <v>1818</v>
      </c>
      <c r="J17" s="3">
        <v>846</v>
      </c>
      <c r="K17" s="3">
        <v>224</v>
      </c>
      <c r="L17" s="3">
        <v>0.40799999999999997</v>
      </c>
      <c r="M17" s="3">
        <v>0.40200000000000002</v>
      </c>
      <c r="N17" s="3">
        <v>0.747</v>
      </c>
      <c r="O17" s="3">
        <v>14</v>
      </c>
      <c r="P17" s="3">
        <v>4.8</v>
      </c>
      <c r="Q17" s="3">
        <v>2.2000000000000002</v>
      </c>
      <c r="R17" s="3">
        <v>0.6</v>
      </c>
      <c r="S17" s="3">
        <v>7.2</v>
      </c>
      <c r="T17" s="3">
        <v>6.5000000000000002E-2</v>
      </c>
      <c r="U17" s="3">
        <v>-2.1</v>
      </c>
      <c r="V17" s="3">
        <v>-0.1</v>
      </c>
    </row>
    <row r="18" spans="1:22" hidden="1">
      <c r="A18" s="1">
        <v>17</v>
      </c>
      <c r="B18" s="3">
        <v>17</v>
      </c>
      <c r="C18" s="3" t="s">
        <v>99</v>
      </c>
      <c r="D18" s="3" t="s">
        <v>1313</v>
      </c>
      <c r="E18" s="2"/>
      <c r="F18" s="3">
        <v>7</v>
      </c>
      <c r="G18" s="3">
        <v>423</v>
      </c>
      <c r="H18" s="3">
        <v>6430</v>
      </c>
      <c r="I18" s="3">
        <v>2516</v>
      </c>
      <c r="J18" s="3">
        <v>1462</v>
      </c>
      <c r="K18" s="3">
        <v>246</v>
      </c>
      <c r="L18" s="3">
        <v>0.48899999999999999</v>
      </c>
      <c r="M18" s="3">
        <v>0</v>
      </c>
      <c r="N18" s="3">
        <v>0.71499999999999997</v>
      </c>
      <c r="O18" s="3">
        <v>15.2</v>
      </c>
      <c r="P18" s="3">
        <v>5.9</v>
      </c>
      <c r="Q18" s="3">
        <v>3.5</v>
      </c>
      <c r="R18" s="3">
        <v>0.6</v>
      </c>
      <c r="S18" s="3">
        <v>5.9</v>
      </c>
      <c r="T18" s="3">
        <v>4.3999999999999997E-2</v>
      </c>
      <c r="U18" s="3">
        <v>-4.3</v>
      </c>
      <c r="V18" s="3">
        <v>-3.6</v>
      </c>
    </row>
    <row r="19" spans="1:22" hidden="1">
      <c r="A19" s="1">
        <v>18</v>
      </c>
      <c r="B19" s="3">
        <v>18</v>
      </c>
      <c r="C19" s="3" t="s">
        <v>82</v>
      </c>
      <c r="D19" s="3" t="s">
        <v>1314</v>
      </c>
      <c r="E19" s="3" t="s">
        <v>173</v>
      </c>
      <c r="F19" s="3">
        <v>12</v>
      </c>
      <c r="G19" s="3">
        <v>756</v>
      </c>
      <c r="H19" s="3">
        <v>21021</v>
      </c>
      <c r="I19" s="3">
        <v>10348</v>
      </c>
      <c r="J19" s="3">
        <v>2937</v>
      </c>
      <c r="K19" s="3">
        <v>3545</v>
      </c>
      <c r="L19" s="3">
        <v>0.45200000000000001</v>
      </c>
      <c r="M19" s="3">
        <v>0.33600000000000002</v>
      </c>
      <c r="N19" s="3">
        <v>0.78400000000000003</v>
      </c>
      <c r="O19" s="3">
        <v>27.8</v>
      </c>
      <c r="P19" s="3">
        <v>13.7</v>
      </c>
      <c r="Q19" s="3">
        <v>3.9</v>
      </c>
      <c r="R19" s="3">
        <v>4.7</v>
      </c>
      <c r="S19" s="3">
        <v>46.1</v>
      </c>
      <c r="T19" s="3">
        <v>0.105</v>
      </c>
      <c r="U19" s="3">
        <v>1.6</v>
      </c>
      <c r="V19" s="3">
        <v>18.8</v>
      </c>
    </row>
    <row r="20" spans="1:22" hidden="1">
      <c r="A20" s="1">
        <v>19</v>
      </c>
      <c r="B20" s="3">
        <v>19</v>
      </c>
      <c r="C20" s="3" t="s">
        <v>190</v>
      </c>
      <c r="D20" s="3" t="s">
        <v>1315</v>
      </c>
      <c r="E20" s="3" t="s">
        <v>530</v>
      </c>
      <c r="F20" s="3">
        <v>12</v>
      </c>
      <c r="G20" s="3">
        <v>660</v>
      </c>
      <c r="H20" s="3">
        <v>18151</v>
      </c>
      <c r="I20" s="3">
        <v>7279</v>
      </c>
      <c r="J20" s="3">
        <v>1863</v>
      </c>
      <c r="K20" s="3">
        <v>1105</v>
      </c>
      <c r="L20" s="3">
        <v>0.434</v>
      </c>
      <c r="M20" s="3">
        <v>0.36499999999999999</v>
      </c>
      <c r="N20" s="3">
        <v>0.78300000000000003</v>
      </c>
      <c r="O20" s="3">
        <v>27.5</v>
      </c>
      <c r="P20" s="3">
        <v>11</v>
      </c>
      <c r="Q20" s="3">
        <v>2.8</v>
      </c>
      <c r="R20" s="3">
        <v>1.7</v>
      </c>
      <c r="S20" s="3">
        <v>17.2</v>
      </c>
      <c r="T20" s="3">
        <v>4.4999999999999998E-2</v>
      </c>
      <c r="U20" s="3">
        <v>-2.4</v>
      </c>
      <c r="V20" s="3">
        <v>-1.8</v>
      </c>
    </row>
    <row r="21" spans="1:22" hidden="1">
      <c r="A21" s="1">
        <v>20</v>
      </c>
      <c r="B21" s="3">
        <v>20</v>
      </c>
      <c r="C21" s="3" t="s">
        <v>79</v>
      </c>
      <c r="D21" s="3" t="s">
        <v>1316</v>
      </c>
      <c r="E21" s="3" t="s">
        <v>511</v>
      </c>
      <c r="F21" s="3">
        <v>5</v>
      </c>
      <c r="G21" s="3">
        <v>247</v>
      </c>
      <c r="H21" s="3">
        <v>4320</v>
      </c>
      <c r="I21" s="3">
        <v>1422</v>
      </c>
      <c r="J21" s="3">
        <v>560</v>
      </c>
      <c r="K21" s="3">
        <v>291</v>
      </c>
      <c r="L21" s="3">
        <v>0.41099999999999998</v>
      </c>
      <c r="M21" s="3">
        <v>0.32100000000000001</v>
      </c>
      <c r="N21" s="3">
        <v>0.755</v>
      </c>
      <c r="O21" s="3">
        <v>17.5</v>
      </c>
      <c r="P21" s="3">
        <v>5.8</v>
      </c>
      <c r="Q21" s="3">
        <v>2.2999999999999998</v>
      </c>
      <c r="R21" s="3">
        <v>1.2</v>
      </c>
      <c r="S21" s="3">
        <v>3.3</v>
      </c>
      <c r="T21" s="3">
        <v>3.6999999999999998E-2</v>
      </c>
      <c r="U21" s="3">
        <v>-2.7</v>
      </c>
      <c r="V21" s="3">
        <v>-0.8</v>
      </c>
    </row>
    <row r="22" spans="1:22" hidden="1">
      <c r="A22" s="1">
        <v>21</v>
      </c>
      <c r="B22" s="3">
        <v>21</v>
      </c>
      <c r="C22" s="3" t="s">
        <v>82</v>
      </c>
      <c r="D22" s="3" t="s">
        <v>1317</v>
      </c>
      <c r="E22" s="3" t="s">
        <v>108</v>
      </c>
      <c r="F22" s="3">
        <v>2</v>
      </c>
      <c r="G22" s="3">
        <v>17</v>
      </c>
      <c r="H22" s="3">
        <v>121</v>
      </c>
      <c r="I22" s="3">
        <v>30</v>
      </c>
      <c r="J22" s="3">
        <v>19</v>
      </c>
      <c r="K22" s="3">
        <v>9</v>
      </c>
      <c r="L22" s="3">
        <v>0.26500000000000001</v>
      </c>
      <c r="M22" s="3">
        <v>0.214</v>
      </c>
      <c r="N22" s="3">
        <v>0.5</v>
      </c>
      <c r="O22" s="3">
        <v>7.1</v>
      </c>
      <c r="P22" s="3">
        <v>1.8</v>
      </c>
      <c r="Q22" s="3">
        <v>1.1000000000000001</v>
      </c>
      <c r="R22" s="3">
        <v>0.5</v>
      </c>
      <c r="S22" s="3">
        <v>-0.2</v>
      </c>
      <c r="T22" s="3">
        <v>-8.8999999999999996E-2</v>
      </c>
      <c r="U22" s="3">
        <v>-9.9</v>
      </c>
      <c r="V22" s="3">
        <v>-0.2</v>
      </c>
    </row>
    <row r="23" spans="1:22" hidden="1">
      <c r="A23" s="1">
        <v>22</v>
      </c>
      <c r="B23" s="3">
        <v>22</v>
      </c>
      <c r="C23" s="3" t="s">
        <v>124</v>
      </c>
      <c r="D23" s="3" t="s">
        <v>1318</v>
      </c>
      <c r="E23" s="3" t="s">
        <v>126</v>
      </c>
      <c r="F23" s="3">
        <v>4</v>
      </c>
      <c r="G23" s="3">
        <v>109</v>
      </c>
      <c r="H23" s="3">
        <v>1470</v>
      </c>
      <c r="I23" s="3">
        <v>537</v>
      </c>
      <c r="J23" s="3">
        <v>161</v>
      </c>
      <c r="K23" s="3">
        <v>94</v>
      </c>
      <c r="L23" s="3">
        <v>0.42099999999999999</v>
      </c>
      <c r="M23" s="3">
        <v>0.31</v>
      </c>
      <c r="N23" s="3">
        <v>0.66900000000000004</v>
      </c>
      <c r="O23" s="3">
        <v>13.5</v>
      </c>
      <c r="P23" s="3">
        <v>4.9000000000000004</v>
      </c>
      <c r="Q23" s="3">
        <v>1.5</v>
      </c>
      <c r="R23" s="3">
        <v>0.9</v>
      </c>
      <c r="S23" s="3">
        <v>0.7</v>
      </c>
      <c r="T23" s="3">
        <v>2.4E-2</v>
      </c>
      <c r="U23" s="3">
        <v>-4.9000000000000004</v>
      </c>
      <c r="V23" s="3">
        <v>-1.1000000000000001</v>
      </c>
    </row>
    <row r="24" spans="1:22" hidden="1">
      <c r="A24" s="1">
        <v>23</v>
      </c>
      <c r="B24" s="3">
        <v>23</v>
      </c>
      <c r="C24" s="3" t="s">
        <v>135</v>
      </c>
      <c r="D24" s="3" t="s">
        <v>1319</v>
      </c>
      <c r="E24" s="3" t="s">
        <v>416</v>
      </c>
      <c r="F24" s="3">
        <v>8</v>
      </c>
      <c r="G24" s="3">
        <v>532</v>
      </c>
      <c r="H24" s="3">
        <v>10872</v>
      </c>
      <c r="I24" s="3">
        <v>3679</v>
      </c>
      <c r="J24" s="3">
        <v>2932</v>
      </c>
      <c r="K24" s="3">
        <v>566</v>
      </c>
      <c r="L24" s="3">
        <v>0.51500000000000001</v>
      </c>
      <c r="M24" s="3">
        <v>0.30499999999999999</v>
      </c>
      <c r="N24" s="3">
        <v>0.63600000000000001</v>
      </c>
      <c r="O24" s="3">
        <v>20.399999999999999</v>
      </c>
      <c r="P24" s="3">
        <v>6.9</v>
      </c>
      <c r="Q24" s="3">
        <v>5.5</v>
      </c>
      <c r="R24" s="3">
        <v>1.1000000000000001</v>
      </c>
      <c r="S24" s="3">
        <v>26.2</v>
      </c>
      <c r="T24" s="3">
        <v>0.11600000000000001</v>
      </c>
      <c r="U24" s="3">
        <v>-0.5</v>
      </c>
      <c r="V24" s="3">
        <v>4.2</v>
      </c>
    </row>
    <row r="25" spans="1:22" hidden="1">
      <c r="A25" s="1">
        <v>24</v>
      </c>
      <c r="B25" s="3">
        <v>24</v>
      </c>
      <c r="C25" s="3" t="s">
        <v>184</v>
      </c>
      <c r="D25" s="3" t="s">
        <v>1320</v>
      </c>
      <c r="E25" s="3" t="s">
        <v>530</v>
      </c>
      <c r="F25" s="3">
        <v>4</v>
      </c>
      <c r="G25" s="3">
        <v>39</v>
      </c>
      <c r="H25" s="3">
        <v>623</v>
      </c>
      <c r="I25" s="3">
        <v>150</v>
      </c>
      <c r="J25" s="3">
        <v>131</v>
      </c>
      <c r="K25" s="3">
        <v>26</v>
      </c>
      <c r="L25" s="3">
        <v>0.41499999999999998</v>
      </c>
      <c r="M25" s="3">
        <v>0</v>
      </c>
      <c r="N25" s="3">
        <v>0.66700000000000004</v>
      </c>
      <c r="O25" s="3">
        <v>16</v>
      </c>
      <c r="P25" s="3">
        <v>3.8</v>
      </c>
      <c r="Q25" s="3">
        <v>3.4</v>
      </c>
      <c r="R25" s="3">
        <v>0.7</v>
      </c>
      <c r="S25" s="3">
        <v>0</v>
      </c>
      <c r="T25" s="3">
        <v>-1E-3</v>
      </c>
      <c r="U25" s="3">
        <v>-3.7</v>
      </c>
      <c r="V25" s="3">
        <v>-0.3</v>
      </c>
    </row>
    <row r="26" spans="1:22" hidden="1">
      <c r="A26" s="1">
        <v>25</v>
      </c>
      <c r="B26" s="3">
        <v>25</v>
      </c>
      <c r="C26" s="3" t="s">
        <v>152</v>
      </c>
      <c r="D26" s="3" t="s">
        <v>1321</v>
      </c>
      <c r="E26" s="3" t="s">
        <v>1322</v>
      </c>
      <c r="F26" s="3">
        <v>3</v>
      </c>
      <c r="G26" s="3">
        <v>80</v>
      </c>
      <c r="H26" s="3">
        <v>741</v>
      </c>
      <c r="I26" s="3">
        <v>246</v>
      </c>
      <c r="J26" s="3">
        <v>114</v>
      </c>
      <c r="K26" s="3">
        <v>144</v>
      </c>
      <c r="L26" s="3">
        <v>0.36599999999999999</v>
      </c>
      <c r="M26" s="3">
        <v>9.5000000000000001E-2</v>
      </c>
      <c r="N26" s="3">
        <v>0.72899999999999998</v>
      </c>
      <c r="O26" s="3">
        <v>9.3000000000000007</v>
      </c>
      <c r="P26" s="3">
        <v>3.1</v>
      </c>
      <c r="Q26" s="3">
        <v>1.4</v>
      </c>
      <c r="R26" s="3">
        <v>1.8</v>
      </c>
      <c r="S26" s="3">
        <v>0.3</v>
      </c>
      <c r="T26" s="3">
        <v>1.7000000000000001E-2</v>
      </c>
      <c r="U26" s="3">
        <v>-2.4</v>
      </c>
      <c r="V26" s="3">
        <v>-0.1</v>
      </c>
    </row>
    <row r="27" spans="1:22" hidden="1">
      <c r="A27" s="1">
        <v>26</v>
      </c>
      <c r="B27" s="3">
        <v>26</v>
      </c>
      <c r="C27" s="3" t="s">
        <v>82</v>
      </c>
      <c r="D27" s="3" t="s">
        <v>1323</v>
      </c>
      <c r="E27" s="3" t="s">
        <v>38</v>
      </c>
      <c r="F27" s="3">
        <v>7</v>
      </c>
      <c r="G27" s="3">
        <v>355</v>
      </c>
      <c r="H27" s="3">
        <v>5530</v>
      </c>
      <c r="I27" s="3">
        <v>1609</v>
      </c>
      <c r="J27" s="3">
        <v>640</v>
      </c>
      <c r="K27" s="3">
        <v>263</v>
      </c>
      <c r="L27" s="3">
        <v>0.42299999999999999</v>
      </c>
      <c r="M27" s="3">
        <v>0.35599999999999998</v>
      </c>
      <c r="N27" s="3">
        <v>0.746</v>
      </c>
      <c r="O27" s="3">
        <v>15.6</v>
      </c>
      <c r="P27" s="3">
        <v>4.5</v>
      </c>
      <c r="Q27" s="3">
        <v>1.8</v>
      </c>
      <c r="R27" s="3">
        <v>0.7</v>
      </c>
      <c r="S27" s="3">
        <v>9.6999999999999993</v>
      </c>
      <c r="T27" s="3">
        <v>8.4000000000000005E-2</v>
      </c>
      <c r="U27" s="3">
        <v>-1.8</v>
      </c>
      <c r="V27" s="3">
        <v>0.3</v>
      </c>
    </row>
    <row r="28" spans="1:22" hidden="1">
      <c r="A28" s="1">
        <v>27</v>
      </c>
      <c r="B28" s="3">
        <v>27</v>
      </c>
      <c r="C28" s="3" t="s">
        <v>1214</v>
      </c>
      <c r="D28" s="3" t="s">
        <v>1324</v>
      </c>
      <c r="E28" s="3" t="s">
        <v>412</v>
      </c>
      <c r="F28" s="3">
        <v>6</v>
      </c>
      <c r="G28" s="3">
        <v>281</v>
      </c>
      <c r="H28" s="3">
        <v>6843</v>
      </c>
      <c r="I28" s="3">
        <v>3432</v>
      </c>
      <c r="J28" s="3">
        <v>703</v>
      </c>
      <c r="K28" s="3">
        <v>883</v>
      </c>
      <c r="L28" s="3">
        <v>0.41099999999999998</v>
      </c>
      <c r="M28" s="3">
        <v>0.317</v>
      </c>
      <c r="N28" s="3">
        <v>0.82599999999999996</v>
      </c>
      <c r="O28" s="3">
        <v>24.4</v>
      </c>
      <c r="P28" s="3">
        <v>12.2</v>
      </c>
      <c r="Q28" s="3">
        <v>2.5</v>
      </c>
      <c r="R28" s="3">
        <v>3.1</v>
      </c>
      <c r="S28" s="3">
        <v>6.3</v>
      </c>
      <c r="T28" s="3">
        <v>4.3999999999999997E-2</v>
      </c>
      <c r="U28" s="3">
        <v>-1.3</v>
      </c>
      <c r="V28" s="3">
        <v>1.3</v>
      </c>
    </row>
    <row r="29" spans="1:22" hidden="1">
      <c r="A29" s="1">
        <v>28</v>
      </c>
      <c r="B29" s="3">
        <v>28</v>
      </c>
      <c r="C29" s="3" t="s">
        <v>152</v>
      </c>
      <c r="D29" s="3" t="s">
        <v>1325</v>
      </c>
      <c r="E29" s="3" t="s">
        <v>89</v>
      </c>
      <c r="F29" s="3">
        <v>7</v>
      </c>
      <c r="G29" s="3">
        <v>401</v>
      </c>
      <c r="H29" s="3">
        <v>9520</v>
      </c>
      <c r="I29" s="3">
        <v>3591</v>
      </c>
      <c r="J29" s="3">
        <v>1021</v>
      </c>
      <c r="K29" s="3">
        <v>1935</v>
      </c>
      <c r="L29" s="3">
        <v>0.41799999999999998</v>
      </c>
      <c r="M29" s="3">
        <v>0.34899999999999998</v>
      </c>
      <c r="N29" s="3">
        <v>0.81699999999999995</v>
      </c>
      <c r="O29" s="3">
        <v>23.7</v>
      </c>
      <c r="P29" s="3">
        <v>9</v>
      </c>
      <c r="Q29" s="3">
        <v>2.5</v>
      </c>
      <c r="R29" s="3">
        <v>4.8</v>
      </c>
      <c r="S29" s="3">
        <v>12.6</v>
      </c>
      <c r="T29" s="3">
        <v>6.4000000000000001E-2</v>
      </c>
      <c r="U29" s="3">
        <v>-1.2</v>
      </c>
      <c r="V29" s="3">
        <v>1.8</v>
      </c>
    </row>
    <row r="30" spans="1:22" hidden="1">
      <c r="A30" s="1">
        <v>29</v>
      </c>
      <c r="B30" s="3">
        <v>29</v>
      </c>
      <c r="C30" s="3" t="s">
        <v>179</v>
      </c>
      <c r="D30" s="3" t="s">
        <v>1326</v>
      </c>
      <c r="E30" s="3" t="s">
        <v>173</v>
      </c>
      <c r="F30" s="3">
        <v>3</v>
      </c>
      <c r="G30" s="3">
        <v>51</v>
      </c>
      <c r="H30" s="3">
        <v>542</v>
      </c>
      <c r="I30" s="3">
        <v>143</v>
      </c>
      <c r="J30" s="3">
        <v>126</v>
      </c>
      <c r="K30" s="3">
        <v>24</v>
      </c>
      <c r="L30" s="3">
        <v>0.48499999999999999</v>
      </c>
      <c r="M30" s="3">
        <v>0</v>
      </c>
      <c r="N30" s="3">
        <v>0.59699999999999998</v>
      </c>
      <c r="O30" s="3">
        <v>10.6</v>
      </c>
      <c r="P30" s="3">
        <v>2.8</v>
      </c>
      <c r="Q30" s="3">
        <v>2.5</v>
      </c>
      <c r="R30" s="3">
        <v>0.5</v>
      </c>
      <c r="S30" s="3">
        <v>1</v>
      </c>
      <c r="T30" s="3">
        <v>9.2999999999999999E-2</v>
      </c>
      <c r="U30" s="3">
        <v>-3.5</v>
      </c>
      <c r="V30" s="3">
        <v>-0.2</v>
      </c>
    </row>
    <row r="31" spans="1:22" hidden="1">
      <c r="A31" s="1">
        <v>30</v>
      </c>
      <c r="B31" s="3">
        <v>30</v>
      </c>
      <c r="C31" s="3" t="s">
        <v>69</v>
      </c>
      <c r="D31" s="3" t="s">
        <v>1327</v>
      </c>
      <c r="E31" s="3" t="s">
        <v>123</v>
      </c>
      <c r="F31" s="3">
        <v>3</v>
      </c>
      <c r="G31" s="3">
        <v>72</v>
      </c>
      <c r="H31" s="3">
        <v>591</v>
      </c>
      <c r="I31" s="3">
        <v>207</v>
      </c>
      <c r="J31" s="3">
        <v>90</v>
      </c>
      <c r="K31" s="3">
        <v>35</v>
      </c>
      <c r="L31" s="3">
        <v>0.34699999999999998</v>
      </c>
      <c r="M31" s="3">
        <v>0.26900000000000002</v>
      </c>
      <c r="N31" s="3">
        <v>0.76700000000000002</v>
      </c>
      <c r="O31" s="3">
        <v>8.1999999999999993</v>
      </c>
      <c r="P31" s="3">
        <v>2.9</v>
      </c>
      <c r="Q31" s="3">
        <v>1.3</v>
      </c>
      <c r="R31" s="3">
        <v>0.5</v>
      </c>
      <c r="S31" s="3">
        <v>0.2</v>
      </c>
      <c r="T31" s="3">
        <v>0.02</v>
      </c>
      <c r="U31" s="3">
        <v>-4.2</v>
      </c>
      <c r="V31" s="3">
        <v>-0.3</v>
      </c>
    </row>
    <row r="32" spans="1:22" s="71" customFormat="1" hidden="1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4">
      <c r="A33" s="1">
        <v>31</v>
      </c>
      <c r="B33" s="3">
        <v>31</v>
      </c>
      <c r="C33" s="3" t="s">
        <v>1214</v>
      </c>
      <c r="D33" s="67" t="s">
        <v>1328</v>
      </c>
      <c r="E33" s="2"/>
      <c r="F33" s="3">
        <v>1</v>
      </c>
      <c r="G33" s="3">
        <v>12</v>
      </c>
      <c r="H33" s="3">
        <v>82</v>
      </c>
      <c r="I33" s="3">
        <v>24</v>
      </c>
      <c r="J33" s="3">
        <v>15</v>
      </c>
      <c r="K33" s="3">
        <v>2</v>
      </c>
      <c r="L33" s="3">
        <v>0.44</v>
      </c>
      <c r="M33" s="3">
        <v>0</v>
      </c>
      <c r="N33" s="3">
        <v>1</v>
      </c>
      <c r="O33" s="3">
        <v>6.8</v>
      </c>
      <c r="P33" s="3">
        <v>2</v>
      </c>
      <c r="Q33" s="3">
        <v>1.3</v>
      </c>
      <c r="R33" s="3">
        <v>0.2</v>
      </c>
      <c r="S33" s="92">
        <v>-0.1</v>
      </c>
      <c r="T33" s="3">
        <v>-4.1000000000000002E-2</v>
      </c>
      <c r="U33" s="3">
        <v>-11.6</v>
      </c>
      <c r="V33" s="3">
        <v>-0.2</v>
      </c>
    </row>
    <row r="34" spans="1:24">
      <c r="A34" s="1">
        <v>32</v>
      </c>
      <c r="B34" s="3">
        <v>32</v>
      </c>
      <c r="C34" s="3" t="s">
        <v>72</v>
      </c>
      <c r="D34" s="67" t="s">
        <v>1329</v>
      </c>
      <c r="E34" s="3" t="s">
        <v>530</v>
      </c>
      <c r="F34" s="3">
        <v>4</v>
      </c>
      <c r="G34" s="3">
        <v>50</v>
      </c>
      <c r="H34" s="3">
        <v>347</v>
      </c>
      <c r="I34" s="3">
        <v>116</v>
      </c>
      <c r="J34" s="3">
        <v>89</v>
      </c>
      <c r="K34" s="3">
        <v>9</v>
      </c>
      <c r="L34" s="3">
        <v>0.45</v>
      </c>
      <c r="M34" s="2"/>
      <c r="N34" s="3">
        <v>0.54500000000000004</v>
      </c>
      <c r="O34" s="3">
        <v>6.9</v>
      </c>
      <c r="P34" s="3">
        <v>2.2999999999999998</v>
      </c>
      <c r="Q34" s="3">
        <v>1.8</v>
      </c>
      <c r="R34" s="3">
        <v>0.2</v>
      </c>
      <c r="S34" s="92">
        <v>0.5</v>
      </c>
      <c r="T34" s="3">
        <v>6.8000000000000005E-2</v>
      </c>
      <c r="U34" s="3">
        <v>-7.7</v>
      </c>
      <c r="V34" s="3">
        <v>-0.5</v>
      </c>
      <c r="X34" s="53" t="s">
        <v>296</v>
      </c>
    </row>
    <row r="35" spans="1:24">
      <c r="A35" s="1">
        <v>33</v>
      </c>
      <c r="B35" s="3">
        <v>33</v>
      </c>
      <c r="C35" s="3" t="s">
        <v>36</v>
      </c>
      <c r="D35" s="72" t="s">
        <v>74</v>
      </c>
      <c r="E35" s="3" t="s">
        <v>75</v>
      </c>
      <c r="F35" s="3">
        <v>10</v>
      </c>
      <c r="G35" s="3">
        <v>511</v>
      </c>
      <c r="H35" s="3">
        <v>12645</v>
      </c>
      <c r="I35" s="3">
        <v>6450</v>
      </c>
      <c r="J35" s="3">
        <v>5523</v>
      </c>
      <c r="K35" s="3">
        <v>327</v>
      </c>
      <c r="L35" s="3">
        <v>0.58599999999999997</v>
      </c>
      <c r="M35" s="3">
        <v>0.308</v>
      </c>
      <c r="N35" s="3">
        <v>0.60499999999999998</v>
      </c>
      <c r="O35" s="3">
        <v>24.7</v>
      </c>
      <c r="P35" s="3">
        <v>12.6</v>
      </c>
      <c r="Q35" s="3">
        <v>10.8</v>
      </c>
      <c r="R35" s="3">
        <v>0.6</v>
      </c>
      <c r="S35" s="92">
        <v>52</v>
      </c>
      <c r="T35" s="3">
        <v>0.19700000000000001</v>
      </c>
      <c r="U35" s="3">
        <v>2.5</v>
      </c>
      <c r="V35" s="3">
        <v>14.5</v>
      </c>
      <c r="X35" s="54" t="s">
        <v>298</v>
      </c>
    </row>
    <row r="36" spans="1:24">
      <c r="A36" s="1">
        <v>34</v>
      </c>
      <c r="B36" s="3">
        <v>34</v>
      </c>
      <c r="C36" s="3" t="s">
        <v>124</v>
      </c>
      <c r="D36" s="67" t="s">
        <v>1330</v>
      </c>
      <c r="E36" s="3" t="s">
        <v>147</v>
      </c>
      <c r="F36" s="3">
        <v>2</v>
      </c>
      <c r="G36" s="3">
        <v>47</v>
      </c>
      <c r="H36" s="3">
        <v>401</v>
      </c>
      <c r="I36" s="3">
        <v>157</v>
      </c>
      <c r="J36" s="3">
        <v>49</v>
      </c>
      <c r="K36" s="3">
        <v>56</v>
      </c>
      <c r="L36" s="3">
        <v>0.45800000000000002</v>
      </c>
      <c r="M36" s="3">
        <v>0.4</v>
      </c>
      <c r="N36" s="3">
        <v>0.67900000000000005</v>
      </c>
      <c r="O36" s="3">
        <v>8.5</v>
      </c>
      <c r="P36" s="3">
        <v>3.3</v>
      </c>
      <c r="Q36" s="3">
        <v>1</v>
      </c>
      <c r="R36" s="3">
        <v>1.2</v>
      </c>
      <c r="S36" s="92">
        <v>-0.1</v>
      </c>
      <c r="T36" s="3">
        <v>-1.4999999999999999E-2</v>
      </c>
      <c r="U36" s="3">
        <v>-4.0999999999999996</v>
      </c>
      <c r="V36" s="3">
        <v>-0.2</v>
      </c>
      <c r="X36" s="58" t="s">
        <v>39</v>
      </c>
    </row>
    <row r="37" spans="1:24">
      <c r="A37" s="1">
        <v>35</v>
      </c>
      <c r="B37" s="3">
        <v>35</v>
      </c>
      <c r="C37" s="3" t="s">
        <v>69</v>
      </c>
      <c r="D37" s="81" t="s">
        <v>129</v>
      </c>
      <c r="E37" s="2"/>
      <c r="F37" s="3">
        <v>7</v>
      </c>
      <c r="G37" s="3">
        <v>449</v>
      </c>
      <c r="H37" s="3">
        <v>9173</v>
      </c>
      <c r="I37" s="3">
        <v>3412</v>
      </c>
      <c r="J37" s="3">
        <v>2051</v>
      </c>
      <c r="K37" s="3">
        <v>826</v>
      </c>
      <c r="L37" s="3">
        <v>0.46600000000000003</v>
      </c>
      <c r="M37" s="3">
        <v>0.38400000000000001</v>
      </c>
      <c r="N37" s="3">
        <v>0.75900000000000001</v>
      </c>
      <c r="O37" s="3">
        <v>20.399999999999999</v>
      </c>
      <c r="P37" s="3">
        <v>7.6</v>
      </c>
      <c r="Q37" s="3">
        <v>4.5999999999999996</v>
      </c>
      <c r="R37" s="3">
        <v>1.8</v>
      </c>
      <c r="S37" s="92">
        <v>20</v>
      </c>
      <c r="T37" s="3">
        <v>0.104</v>
      </c>
      <c r="U37" s="3">
        <v>0.3</v>
      </c>
      <c r="V37" s="3">
        <v>5.4</v>
      </c>
      <c r="X37" s="59" t="s">
        <v>106</v>
      </c>
    </row>
    <row r="38" spans="1:24">
      <c r="A38" s="1">
        <v>36</v>
      </c>
      <c r="B38" s="3">
        <v>36</v>
      </c>
      <c r="C38" s="3" t="s">
        <v>34</v>
      </c>
      <c r="D38" s="67" t="s">
        <v>1331</v>
      </c>
      <c r="E38" s="3" t="s">
        <v>1332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93">
        <v>0</v>
      </c>
      <c r="T38" s="2">
        <v>0</v>
      </c>
      <c r="U38" s="2">
        <v>0</v>
      </c>
      <c r="V38" s="2">
        <v>0</v>
      </c>
      <c r="X38" s="60" t="s">
        <v>678</v>
      </c>
    </row>
    <row r="39" spans="1:24">
      <c r="A39" s="1">
        <v>37</v>
      </c>
      <c r="B39" s="3">
        <v>37</v>
      </c>
      <c r="C39" s="3" t="s">
        <v>57</v>
      </c>
      <c r="D39" s="67" t="s">
        <v>1333</v>
      </c>
      <c r="E39" s="3" t="s">
        <v>1066</v>
      </c>
      <c r="F39" s="3">
        <v>1</v>
      </c>
      <c r="G39" s="3">
        <v>5</v>
      </c>
      <c r="H39" s="3">
        <v>39</v>
      </c>
      <c r="I39" s="3">
        <v>4</v>
      </c>
      <c r="J39" s="3">
        <v>3</v>
      </c>
      <c r="K39" s="3">
        <v>6</v>
      </c>
      <c r="L39" s="3">
        <v>0.154</v>
      </c>
      <c r="M39" s="3">
        <v>0</v>
      </c>
      <c r="N39" s="2">
        <v>0</v>
      </c>
      <c r="O39" s="3">
        <v>7.8</v>
      </c>
      <c r="P39" s="3">
        <v>0.8</v>
      </c>
      <c r="Q39" s="3">
        <v>0.6</v>
      </c>
      <c r="R39" s="3">
        <v>1.2</v>
      </c>
      <c r="S39" s="92">
        <v>-0.2</v>
      </c>
      <c r="T39" s="3">
        <v>-0.22500000000000001</v>
      </c>
      <c r="U39" s="3">
        <v>-13</v>
      </c>
      <c r="V39" s="3">
        <v>-0.1</v>
      </c>
      <c r="X39" s="84" t="s">
        <v>680</v>
      </c>
    </row>
    <row r="40" spans="1:24">
      <c r="A40" s="1">
        <v>38</v>
      </c>
      <c r="B40" s="3">
        <v>38</v>
      </c>
      <c r="C40" s="3" t="s">
        <v>50</v>
      </c>
      <c r="D40" s="67" t="s">
        <v>1334</v>
      </c>
      <c r="E40" s="3" t="s">
        <v>68</v>
      </c>
      <c r="F40" s="3">
        <v>1</v>
      </c>
      <c r="G40" s="3">
        <v>5</v>
      </c>
      <c r="H40" s="3">
        <v>24</v>
      </c>
      <c r="I40" s="3">
        <v>8</v>
      </c>
      <c r="J40" s="3">
        <v>1</v>
      </c>
      <c r="K40" s="3">
        <v>3</v>
      </c>
      <c r="L40" s="3">
        <v>0.42899999999999999</v>
      </c>
      <c r="M40" s="3">
        <v>0.25</v>
      </c>
      <c r="N40" s="3">
        <v>0.5</v>
      </c>
      <c r="O40" s="3">
        <v>4.8</v>
      </c>
      <c r="P40" s="3">
        <v>1.6</v>
      </c>
      <c r="Q40" s="3">
        <v>0.2</v>
      </c>
      <c r="R40" s="3">
        <v>0.6</v>
      </c>
      <c r="S40" s="92">
        <v>-0.2</v>
      </c>
      <c r="T40" s="3">
        <v>-0.314</v>
      </c>
      <c r="U40" s="3">
        <v>-13.2</v>
      </c>
      <c r="V40" s="3">
        <v>-0.1</v>
      </c>
      <c r="X40" s="57" t="s">
        <v>111</v>
      </c>
    </row>
    <row r="41" spans="1:24">
      <c r="A41" s="1">
        <v>39</v>
      </c>
      <c r="B41" s="3">
        <v>39</v>
      </c>
      <c r="C41" s="3" t="s">
        <v>50</v>
      </c>
      <c r="D41" s="83" t="s">
        <v>216</v>
      </c>
      <c r="E41" s="3" t="s">
        <v>121</v>
      </c>
      <c r="F41" s="3">
        <v>5</v>
      </c>
      <c r="G41" s="3">
        <v>255</v>
      </c>
      <c r="H41" s="3">
        <v>6010</v>
      </c>
      <c r="I41" s="3">
        <v>1731</v>
      </c>
      <c r="J41" s="3">
        <v>1092</v>
      </c>
      <c r="K41" s="3">
        <v>419</v>
      </c>
      <c r="L41" s="3">
        <v>0.47299999999999998</v>
      </c>
      <c r="M41" s="3">
        <v>0.33200000000000002</v>
      </c>
      <c r="N41" s="3">
        <v>0.66600000000000004</v>
      </c>
      <c r="O41" s="3">
        <v>23.6</v>
      </c>
      <c r="P41" s="3">
        <v>6.8</v>
      </c>
      <c r="Q41" s="3">
        <v>4.3</v>
      </c>
      <c r="R41" s="3">
        <v>1.6</v>
      </c>
      <c r="S41" s="92">
        <v>10.5</v>
      </c>
      <c r="T41" s="3">
        <v>8.4000000000000005E-2</v>
      </c>
      <c r="U41" s="3">
        <v>-0.3</v>
      </c>
      <c r="V41" s="3">
        <v>2.6</v>
      </c>
    </row>
    <row r="42" spans="1:24">
      <c r="A42" s="1">
        <v>40</v>
      </c>
      <c r="B42" s="3">
        <v>40</v>
      </c>
      <c r="C42" s="3" t="s">
        <v>41</v>
      </c>
      <c r="D42" s="81" t="s">
        <v>130</v>
      </c>
      <c r="E42" s="3" t="s">
        <v>131</v>
      </c>
      <c r="F42" s="3">
        <v>10</v>
      </c>
      <c r="G42" s="3">
        <v>554</v>
      </c>
      <c r="H42" s="3">
        <v>12680</v>
      </c>
      <c r="I42" s="3">
        <v>4738</v>
      </c>
      <c r="J42" s="3">
        <v>2251</v>
      </c>
      <c r="K42" s="3">
        <v>1621</v>
      </c>
      <c r="L42" s="3">
        <v>0.44500000000000001</v>
      </c>
      <c r="M42" s="3">
        <v>0.314</v>
      </c>
      <c r="N42" s="3">
        <v>0.69399999999999995</v>
      </c>
      <c r="O42" s="3">
        <v>22.9</v>
      </c>
      <c r="P42" s="3">
        <v>8.6</v>
      </c>
      <c r="Q42" s="3">
        <v>4.0999999999999996</v>
      </c>
      <c r="R42" s="3">
        <v>2.9</v>
      </c>
      <c r="S42" s="92">
        <v>17.5</v>
      </c>
      <c r="T42" s="3">
        <v>6.6000000000000003E-2</v>
      </c>
      <c r="U42" s="3">
        <v>-1.3</v>
      </c>
      <c r="V42" s="3">
        <v>2.2999999999999998</v>
      </c>
    </row>
    <row r="43" spans="1:24">
      <c r="A43" s="1">
        <v>41</v>
      </c>
      <c r="B43" s="3">
        <v>41</v>
      </c>
      <c r="C43" s="3" t="s">
        <v>72</v>
      </c>
      <c r="D43" s="67" t="s">
        <v>1335</v>
      </c>
      <c r="E43" s="3" t="s">
        <v>619</v>
      </c>
      <c r="F43" s="3">
        <v>2</v>
      </c>
      <c r="G43" s="3">
        <v>37</v>
      </c>
      <c r="H43" s="3">
        <v>397</v>
      </c>
      <c r="I43" s="3">
        <v>107</v>
      </c>
      <c r="J43" s="3">
        <v>72</v>
      </c>
      <c r="K43" s="3">
        <v>16</v>
      </c>
      <c r="L43" s="3">
        <v>0.58199999999999996</v>
      </c>
      <c r="M43" s="2"/>
      <c r="N43" s="3">
        <v>0.51800000000000002</v>
      </c>
      <c r="O43" s="3">
        <v>10.7</v>
      </c>
      <c r="P43" s="3">
        <v>2.9</v>
      </c>
      <c r="Q43" s="3">
        <v>1.9</v>
      </c>
      <c r="R43" s="3">
        <v>0.4</v>
      </c>
      <c r="S43" s="92">
        <v>0.7</v>
      </c>
      <c r="T43" s="3">
        <v>8.8999999999999996E-2</v>
      </c>
      <c r="U43" s="3">
        <v>-3.3</v>
      </c>
      <c r="V43" s="3">
        <v>-0.1</v>
      </c>
    </row>
    <row r="44" spans="1:24">
      <c r="A44" s="1">
        <v>42</v>
      </c>
      <c r="B44" s="3">
        <v>42</v>
      </c>
      <c r="C44" s="3" t="s">
        <v>72</v>
      </c>
      <c r="D44" s="67" t="s">
        <v>1336</v>
      </c>
      <c r="E44" s="3" t="s">
        <v>87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94">
        <v>0</v>
      </c>
      <c r="T44" s="43">
        <v>0</v>
      </c>
      <c r="U44" s="43">
        <v>0</v>
      </c>
      <c r="V44" s="43">
        <v>0</v>
      </c>
    </row>
    <row r="45" spans="1:24">
      <c r="A45" s="1">
        <v>43</v>
      </c>
      <c r="B45" s="3">
        <v>43</v>
      </c>
      <c r="C45" s="3" t="s">
        <v>31</v>
      </c>
      <c r="D45" s="67" t="s">
        <v>1337</v>
      </c>
      <c r="E45" s="3" t="s">
        <v>87</v>
      </c>
      <c r="F45" s="3">
        <v>3</v>
      </c>
      <c r="G45" s="3">
        <v>63</v>
      </c>
      <c r="H45" s="3">
        <v>711</v>
      </c>
      <c r="I45" s="3">
        <v>224</v>
      </c>
      <c r="J45" s="3">
        <v>122</v>
      </c>
      <c r="K45" s="3">
        <v>24</v>
      </c>
      <c r="L45" s="3">
        <v>0.38500000000000001</v>
      </c>
      <c r="M45" s="3">
        <v>0.222</v>
      </c>
      <c r="N45" s="3">
        <v>0.72199999999999998</v>
      </c>
      <c r="O45" s="3">
        <v>11.3</v>
      </c>
      <c r="P45" s="3">
        <v>3.6</v>
      </c>
      <c r="Q45" s="3">
        <v>1.9</v>
      </c>
      <c r="R45" s="3">
        <v>0.4</v>
      </c>
      <c r="S45" s="92">
        <v>0.5</v>
      </c>
      <c r="T45" s="3">
        <v>3.5000000000000003E-2</v>
      </c>
      <c r="U45" s="3">
        <v>-4.8</v>
      </c>
      <c r="V45" s="3">
        <v>-0.5</v>
      </c>
    </row>
    <row r="46" spans="1:24">
      <c r="A46" s="1">
        <v>44</v>
      </c>
      <c r="B46" s="3">
        <v>44</v>
      </c>
      <c r="C46" s="3" t="s">
        <v>57</v>
      </c>
      <c r="D46" s="67" t="s">
        <v>1338</v>
      </c>
      <c r="E46" s="3" t="s">
        <v>1339</v>
      </c>
      <c r="F46" s="3">
        <v>2</v>
      </c>
      <c r="G46" s="3">
        <v>65</v>
      </c>
      <c r="H46" s="3">
        <v>491</v>
      </c>
      <c r="I46" s="3">
        <v>180</v>
      </c>
      <c r="J46" s="3">
        <v>132</v>
      </c>
      <c r="K46" s="3">
        <v>17</v>
      </c>
      <c r="L46" s="3">
        <v>0.52800000000000002</v>
      </c>
      <c r="M46" s="2"/>
      <c r="N46" s="3">
        <v>0.85199999999999998</v>
      </c>
      <c r="O46" s="3">
        <v>7.6</v>
      </c>
      <c r="P46" s="3">
        <v>2.8</v>
      </c>
      <c r="Q46" s="3">
        <v>2</v>
      </c>
      <c r="R46" s="3">
        <v>0.3</v>
      </c>
      <c r="S46" s="92">
        <v>1.7</v>
      </c>
      <c r="T46" s="3">
        <v>0.16800000000000001</v>
      </c>
      <c r="U46" s="3">
        <v>-1</v>
      </c>
      <c r="V46" s="3">
        <v>0.1</v>
      </c>
    </row>
    <row r="47" spans="1:24">
      <c r="A47" s="1">
        <v>45</v>
      </c>
      <c r="B47" s="3">
        <v>45</v>
      </c>
      <c r="C47" s="3" t="s">
        <v>135</v>
      </c>
      <c r="D47" s="67" t="s">
        <v>1340</v>
      </c>
      <c r="E47" s="2"/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94">
        <v>0</v>
      </c>
      <c r="T47" s="43">
        <v>0</v>
      </c>
      <c r="U47" s="43">
        <v>0</v>
      </c>
      <c r="V47" s="43">
        <v>0</v>
      </c>
    </row>
    <row r="48" spans="1:24">
      <c r="A48" s="1">
        <v>46</v>
      </c>
      <c r="B48" s="3">
        <v>46</v>
      </c>
      <c r="C48" s="3" t="s">
        <v>323</v>
      </c>
      <c r="D48" s="67" t="s">
        <v>1341</v>
      </c>
      <c r="E48" s="3" t="s">
        <v>744</v>
      </c>
      <c r="F48" s="3">
        <v>1</v>
      </c>
      <c r="G48" s="3">
        <v>1</v>
      </c>
      <c r="H48" s="3">
        <v>2</v>
      </c>
      <c r="I48" s="3">
        <v>0</v>
      </c>
      <c r="J48" s="3">
        <v>0</v>
      </c>
      <c r="K48" s="3">
        <v>0</v>
      </c>
      <c r="L48" s="2"/>
      <c r="M48" s="2"/>
      <c r="N48" s="2"/>
      <c r="O48" s="3">
        <v>2</v>
      </c>
      <c r="P48" s="3">
        <v>0</v>
      </c>
      <c r="Q48" s="3">
        <v>0</v>
      </c>
      <c r="R48" s="3">
        <v>0</v>
      </c>
      <c r="S48" s="92">
        <v>0</v>
      </c>
      <c r="T48" s="3">
        <v>-8.9999999999999993E-3</v>
      </c>
      <c r="U48" s="3">
        <v>-15</v>
      </c>
      <c r="V48" s="3">
        <v>0</v>
      </c>
    </row>
    <row r="49" spans="1:37">
      <c r="A49" s="1">
        <v>47</v>
      </c>
      <c r="B49" s="3">
        <v>47</v>
      </c>
      <c r="C49" s="3" t="s">
        <v>57</v>
      </c>
      <c r="D49" s="67" t="s">
        <v>1342</v>
      </c>
      <c r="E49" s="3" t="s">
        <v>728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94">
        <v>0</v>
      </c>
      <c r="T49" s="43">
        <v>0</v>
      </c>
      <c r="U49" s="43">
        <v>0</v>
      </c>
      <c r="V49" s="43">
        <v>0</v>
      </c>
    </row>
    <row r="50" spans="1:37">
      <c r="A50" s="1">
        <v>48</v>
      </c>
      <c r="B50" s="3">
        <v>48</v>
      </c>
      <c r="C50" s="3" t="s">
        <v>72</v>
      </c>
      <c r="D50" s="67" t="s">
        <v>1343</v>
      </c>
      <c r="E50" s="2"/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94">
        <v>0</v>
      </c>
      <c r="T50" s="43">
        <v>0</v>
      </c>
      <c r="U50" s="43">
        <v>0</v>
      </c>
      <c r="V50" s="43">
        <v>0</v>
      </c>
    </row>
    <row r="51" spans="1:37">
      <c r="A51" s="1">
        <v>49</v>
      </c>
      <c r="B51" s="3">
        <v>49</v>
      </c>
      <c r="C51" s="3" t="s">
        <v>79</v>
      </c>
      <c r="D51" s="67" t="s">
        <v>1344</v>
      </c>
      <c r="E51" s="2"/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94">
        <v>0</v>
      </c>
      <c r="T51" s="43">
        <v>0</v>
      </c>
      <c r="U51" s="43">
        <v>0</v>
      </c>
      <c r="V51" s="43">
        <v>0</v>
      </c>
    </row>
    <row r="52" spans="1:37">
      <c r="A52" s="1">
        <v>50</v>
      </c>
      <c r="B52" s="3">
        <v>50</v>
      </c>
      <c r="C52" s="3" t="s">
        <v>20</v>
      </c>
      <c r="D52" s="67" t="s">
        <v>1345</v>
      </c>
      <c r="E52" s="3" t="s">
        <v>182</v>
      </c>
      <c r="F52" s="3">
        <v>2</v>
      </c>
      <c r="G52" s="3">
        <v>26</v>
      </c>
      <c r="H52" s="3">
        <v>181</v>
      </c>
      <c r="I52" s="3">
        <v>39</v>
      </c>
      <c r="J52" s="3">
        <v>61</v>
      </c>
      <c r="K52" s="3">
        <v>5</v>
      </c>
      <c r="L52" s="3">
        <v>0.314</v>
      </c>
      <c r="M52" s="2"/>
      <c r="N52" s="3">
        <v>0.7</v>
      </c>
      <c r="O52" s="3">
        <v>7</v>
      </c>
      <c r="P52" s="3">
        <v>1.5</v>
      </c>
      <c r="Q52" s="3">
        <v>2.2999999999999998</v>
      </c>
      <c r="R52" s="3">
        <v>0.2</v>
      </c>
      <c r="S52" s="92">
        <v>0</v>
      </c>
      <c r="T52" s="3">
        <v>0.01</v>
      </c>
      <c r="U52" s="3">
        <v>-4.4000000000000004</v>
      </c>
      <c r="V52" s="3">
        <v>-0.1</v>
      </c>
    </row>
    <row r="53" spans="1:37">
      <c r="A53" s="1">
        <v>51</v>
      </c>
      <c r="B53" s="3">
        <v>51</v>
      </c>
      <c r="C53" s="3" t="s">
        <v>82</v>
      </c>
      <c r="D53" s="67" t="s">
        <v>1346</v>
      </c>
      <c r="E53" s="3" t="s">
        <v>1347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94">
        <v>0</v>
      </c>
      <c r="T53" s="43">
        <v>0</v>
      </c>
      <c r="U53" s="43">
        <v>0</v>
      </c>
      <c r="V53" s="43">
        <v>0</v>
      </c>
    </row>
    <row r="54" spans="1:37">
      <c r="A54" s="1">
        <v>52</v>
      </c>
      <c r="B54" s="3">
        <v>52</v>
      </c>
      <c r="C54" s="3" t="s">
        <v>190</v>
      </c>
      <c r="D54" s="67" t="s">
        <v>1348</v>
      </c>
      <c r="E54" s="3" t="s">
        <v>117</v>
      </c>
      <c r="F54" s="3">
        <v>2</v>
      </c>
      <c r="G54" s="3">
        <v>70</v>
      </c>
      <c r="H54" s="3">
        <v>871</v>
      </c>
      <c r="I54" s="3">
        <v>253</v>
      </c>
      <c r="J54" s="3">
        <v>196</v>
      </c>
      <c r="K54" s="3">
        <v>36</v>
      </c>
      <c r="L54" s="3">
        <v>0.376</v>
      </c>
      <c r="M54" s="3">
        <v>0.24099999999999999</v>
      </c>
      <c r="N54" s="3">
        <v>0.73699999999999999</v>
      </c>
      <c r="O54" s="3">
        <v>12.4</v>
      </c>
      <c r="P54" s="3">
        <v>3.6</v>
      </c>
      <c r="Q54" s="3">
        <v>2.8</v>
      </c>
      <c r="R54" s="3">
        <v>0.5</v>
      </c>
      <c r="S54" s="92">
        <v>0.9</v>
      </c>
      <c r="T54" s="3">
        <v>4.8000000000000001E-2</v>
      </c>
      <c r="U54" s="3">
        <v>-3.5</v>
      </c>
      <c r="V54" s="3">
        <v>-0.3</v>
      </c>
    </row>
    <row r="55" spans="1:37">
      <c r="A55" s="1">
        <v>53</v>
      </c>
      <c r="B55" s="3">
        <v>53</v>
      </c>
      <c r="C55" s="3" t="s">
        <v>184</v>
      </c>
      <c r="D55" s="67" t="s">
        <v>1349</v>
      </c>
      <c r="E55" s="2"/>
      <c r="F55" s="3">
        <v>1</v>
      </c>
      <c r="G55" s="3">
        <v>3</v>
      </c>
      <c r="H55" s="3">
        <v>21</v>
      </c>
      <c r="I55" s="3">
        <v>7</v>
      </c>
      <c r="J55" s="3">
        <v>3</v>
      </c>
      <c r="K55" s="3">
        <v>2</v>
      </c>
      <c r="L55" s="3">
        <v>0.33300000000000002</v>
      </c>
      <c r="M55" s="3">
        <v>0</v>
      </c>
      <c r="N55" s="3">
        <v>1</v>
      </c>
      <c r="O55" s="3">
        <v>7</v>
      </c>
      <c r="P55" s="3">
        <v>2.2999999999999998</v>
      </c>
      <c r="Q55" s="3">
        <v>1</v>
      </c>
      <c r="R55" s="3">
        <v>0.7</v>
      </c>
      <c r="S55" s="92">
        <v>0</v>
      </c>
      <c r="T55" s="3">
        <v>-4.7E-2</v>
      </c>
      <c r="U55" s="3">
        <v>-6</v>
      </c>
      <c r="V55" s="3">
        <v>0</v>
      </c>
    </row>
    <row r="56" spans="1:37">
      <c r="A56" s="1">
        <v>54</v>
      </c>
      <c r="B56" s="3">
        <v>54</v>
      </c>
      <c r="C56" s="3" t="s">
        <v>28</v>
      </c>
      <c r="D56" s="67" t="s">
        <v>1350</v>
      </c>
      <c r="E56" s="3" t="s">
        <v>728</v>
      </c>
      <c r="F56" s="3">
        <v>1</v>
      </c>
      <c r="G56" s="3">
        <v>19</v>
      </c>
      <c r="H56" s="3">
        <v>134</v>
      </c>
      <c r="I56" s="3">
        <v>37</v>
      </c>
      <c r="J56" s="3">
        <v>12</v>
      </c>
      <c r="K56" s="3">
        <v>27</v>
      </c>
      <c r="L56" s="3">
        <v>0.371</v>
      </c>
      <c r="M56" s="3">
        <v>0.33300000000000002</v>
      </c>
      <c r="N56" s="3">
        <v>0.75</v>
      </c>
      <c r="O56" s="3">
        <v>7.1</v>
      </c>
      <c r="P56" s="3">
        <v>1.9</v>
      </c>
      <c r="Q56" s="3">
        <v>0.6</v>
      </c>
      <c r="R56" s="3">
        <v>1.4</v>
      </c>
      <c r="S56" s="92">
        <v>0.2</v>
      </c>
      <c r="T56" s="3">
        <v>6.5000000000000002E-2</v>
      </c>
      <c r="U56" s="3">
        <v>-2.7</v>
      </c>
      <c r="V56" s="3">
        <v>0</v>
      </c>
    </row>
    <row r="57" spans="1:37">
      <c r="A57" s="1">
        <v>55</v>
      </c>
      <c r="B57" s="3">
        <v>55</v>
      </c>
      <c r="C57" s="3" t="s">
        <v>193</v>
      </c>
      <c r="D57" s="87" t="s">
        <v>1351</v>
      </c>
      <c r="E57" s="3" t="s">
        <v>561</v>
      </c>
      <c r="F57" s="3">
        <v>7</v>
      </c>
      <c r="G57" s="3">
        <v>250</v>
      </c>
      <c r="H57" s="3">
        <v>2626</v>
      </c>
      <c r="I57" s="3">
        <v>879</v>
      </c>
      <c r="J57" s="3">
        <v>641</v>
      </c>
      <c r="K57" s="3">
        <v>107</v>
      </c>
      <c r="L57" s="3">
        <v>0.56899999999999995</v>
      </c>
      <c r="M57" s="3">
        <v>0.23100000000000001</v>
      </c>
      <c r="N57" s="3">
        <v>0.68700000000000006</v>
      </c>
      <c r="O57" s="3">
        <v>10.5</v>
      </c>
      <c r="P57" s="3">
        <v>3.5</v>
      </c>
      <c r="Q57" s="3">
        <v>2.6</v>
      </c>
      <c r="R57" s="3">
        <v>0.4</v>
      </c>
      <c r="S57" s="92">
        <v>8.1999999999999993</v>
      </c>
      <c r="T57" s="3">
        <v>0.15</v>
      </c>
      <c r="U57" s="3">
        <v>0.9</v>
      </c>
      <c r="V57" s="3">
        <v>1.9</v>
      </c>
    </row>
    <row r="58" spans="1:37">
      <c r="A58" s="1">
        <v>56</v>
      </c>
      <c r="B58" s="3">
        <v>56</v>
      </c>
      <c r="C58" s="3" t="s">
        <v>135</v>
      </c>
      <c r="D58" s="67" t="s">
        <v>1352</v>
      </c>
      <c r="E58" s="3" t="s">
        <v>1353</v>
      </c>
      <c r="F58" s="3">
        <v>3</v>
      </c>
      <c r="G58" s="3">
        <v>33</v>
      </c>
      <c r="H58" s="3">
        <v>157</v>
      </c>
      <c r="I58" s="3">
        <v>20</v>
      </c>
      <c r="J58" s="3">
        <v>25</v>
      </c>
      <c r="K58" s="3">
        <v>3</v>
      </c>
      <c r="L58" s="3">
        <v>0.46700000000000003</v>
      </c>
      <c r="M58" s="2"/>
      <c r="N58" s="3">
        <v>0.46200000000000002</v>
      </c>
      <c r="O58" s="3">
        <v>4.8</v>
      </c>
      <c r="P58" s="3">
        <v>0.6</v>
      </c>
      <c r="Q58" s="3">
        <v>0.8</v>
      </c>
      <c r="R58" s="3">
        <v>0.1</v>
      </c>
      <c r="S58" s="92">
        <v>0</v>
      </c>
      <c r="T58" s="3">
        <v>1.2999999999999999E-2</v>
      </c>
      <c r="U58" s="3">
        <v>-7.3</v>
      </c>
      <c r="V58" s="3">
        <v>-0.2</v>
      </c>
    </row>
    <row r="59" spans="1:37">
      <c r="A59" s="1">
        <v>57</v>
      </c>
      <c r="B59" s="3">
        <v>57</v>
      </c>
      <c r="C59" s="3" t="s">
        <v>41</v>
      </c>
      <c r="D59" s="67" t="s">
        <v>1354</v>
      </c>
      <c r="E59" s="3" t="s">
        <v>182</v>
      </c>
      <c r="F59" s="3">
        <v>1</v>
      </c>
      <c r="G59" s="3">
        <v>5</v>
      </c>
      <c r="H59" s="3">
        <v>17</v>
      </c>
      <c r="I59" s="3">
        <v>8</v>
      </c>
      <c r="J59" s="3">
        <v>2</v>
      </c>
      <c r="K59" s="3">
        <v>0</v>
      </c>
      <c r="L59" s="3">
        <v>0.8</v>
      </c>
      <c r="M59" s="2"/>
      <c r="N59" s="2"/>
      <c r="O59" s="3">
        <v>3.4</v>
      </c>
      <c r="P59" s="3">
        <v>1.6</v>
      </c>
      <c r="Q59" s="3">
        <v>0.4</v>
      </c>
      <c r="R59" s="3">
        <v>0</v>
      </c>
      <c r="S59" s="92">
        <v>0.1</v>
      </c>
      <c r="T59" s="3">
        <v>0.14199999999999999</v>
      </c>
      <c r="U59" s="3">
        <v>-2</v>
      </c>
      <c r="V59" s="3">
        <v>0</v>
      </c>
    </row>
    <row r="60" spans="1:37">
      <c r="A60" s="1">
        <v>58</v>
      </c>
      <c r="B60" s="3">
        <v>58</v>
      </c>
      <c r="C60" s="3" t="s">
        <v>31</v>
      </c>
      <c r="D60" s="67" t="s">
        <v>1355</v>
      </c>
      <c r="E60" s="3" t="s">
        <v>1356</v>
      </c>
      <c r="F60" s="3">
        <v>1</v>
      </c>
      <c r="G60" s="3">
        <v>41</v>
      </c>
      <c r="H60" s="3">
        <v>215</v>
      </c>
      <c r="I60" s="3">
        <v>81</v>
      </c>
      <c r="J60" s="3">
        <v>43</v>
      </c>
      <c r="K60" s="3">
        <v>7</v>
      </c>
      <c r="L60" s="3">
        <v>0.48499999999999999</v>
      </c>
      <c r="M60" s="2"/>
      <c r="N60" s="3">
        <v>0.73899999999999999</v>
      </c>
      <c r="O60" s="3">
        <v>5.2</v>
      </c>
      <c r="P60" s="3">
        <v>2</v>
      </c>
      <c r="Q60" s="3">
        <v>1</v>
      </c>
      <c r="R60" s="3">
        <v>0.2</v>
      </c>
      <c r="S60" s="92">
        <v>0.3</v>
      </c>
      <c r="T60" s="3">
        <v>5.7000000000000002E-2</v>
      </c>
      <c r="U60" s="3">
        <v>-7.1</v>
      </c>
      <c r="V60" s="3">
        <v>-0.3</v>
      </c>
    </row>
    <row r="61" spans="1:37">
      <c r="A61" s="1">
        <v>59</v>
      </c>
      <c r="B61" s="3">
        <v>59</v>
      </c>
      <c r="C61" s="3" t="s">
        <v>179</v>
      </c>
      <c r="D61" s="67" t="s">
        <v>1357</v>
      </c>
      <c r="E61" s="3" t="s">
        <v>300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94">
        <v>0</v>
      </c>
      <c r="T61" s="43">
        <v>0</v>
      </c>
      <c r="U61" s="43">
        <v>0</v>
      </c>
      <c r="V61" s="43">
        <v>0</v>
      </c>
    </row>
    <row r="62" spans="1:37">
      <c r="A62" s="1">
        <v>60</v>
      </c>
      <c r="B62" s="3">
        <v>60</v>
      </c>
      <c r="C62" s="3" t="s">
        <v>323</v>
      </c>
      <c r="D62" s="67" t="s">
        <v>1358</v>
      </c>
      <c r="E62" s="3" t="s">
        <v>103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94">
        <v>0</v>
      </c>
      <c r="T62" s="43">
        <v>0</v>
      </c>
      <c r="U62" s="43">
        <v>0</v>
      </c>
      <c r="V62" s="43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80" t="s">
        <v>1359</v>
      </c>
      <c r="E65" s="3" t="s">
        <v>570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80" t="s">
        <v>1360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1361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1362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 t="s">
        <v>1363</v>
      </c>
      <c r="E69" s="3" t="s">
        <v>506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2"/>
      <c r="AH69" s="3"/>
      <c r="AI69" s="3"/>
      <c r="AJ69" s="3"/>
      <c r="AK69" s="3"/>
    </row>
    <row r="70" spans="4:37">
      <c r="D70" s="3" t="s">
        <v>1364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2"/>
      <c r="AH70" s="3"/>
      <c r="AI70" s="3"/>
      <c r="AJ70" s="3"/>
      <c r="AK70" s="3"/>
    </row>
    <row r="71" spans="4:37">
      <c r="D71" s="3" t="s">
        <v>1365</v>
      </c>
      <c r="E71" s="3" t="s">
        <v>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4:37">
      <c r="D72" s="3" t="s">
        <v>1366</v>
      </c>
      <c r="E72" s="3" t="s">
        <v>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</sheetData>
  <conditionalFormatting sqref="G1:G62">
    <cfRule type="cellIs" dxfId="9" priority="1" operator="greaterThan">
      <formula>82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ACA7-2F16-534E-AF0E-8BEDEF273524}">
  <dimension ref="A1:AK68"/>
  <sheetViews>
    <sheetView zoomScale="114" workbookViewId="0">
      <pane ySplit="1" topLeftCell="A33" activePane="bottomLeft" state="frozen"/>
      <selection pane="bottomLeft" activeCell="B33" sqref="B33:S62"/>
    </sheetView>
  </sheetViews>
  <sheetFormatPr defaultColWidth="8.875" defaultRowHeight="15.95"/>
  <cols>
    <col min="1" max="1" width="3" bestFit="1" customWidth="1"/>
    <col min="2" max="2" width="2.875" bestFit="1" customWidth="1"/>
    <col min="3" max="3" width="4.375" bestFit="1" customWidth="1"/>
    <col min="4" max="4" width="13.875" bestFit="1" customWidth="1"/>
    <col min="5" max="5" width="23" bestFit="1" customWidth="1"/>
    <col min="6" max="6" width="3.375" bestFit="1" customWidth="1"/>
    <col min="7" max="7" width="4.5" bestFit="1" customWidth="1"/>
    <col min="8" max="9" width="5.375" bestFit="1" customWidth="1"/>
    <col min="10" max="11" width="4.5" bestFit="1" customWidth="1"/>
    <col min="12" max="14" width="5.375" bestFit="1" customWidth="1"/>
    <col min="15" max="16" width="4.5" bestFit="1" customWidth="1"/>
    <col min="17" max="17" width="4" bestFit="1" customWidth="1"/>
    <col min="18" max="18" width="3.875" bestFit="1" customWidth="1"/>
    <col min="19" max="19" width="5.375" bestFit="1" customWidth="1"/>
    <col min="20" max="20" width="5.875" bestFit="1" customWidth="1"/>
    <col min="21" max="21" width="4.125" bestFit="1" customWidth="1"/>
    <col min="22" max="22" width="5" bestFit="1" customWidth="1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3">
        <v>1</v>
      </c>
      <c r="C2" s="3" t="s">
        <v>28</v>
      </c>
      <c r="D2" s="3" t="s">
        <v>1367</v>
      </c>
      <c r="E2" s="3" t="s">
        <v>728</v>
      </c>
      <c r="F2" s="3">
        <v>13</v>
      </c>
      <c r="G2" s="3">
        <v>765</v>
      </c>
      <c r="H2" s="3">
        <v>24384</v>
      </c>
      <c r="I2" s="3">
        <v>14513</v>
      </c>
      <c r="J2" s="3">
        <v>6109</v>
      </c>
      <c r="K2" s="3">
        <v>3055</v>
      </c>
      <c r="L2" s="3">
        <v>0.49299999999999999</v>
      </c>
      <c r="M2" s="3">
        <v>0.32800000000000001</v>
      </c>
      <c r="N2" s="3">
        <v>0.69599999999999995</v>
      </c>
      <c r="O2" s="3">
        <v>31.9</v>
      </c>
      <c r="P2" s="3">
        <v>19</v>
      </c>
      <c r="Q2" s="3">
        <v>8</v>
      </c>
      <c r="R2" s="3">
        <v>4</v>
      </c>
      <c r="S2" s="3">
        <v>81.099999999999994</v>
      </c>
      <c r="T2" s="3">
        <v>0.16</v>
      </c>
      <c r="U2" s="3">
        <v>3.3</v>
      </c>
      <c r="V2" s="3">
        <v>32.799999999999997</v>
      </c>
    </row>
    <row r="3" spans="1:22" hidden="1">
      <c r="A3" s="1">
        <v>2</v>
      </c>
      <c r="B3" s="3">
        <v>2</v>
      </c>
      <c r="C3" s="3" t="s">
        <v>152</v>
      </c>
      <c r="D3" s="3" t="s">
        <v>1368</v>
      </c>
      <c r="E3" s="3" t="s">
        <v>300</v>
      </c>
      <c r="F3" s="3">
        <v>5</v>
      </c>
      <c r="G3" s="3">
        <v>224</v>
      </c>
      <c r="H3" s="3">
        <v>2357</v>
      </c>
      <c r="I3" s="3">
        <v>483</v>
      </c>
      <c r="J3" s="3">
        <v>595</v>
      </c>
      <c r="K3" s="3">
        <v>27</v>
      </c>
      <c r="L3" s="3">
        <v>0.56699999999999995</v>
      </c>
      <c r="M3" s="2">
        <v>0</v>
      </c>
      <c r="N3" s="3">
        <v>0.57799999999999996</v>
      </c>
      <c r="O3" s="3">
        <v>10.5</v>
      </c>
      <c r="P3" s="3">
        <v>2.2000000000000002</v>
      </c>
      <c r="Q3" s="3">
        <v>2.7</v>
      </c>
      <c r="R3" s="3">
        <v>0.1</v>
      </c>
      <c r="S3" s="3">
        <v>4.8</v>
      </c>
      <c r="T3" s="3">
        <v>9.9000000000000005E-2</v>
      </c>
      <c r="U3" s="3">
        <v>-2.7</v>
      </c>
      <c r="V3" s="3">
        <v>-0.4</v>
      </c>
    </row>
    <row r="4" spans="1:22" hidden="1">
      <c r="A4" s="1">
        <v>3</v>
      </c>
      <c r="B4" s="3">
        <v>3</v>
      </c>
      <c r="C4" s="3" t="s">
        <v>82</v>
      </c>
      <c r="D4" s="3" t="s">
        <v>1369</v>
      </c>
      <c r="E4" s="3" t="s">
        <v>536</v>
      </c>
      <c r="F4" s="3">
        <v>16</v>
      </c>
      <c r="G4" s="3">
        <v>1121</v>
      </c>
      <c r="H4" s="3">
        <v>38888</v>
      </c>
      <c r="I4" s="3">
        <v>26931</v>
      </c>
      <c r="J4" s="3">
        <v>6295</v>
      </c>
      <c r="K4" s="3">
        <v>8050</v>
      </c>
      <c r="L4" s="3">
        <v>0.439</v>
      </c>
      <c r="M4" s="3">
        <v>0.36299999999999999</v>
      </c>
      <c r="N4" s="3">
        <v>0.86199999999999999</v>
      </c>
      <c r="O4" s="3">
        <v>34.700000000000003</v>
      </c>
      <c r="P4" s="3">
        <v>24</v>
      </c>
      <c r="Q4" s="3">
        <v>5.6</v>
      </c>
      <c r="R4" s="3">
        <v>7.2</v>
      </c>
      <c r="S4" s="3">
        <v>170.5</v>
      </c>
      <c r="T4" s="3">
        <v>0.21099999999999999</v>
      </c>
      <c r="U4" s="3">
        <v>6.4</v>
      </c>
      <c r="V4" s="3">
        <v>82</v>
      </c>
    </row>
    <row r="5" spans="1:22" hidden="1">
      <c r="A5" s="1">
        <v>4</v>
      </c>
      <c r="B5" s="3">
        <v>4</v>
      </c>
      <c r="C5" s="3" t="s">
        <v>36</v>
      </c>
      <c r="D5" s="3" t="s">
        <v>1370</v>
      </c>
      <c r="E5" s="3" t="s">
        <v>126</v>
      </c>
      <c r="F5" s="3">
        <v>10</v>
      </c>
      <c r="G5" s="3">
        <v>594</v>
      </c>
      <c r="H5" s="3">
        <v>18242</v>
      </c>
      <c r="I5" s="3">
        <v>9347</v>
      </c>
      <c r="J5" s="3">
        <v>2720</v>
      </c>
      <c r="K5" s="3">
        <v>2852</v>
      </c>
      <c r="L5" s="3">
        <v>0.44</v>
      </c>
      <c r="M5" s="3">
        <v>0.32300000000000001</v>
      </c>
      <c r="N5" s="3">
        <v>0.75700000000000001</v>
      </c>
      <c r="O5" s="3">
        <v>30.7</v>
      </c>
      <c r="P5" s="3">
        <v>15.7</v>
      </c>
      <c r="Q5" s="3">
        <v>4.5999999999999996</v>
      </c>
      <c r="R5" s="3">
        <v>4.8</v>
      </c>
      <c r="S5" s="3">
        <v>28.4</v>
      </c>
      <c r="T5" s="3">
        <v>7.4999999999999997E-2</v>
      </c>
      <c r="U5" s="3">
        <v>0.8</v>
      </c>
      <c r="V5" s="3">
        <v>13.1</v>
      </c>
    </row>
    <row r="6" spans="1:22" hidden="1">
      <c r="A6" s="1">
        <v>5</v>
      </c>
      <c r="B6" s="3">
        <v>5</v>
      </c>
      <c r="C6" s="3" t="s">
        <v>135</v>
      </c>
      <c r="D6" s="3" t="s">
        <v>1371</v>
      </c>
      <c r="E6" s="2"/>
      <c r="F6" s="3">
        <v>12</v>
      </c>
      <c r="G6" s="3">
        <v>698</v>
      </c>
      <c r="H6" s="3">
        <v>20694</v>
      </c>
      <c r="I6" s="3">
        <v>7570</v>
      </c>
      <c r="J6" s="3">
        <v>2830</v>
      </c>
      <c r="K6" s="3">
        <v>5160</v>
      </c>
      <c r="L6" s="3">
        <v>0.38800000000000001</v>
      </c>
      <c r="M6" s="3">
        <v>0.32400000000000001</v>
      </c>
      <c r="N6" s="3">
        <v>0.84299999999999997</v>
      </c>
      <c r="O6" s="3">
        <v>29.6</v>
      </c>
      <c r="P6" s="3">
        <v>10.8</v>
      </c>
      <c r="Q6" s="3">
        <v>4.0999999999999996</v>
      </c>
      <c r="R6" s="3">
        <v>7.4</v>
      </c>
      <c r="S6" s="3">
        <v>42.3</v>
      </c>
      <c r="T6" s="3">
        <v>9.8000000000000004E-2</v>
      </c>
      <c r="U6" s="3">
        <v>0.5</v>
      </c>
      <c r="V6" s="3">
        <v>13.3</v>
      </c>
    </row>
    <row r="7" spans="1:22" hidden="1">
      <c r="A7" s="1">
        <v>6</v>
      </c>
      <c r="B7" s="3">
        <v>6</v>
      </c>
      <c r="C7" s="3" t="s">
        <v>135</v>
      </c>
      <c r="D7" s="3" t="s">
        <v>1372</v>
      </c>
      <c r="E7" s="3" t="s">
        <v>68</v>
      </c>
      <c r="F7" s="3">
        <v>3</v>
      </c>
      <c r="G7" s="3">
        <v>163</v>
      </c>
      <c r="H7" s="3">
        <v>3738</v>
      </c>
      <c r="I7" s="3">
        <v>1504</v>
      </c>
      <c r="J7" s="3">
        <v>307</v>
      </c>
      <c r="K7" s="3">
        <v>634</v>
      </c>
      <c r="L7" s="3">
        <v>0.4</v>
      </c>
      <c r="M7" s="3">
        <v>0.33800000000000002</v>
      </c>
      <c r="N7" s="3">
        <v>0.80900000000000005</v>
      </c>
      <c r="O7" s="3">
        <v>22.9</v>
      </c>
      <c r="P7" s="3">
        <v>9.1999999999999993</v>
      </c>
      <c r="Q7" s="3">
        <v>1.9</v>
      </c>
      <c r="R7" s="3">
        <v>3.9</v>
      </c>
      <c r="S7" s="3">
        <v>-1.1000000000000001</v>
      </c>
      <c r="T7" s="3">
        <v>-1.4999999999999999E-2</v>
      </c>
      <c r="U7" s="3">
        <v>-4</v>
      </c>
      <c r="V7" s="3">
        <v>-1.9</v>
      </c>
    </row>
    <row r="8" spans="1:22" hidden="1">
      <c r="A8" s="1">
        <v>7</v>
      </c>
      <c r="B8" s="3">
        <v>7</v>
      </c>
      <c r="C8" s="3" t="s">
        <v>25</v>
      </c>
      <c r="D8" s="3" t="s">
        <v>1373</v>
      </c>
      <c r="E8" s="3" t="s">
        <v>1374</v>
      </c>
      <c r="F8" s="3">
        <v>16</v>
      </c>
      <c r="G8" s="3">
        <v>1000</v>
      </c>
      <c r="H8" s="3">
        <v>34134</v>
      </c>
      <c r="I8" s="3">
        <v>24694</v>
      </c>
      <c r="J8" s="3">
        <v>4708</v>
      </c>
      <c r="K8" s="3">
        <v>6387</v>
      </c>
      <c r="L8" s="3">
        <v>0.47099999999999997</v>
      </c>
      <c r="M8" s="3">
        <v>0.42399999999999999</v>
      </c>
      <c r="N8" s="3">
        <v>0.91100000000000003</v>
      </c>
      <c r="O8" s="3">
        <v>34.1</v>
      </c>
      <c r="P8" s="3">
        <v>24.7</v>
      </c>
      <c r="Q8" s="3">
        <v>4.7</v>
      </c>
      <c r="R8" s="3">
        <v>6.4</v>
      </c>
      <c r="S8" s="3">
        <v>139.1</v>
      </c>
      <c r="T8" s="3">
        <v>0.19600000000000001</v>
      </c>
      <c r="U8" s="3">
        <v>6.4</v>
      </c>
      <c r="V8" s="3">
        <v>72.5</v>
      </c>
    </row>
    <row r="9" spans="1:22" hidden="1">
      <c r="A9" s="1">
        <v>8</v>
      </c>
      <c r="B9" s="3">
        <v>8</v>
      </c>
      <c r="C9" s="3" t="s">
        <v>50</v>
      </c>
      <c r="D9" s="3" t="s">
        <v>1375</v>
      </c>
      <c r="E9" s="3" t="s">
        <v>224</v>
      </c>
      <c r="F9" s="3">
        <v>8</v>
      </c>
      <c r="G9" s="3">
        <v>409</v>
      </c>
      <c r="H9" s="3">
        <v>7692</v>
      </c>
      <c r="I9" s="3">
        <v>3232</v>
      </c>
      <c r="J9" s="3">
        <v>2389</v>
      </c>
      <c r="K9" s="3">
        <v>322</v>
      </c>
      <c r="L9" s="3">
        <v>0.497</v>
      </c>
      <c r="M9" s="3">
        <v>0.13600000000000001</v>
      </c>
      <c r="N9" s="3">
        <v>0.69899999999999995</v>
      </c>
      <c r="O9" s="3">
        <v>18.8</v>
      </c>
      <c r="P9" s="3">
        <v>7.9</v>
      </c>
      <c r="Q9" s="3">
        <v>5.8</v>
      </c>
      <c r="R9" s="3">
        <v>0.8</v>
      </c>
      <c r="S9" s="3">
        <v>16.399999999999999</v>
      </c>
      <c r="T9" s="3">
        <v>0.10199999999999999</v>
      </c>
      <c r="U9" s="3">
        <v>-2</v>
      </c>
      <c r="V9" s="3">
        <v>0</v>
      </c>
    </row>
    <row r="10" spans="1:22" hidden="1">
      <c r="A10" s="1">
        <v>9</v>
      </c>
      <c r="B10" s="3">
        <v>9</v>
      </c>
      <c r="C10" s="3" t="s">
        <v>163</v>
      </c>
      <c r="D10" s="3" t="s">
        <v>1376</v>
      </c>
      <c r="E10" s="3" t="s">
        <v>105</v>
      </c>
      <c r="F10" s="3">
        <v>16</v>
      </c>
      <c r="G10" s="3">
        <v>1158</v>
      </c>
      <c r="H10" s="3">
        <v>40178</v>
      </c>
      <c r="I10" s="3">
        <v>24633</v>
      </c>
      <c r="J10" s="3">
        <v>5095</v>
      </c>
      <c r="K10" s="3">
        <v>4703</v>
      </c>
      <c r="L10" s="3">
        <v>0.47</v>
      </c>
      <c r="M10" s="3">
        <v>0.29899999999999999</v>
      </c>
      <c r="N10" s="3">
        <v>0.84199999999999997</v>
      </c>
      <c r="O10" s="3">
        <v>34.700000000000003</v>
      </c>
      <c r="P10" s="3">
        <v>21.3</v>
      </c>
      <c r="Q10" s="3">
        <v>4.4000000000000004</v>
      </c>
      <c r="R10" s="3">
        <v>4.0999999999999996</v>
      </c>
      <c r="S10" s="3">
        <v>105.7</v>
      </c>
      <c r="T10" s="3">
        <v>0.126</v>
      </c>
      <c r="U10" s="3">
        <v>0.9</v>
      </c>
      <c r="V10" s="3">
        <v>28.9</v>
      </c>
    </row>
    <row r="11" spans="1:22" hidden="1">
      <c r="A11" s="1">
        <v>10</v>
      </c>
      <c r="B11" s="3">
        <v>10</v>
      </c>
      <c r="C11" s="3" t="s">
        <v>57</v>
      </c>
      <c r="D11" s="3" t="s">
        <v>1377</v>
      </c>
      <c r="E11" s="2"/>
      <c r="F11" s="3">
        <v>9</v>
      </c>
      <c r="G11" s="3">
        <v>555</v>
      </c>
      <c r="H11" s="3">
        <v>16844</v>
      </c>
      <c r="I11" s="3">
        <v>7801</v>
      </c>
      <c r="J11" s="3">
        <v>1659</v>
      </c>
      <c r="K11" s="3">
        <v>3151</v>
      </c>
      <c r="L11" s="3">
        <v>0.38700000000000001</v>
      </c>
      <c r="M11" s="3">
        <v>0.34499999999999997</v>
      </c>
      <c r="N11" s="3">
        <v>0.79600000000000004</v>
      </c>
      <c r="O11" s="3">
        <v>30.3</v>
      </c>
      <c r="P11" s="3">
        <v>14.1</v>
      </c>
      <c r="Q11" s="3">
        <v>3</v>
      </c>
      <c r="R11" s="3">
        <v>5.7</v>
      </c>
      <c r="S11" s="3">
        <v>29.9</v>
      </c>
      <c r="T11" s="3">
        <v>8.5000000000000006E-2</v>
      </c>
      <c r="U11" s="3">
        <v>0.8</v>
      </c>
      <c r="V11" s="3">
        <v>11.8</v>
      </c>
    </row>
    <row r="12" spans="1:22" hidden="1">
      <c r="A12" s="1">
        <v>11</v>
      </c>
      <c r="B12" s="3">
        <v>11</v>
      </c>
      <c r="C12" s="3" t="s">
        <v>1214</v>
      </c>
      <c r="D12" s="3" t="s">
        <v>1378</v>
      </c>
      <c r="E12" s="3" t="s">
        <v>61</v>
      </c>
      <c r="F12" s="3">
        <v>4</v>
      </c>
      <c r="G12" s="3">
        <v>153</v>
      </c>
      <c r="H12" s="3">
        <v>2922</v>
      </c>
      <c r="I12" s="3">
        <v>1085</v>
      </c>
      <c r="J12" s="3">
        <v>545</v>
      </c>
      <c r="K12" s="3">
        <v>364</v>
      </c>
      <c r="L12" s="3">
        <v>0.41199999999999998</v>
      </c>
      <c r="M12" s="3">
        <v>0.317</v>
      </c>
      <c r="N12" s="3">
        <v>0.65900000000000003</v>
      </c>
      <c r="O12" s="3">
        <v>19.100000000000001</v>
      </c>
      <c r="P12" s="3">
        <v>7.1</v>
      </c>
      <c r="Q12" s="3">
        <v>3.6</v>
      </c>
      <c r="R12" s="3">
        <v>2.4</v>
      </c>
      <c r="S12" s="3">
        <v>-0.2</v>
      </c>
      <c r="T12" s="3">
        <v>-4.0000000000000001E-3</v>
      </c>
      <c r="U12" s="3">
        <v>-2.8</v>
      </c>
      <c r="V12" s="3">
        <v>-0.6</v>
      </c>
    </row>
    <row r="13" spans="1:22" hidden="1">
      <c r="A13" s="1">
        <v>12</v>
      </c>
      <c r="B13" s="3">
        <v>12</v>
      </c>
      <c r="C13" s="3" t="s">
        <v>1095</v>
      </c>
      <c r="D13" s="3" t="s">
        <v>1379</v>
      </c>
      <c r="E13" s="3" t="s">
        <v>171</v>
      </c>
      <c r="F13" s="3">
        <v>8</v>
      </c>
      <c r="G13" s="3">
        <v>535</v>
      </c>
      <c r="H13" s="3">
        <v>13854</v>
      </c>
      <c r="I13" s="3">
        <v>5987</v>
      </c>
      <c r="J13" s="3">
        <v>1716</v>
      </c>
      <c r="K13" s="3">
        <v>1009</v>
      </c>
      <c r="L13" s="3">
        <v>0.44</v>
      </c>
      <c r="M13" s="3">
        <v>0.32700000000000001</v>
      </c>
      <c r="N13" s="3">
        <v>0.79300000000000004</v>
      </c>
      <c r="O13" s="3">
        <v>25.9</v>
      </c>
      <c r="P13" s="3">
        <v>11.2</v>
      </c>
      <c r="Q13" s="3">
        <v>3.2</v>
      </c>
      <c r="R13" s="3">
        <v>1.9</v>
      </c>
      <c r="S13" s="3">
        <v>18.3</v>
      </c>
      <c r="T13" s="3">
        <v>6.3E-2</v>
      </c>
      <c r="U13" s="3">
        <v>-1.8</v>
      </c>
      <c r="V13" s="3">
        <v>0.6</v>
      </c>
    </row>
    <row r="14" spans="1:22" hidden="1">
      <c r="A14" s="1">
        <v>13</v>
      </c>
      <c r="B14" s="3">
        <v>13</v>
      </c>
      <c r="C14" s="3" t="s">
        <v>41</v>
      </c>
      <c r="D14" s="3" t="s">
        <v>1380</v>
      </c>
      <c r="E14" s="3" t="s">
        <v>78</v>
      </c>
      <c r="F14" s="3">
        <v>7</v>
      </c>
      <c r="G14" s="3">
        <v>428</v>
      </c>
      <c r="H14" s="3">
        <v>7233</v>
      </c>
      <c r="I14" s="3">
        <v>2881</v>
      </c>
      <c r="J14" s="3">
        <v>1808</v>
      </c>
      <c r="K14" s="3">
        <v>181</v>
      </c>
      <c r="L14" s="3">
        <v>0.439</v>
      </c>
      <c r="M14" s="3">
        <v>0.13600000000000001</v>
      </c>
      <c r="N14" s="3">
        <v>0.73799999999999999</v>
      </c>
      <c r="O14" s="3">
        <v>16.899999999999999</v>
      </c>
      <c r="P14" s="3">
        <v>6.7</v>
      </c>
      <c r="Q14" s="3">
        <v>4.2</v>
      </c>
      <c r="R14" s="3">
        <v>0.4</v>
      </c>
      <c r="S14" s="3">
        <v>20.2</v>
      </c>
      <c r="T14" s="3">
        <v>0.13400000000000001</v>
      </c>
      <c r="U14" s="3">
        <v>-2</v>
      </c>
      <c r="V14" s="3">
        <v>0</v>
      </c>
    </row>
    <row r="15" spans="1:22" hidden="1">
      <c r="A15" s="1">
        <v>14</v>
      </c>
      <c r="B15" s="3">
        <v>14</v>
      </c>
      <c r="C15" s="3" t="s">
        <v>323</v>
      </c>
      <c r="D15" s="3" t="s">
        <v>1381</v>
      </c>
      <c r="E15" s="3" t="s">
        <v>61</v>
      </c>
      <c r="F15" s="3">
        <v>6</v>
      </c>
      <c r="G15" s="3">
        <v>261</v>
      </c>
      <c r="H15" s="3">
        <v>3630</v>
      </c>
      <c r="I15" s="3">
        <v>1138</v>
      </c>
      <c r="J15" s="3">
        <v>778</v>
      </c>
      <c r="K15" s="3">
        <v>134</v>
      </c>
      <c r="L15" s="3">
        <v>0.40300000000000002</v>
      </c>
      <c r="M15" s="3">
        <v>0.32800000000000001</v>
      </c>
      <c r="N15" s="3">
        <v>0.66400000000000003</v>
      </c>
      <c r="O15" s="3">
        <v>13.9</v>
      </c>
      <c r="P15" s="3">
        <v>4.4000000000000004</v>
      </c>
      <c r="Q15" s="3">
        <v>3</v>
      </c>
      <c r="R15" s="3">
        <v>0.5</v>
      </c>
      <c r="S15" s="3">
        <v>2.9</v>
      </c>
      <c r="T15" s="3">
        <v>3.7999999999999999E-2</v>
      </c>
      <c r="U15" s="3">
        <v>-2.8</v>
      </c>
      <c r="V15" s="3">
        <v>-0.8</v>
      </c>
    </row>
    <row r="16" spans="1:22" hidden="1">
      <c r="A16" s="1">
        <v>15</v>
      </c>
      <c r="B16" s="3">
        <v>15</v>
      </c>
      <c r="C16" s="3" t="s">
        <v>34</v>
      </c>
      <c r="D16" s="3" t="s">
        <v>1382</v>
      </c>
      <c r="E16" s="3" t="s">
        <v>43</v>
      </c>
      <c r="F16" s="3">
        <v>6</v>
      </c>
      <c r="G16" s="3">
        <v>293</v>
      </c>
      <c r="H16" s="3">
        <v>4132</v>
      </c>
      <c r="I16" s="3">
        <v>1522</v>
      </c>
      <c r="J16" s="3">
        <v>764</v>
      </c>
      <c r="K16" s="3">
        <v>212</v>
      </c>
      <c r="L16" s="3">
        <v>0.40200000000000002</v>
      </c>
      <c r="M16" s="3">
        <v>0.35099999999999998</v>
      </c>
      <c r="N16" s="3">
        <v>0.77800000000000002</v>
      </c>
      <c r="O16" s="3">
        <v>14.1</v>
      </c>
      <c r="P16" s="3">
        <v>5.2</v>
      </c>
      <c r="Q16" s="3">
        <v>2.6</v>
      </c>
      <c r="R16" s="3">
        <v>0.7</v>
      </c>
      <c r="S16" s="3">
        <v>4.5</v>
      </c>
      <c r="T16" s="3">
        <v>5.2999999999999999E-2</v>
      </c>
      <c r="U16" s="3">
        <v>-2</v>
      </c>
      <c r="V16" s="3">
        <v>0</v>
      </c>
    </row>
    <row r="17" spans="1:22" hidden="1">
      <c r="A17" s="1">
        <v>16</v>
      </c>
      <c r="B17" s="3">
        <v>16</v>
      </c>
      <c r="C17" s="3" t="s">
        <v>99</v>
      </c>
      <c r="D17" s="3" t="s">
        <v>1383</v>
      </c>
      <c r="E17" s="3" t="s">
        <v>463</v>
      </c>
      <c r="F17" s="3">
        <v>16</v>
      </c>
      <c r="G17" s="3">
        <v>784</v>
      </c>
      <c r="H17" s="3">
        <v>15556</v>
      </c>
      <c r="I17" s="3">
        <v>5830</v>
      </c>
      <c r="J17" s="3">
        <v>2715</v>
      </c>
      <c r="K17" s="3">
        <v>1610</v>
      </c>
      <c r="L17" s="3">
        <v>0.47399999999999998</v>
      </c>
      <c r="M17" s="3">
        <v>0.3</v>
      </c>
      <c r="N17" s="3">
        <v>0.67800000000000005</v>
      </c>
      <c r="O17" s="3">
        <v>19.8</v>
      </c>
      <c r="P17" s="3">
        <v>7.4</v>
      </c>
      <c r="Q17" s="3">
        <v>3.5</v>
      </c>
      <c r="R17" s="3">
        <v>2.1</v>
      </c>
      <c r="S17" s="3">
        <v>27.4</v>
      </c>
      <c r="T17" s="3">
        <v>8.5000000000000006E-2</v>
      </c>
      <c r="U17" s="3">
        <v>0.4</v>
      </c>
      <c r="V17" s="3">
        <v>9.3000000000000007</v>
      </c>
    </row>
    <row r="18" spans="1:22" hidden="1">
      <c r="A18" s="1">
        <v>17</v>
      </c>
      <c r="B18" s="3">
        <v>17</v>
      </c>
      <c r="C18" s="3" t="s">
        <v>66</v>
      </c>
      <c r="D18" s="3" t="s">
        <v>1384</v>
      </c>
      <c r="E18" s="3" t="s">
        <v>63</v>
      </c>
      <c r="F18" s="3">
        <v>16</v>
      </c>
      <c r="G18" s="3">
        <v>1019</v>
      </c>
      <c r="H18" s="3">
        <v>33594</v>
      </c>
      <c r="I18" s="3">
        <v>16219</v>
      </c>
      <c r="J18" s="3">
        <v>4268</v>
      </c>
      <c r="K18" s="3">
        <v>6363</v>
      </c>
      <c r="L18" s="3">
        <v>0.46200000000000002</v>
      </c>
      <c r="M18" s="3">
        <v>0.36899999999999999</v>
      </c>
      <c r="N18" s="3">
        <v>0.78700000000000003</v>
      </c>
      <c r="O18" s="3">
        <v>33</v>
      </c>
      <c r="P18" s="3">
        <v>15.9</v>
      </c>
      <c r="Q18" s="3">
        <v>4.2</v>
      </c>
      <c r="R18" s="3">
        <v>6.2</v>
      </c>
      <c r="S18" s="3">
        <v>72.7</v>
      </c>
      <c r="T18" s="3">
        <v>0.104</v>
      </c>
      <c r="U18" s="3">
        <v>1.6</v>
      </c>
      <c r="V18" s="3">
        <v>30.6</v>
      </c>
    </row>
    <row r="19" spans="1:22" hidden="1">
      <c r="A19" s="1">
        <v>18</v>
      </c>
      <c r="B19" s="3">
        <v>18</v>
      </c>
      <c r="C19" s="3" t="s">
        <v>135</v>
      </c>
      <c r="D19" s="3" t="s">
        <v>1385</v>
      </c>
      <c r="E19" s="3" t="s">
        <v>78</v>
      </c>
      <c r="F19" s="3">
        <v>8</v>
      </c>
      <c r="G19" s="3">
        <v>551</v>
      </c>
      <c r="H19" s="3">
        <v>16088</v>
      </c>
      <c r="I19" s="3">
        <v>6977</v>
      </c>
      <c r="J19" s="3">
        <v>1506</v>
      </c>
      <c r="K19" s="3">
        <v>3316</v>
      </c>
      <c r="L19" s="3">
        <v>0.46</v>
      </c>
      <c r="M19" s="3">
        <v>0.35899999999999999</v>
      </c>
      <c r="N19" s="3">
        <v>0.77</v>
      </c>
      <c r="O19" s="3">
        <v>29.2</v>
      </c>
      <c r="P19" s="3">
        <v>12.7</v>
      </c>
      <c r="Q19" s="3">
        <v>2.7</v>
      </c>
      <c r="R19" s="3">
        <v>6</v>
      </c>
      <c r="S19" s="3">
        <v>42.1</v>
      </c>
      <c r="T19" s="3">
        <v>0.126</v>
      </c>
      <c r="U19" s="3">
        <v>1.4</v>
      </c>
      <c r="V19" s="3">
        <v>13.6</v>
      </c>
    </row>
    <row r="20" spans="1:22" hidden="1">
      <c r="A20" s="1">
        <v>19</v>
      </c>
      <c r="B20" s="3">
        <v>19</v>
      </c>
      <c r="C20" s="3" t="s">
        <v>184</v>
      </c>
      <c r="D20" s="3" t="s">
        <v>1386</v>
      </c>
      <c r="E20" s="3" t="s">
        <v>463</v>
      </c>
      <c r="F20" s="3">
        <v>12</v>
      </c>
      <c r="G20" s="3">
        <v>826</v>
      </c>
      <c r="H20" s="3">
        <v>22164</v>
      </c>
      <c r="I20" s="3">
        <v>10061</v>
      </c>
      <c r="J20" s="3">
        <v>1989</v>
      </c>
      <c r="K20" s="3">
        <v>4585</v>
      </c>
      <c r="L20" s="3">
        <v>0.44400000000000001</v>
      </c>
      <c r="M20" s="3">
        <v>0.36</v>
      </c>
      <c r="N20" s="3">
        <v>0.84399999999999997</v>
      </c>
      <c r="O20" s="3">
        <v>26.8</v>
      </c>
      <c r="P20" s="3">
        <v>12.2</v>
      </c>
      <c r="Q20" s="3">
        <v>2.4</v>
      </c>
      <c r="R20" s="3">
        <v>5.6</v>
      </c>
      <c r="S20" s="3">
        <v>52.4</v>
      </c>
      <c r="T20" s="3">
        <v>0.113</v>
      </c>
      <c r="U20" s="3">
        <v>0.6</v>
      </c>
      <c r="V20" s="3">
        <v>14.3</v>
      </c>
    </row>
    <row r="21" spans="1:22" hidden="1">
      <c r="A21" s="1">
        <v>20</v>
      </c>
      <c r="B21" s="3">
        <v>20</v>
      </c>
      <c r="C21" s="3" t="s">
        <v>193</v>
      </c>
      <c r="D21" s="3" t="s">
        <v>1387</v>
      </c>
      <c r="E21" s="3" t="s">
        <v>154</v>
      </c>
      <c r="F21" s="3">
        <v>5</v>
      </c>
      <c r="G21" s="3">
        <v>267</v>
      </c>
      <c r="H21" s="3">
        <v>3896</v>
      </c>
      <c r="I21" s="3">
        <v>1141</v>
      </c>
      <c r="J21" s="3">
        <v>348</v>
      </c>
      <c r="K21" s="3">
        <v>760</v>
      </c>
      <c r="L21" s="3">
        <v>0.39200000000000002</v>
      </c>
      <c r="M21" s="3">
        <v>0.35</v>
      </c>
      <c r="N21" s="3">
        <v>0.72099999999999997</v>
      </c>
      <c r="O21" s="3">
        <v>14.6</v>
      </c>
      <c r="P21" s="3">
        <v>4.3</v>
      </c>
      <c r="Q21" s="3">
        <v>1.3</v>
      </c>
      <c r="R21" s="3">
        <v>2.8</v>
      </c>
      <c r="S21" s="3">
        <v>3.3</v>
      </c>
      <c r="T21" s="3">
        <v>4.1000000000000002E-2</v>
      </c>
      <c r="U21" s="3">
        <v>-2.9</v>
      </c>
      <c r="V21" s="3">
        <v>-0.8</v>
      </c>
    </row>
    <row r="22" spans="1:22" hidden="1">
      <c r="A22" s="1">
        <v>21</v>
      </c>
      <c r="B22" s="3">
        <v>21</v>
      </c>
      <c r="C22" s="3" t="s">
        <v>1098</v>
      </c>
      <c r="D22" s="3" t="s">
        <v>1388</v>
      </c>
      <c r="E22" s="3" t="s">
        <v>63</v>
      </c>
      <c r="F22" s="3">
        <v>11</v>
      </c>
      <c r="G22" s="3">
        <v>711</v>
      </c>
      <c r="H22" s="3">
        <v>20833</v>
      </c>
      <c r="I22" s="3">
        <v>8861</v>
      </c>
      <c r="J22" s="3">
        <v>1889</v>
      </c>
      <c r="K22" s="3">
        <v>3545</v>
      </c>
      <c r="L22" s="3">
        <v>0.47099999999999997</v>
      </c>
      <c r="M22" s="3">
        <v>0.39400000000000002</v>
      </c>
      <c r="N22" s="3">
        <v>0.85299999999999998</v>
      </c>
      <c r="O22" s="3">
        <v>29.3</v>
      </c>
      <c r="P22" s="3">
        <v>12.5</v>
      </c>
      <c r="Q22" s="3">
        <v>2.7</v>
      </c>
      <c r="R22" s="3">
        <v>5</v>
      </c>
      <c r="S22" s="3">
        <v>49.9</v>
      </c>
      <c r="T22" s="3">
        <v>0.115</v>
      </c>
      <c r="U22" s="3">
        <v>0.5</v>
      </c>
      <c r="V22" s="3">
        <v>13.4</v>
      </c>
    </row>
    <row r="23" spans="1:22" hidden="1">
      <c r="A23" s="1">
        <v>22</v>
      </c>
      <c r="B23" s="3">
        <v>22</v>
      </c>
      <c r="C23" s="3" t="s">
        <v>124</v>
      </c>
      <c r="D23" s="3" t="s">
        <v>1389</v>
      </c>
      <c r="E23" s="2"/>
      <c r="F23" s="3">
        <v>3</v>
      </c>
      <c r="G23" s="3">
        <v>80</v>
      </c>
      <c r="H23" s="3">
        <v>1072</v>
      </c>
      <c r="I23" s="3">
        <v>258</v>
      </c>
      <c r="J23" s="3">
        <v>178</v>
      </c>
      <c r="K23" s="3">
        <v>56</v>
      </c>
      <c r="L23" s="3">
        <v>0.39800000000000002</v>
      </c>
      <c r="M23" s="3">
        <v>0.29299999999999998</v>
      </c>
      <c r="N23" s="3">
        <v>0.58499999999999996</v>
      </c>
      <c r="O23" s="3">
        <v>13.4</v>
      </c>
      <c r="P23" s="3">
        <v>3.2</v>
      </c>
      <c r="Q23" s="3">
        <v>2.2000000000000002</v>
      </c>
      <c r="R23" s="3">
        <v>0.7</v>
      </c>
      <c r="S23" s="3">
        <v>0.2</v>
      </c>
      <c r="T23" s="3">
        <v>1.0999999999999999E-2</v>
      </c>
      <c r="U23" s="3">
        <v>-3.6</v>
      </c>
      <c r="V23" s="3">
        <v>-0.4</v>
      </c>
    </row>
    <row r="24" spans="1:22" hidden="1">
      <c r="A24" s="1">
        <v>23</v>
      </c>
      <c r="B24" s="3">
        <v>23</v>
      </c>
      <c r="C24" s="3" t="s">
        <v>36</v>
      </c>
      <c r="D24" s="3" t="s">
        <v>1390</v>
      </c>
      <c r="E24" s="2"/>
      <c r="F24" s="3">
        <v>10</v>
      </c>
      <c r="G24" s="3">
        <v>588</v>
      </c>
      <c r="H24" s="3">
        <v>11959</v>
      </c>
      <c r="I24" s="3">
        <v>4642</v>
      </c>
      <c r="J24" s="3">
        <v>2355</v>
      </c>
      <c r="K24" s="3">
        <v>662</v>
      </c>
      <c r="L24" s="3">
        <v>0.45400000000000001</v>
      </c>
      <c r="M24" s="3">
        <v>0.36799999999999999</v>
      </c>
      <c r="N24" s="3">
        <v>0.67800000000000005</v>
      </c>
      <c r="O24" s="3">
        <v>20.3</v>
      </c>
      <c r="P24" s="3">
        <v>7.9</v>
      </c>
      <c r="Q24" s="3">
        <v>4</v>
      </c>
      <c r="R24" s="3">
        <v>1.1000000000000001</v>
      </c>
      <c r="S24" s="3">
        <v>19.600000000000001</v>
      </c>
      <c r="T24" s="3">
        <v>7.8E-2</v>
      </c>
      <c r="U24" s="3">
        <v>-0.8</v>
      </c>
      <c r="V24" s="3">
        <v>3.5</v>
      </c>
    </row>
    <row r="25" spans="1:22" hidden="1">
      <c r="A25" s="1">
        <v>24</v>
      </c>
      <c r="B25" s="3">
        <v>24</v>
      </c>
      <c r="C25" s="3" t="s">
        <v>20</v>
      </c>
      <c r="D25" s="3" t="s">
        <v>1391</v>
      </c>
      <c r="E25" s="3" t="s">
        <v>404</v>
      </c>
      <c r="F25" s="3">
        <v>5</v>
      </c>
      <c r="G25" s="3">
        <v>189</v>
      </c>
      <c r="H25" s="3">
        <v>3446</v>
      </c>
      <c r="I25" s="3">
        <v>1398</v>
      </c>
      <c r="J25" s="3">
        <v>790</v>
      </c>
      <c r="K25" s="3">
        <v>153</v>
      </c>
      <c r="L25" s="3">
        <v>0.40799999999999997</v>
      </c>
      <c r="M25" s="3">
        <v>0.31900000000000001</v>
      </c>
      <c r="N25" s="3">
        <v>0.70599999999999996</v>
      </c>
      <c r="O25" s="3">
        <v>18.2</v>
      </c>
      <c r="P25" s="3">
        <v>7.4</v>
      </c>
      <c r="Q25" s="3">
        <v>4.2</v>
      </c>
      <c r="R25" s="3">
        <v>0.8</v>
      </c>
      <c r="S25" s="3">
        <v>0.6</v>
      </c>
      <c r="T25" s="3">
        <v>8.0000000000000002E-3</v>
      </c>
      <c r="U25" s="3">
        <v>-4</v>
      </c>
      <c r="V25" s="3">
        <v>-1.8</v>
      </c>
    </row>
    <row r="26" spans="1:22" hidden="1">
      <c r="A26" s="1">
        <v>25</v>
      </c>
      <c r="B26" s="3">
        <v>25</v>
      </c>
      <c r="C26" s="3" t="s">
        <v>82</v>
      </c>
      <c r="D26" s="3" t="s">
        <v>1392</v>
      </c>
      <c r="E26" s="2"/>
      <c r="F26" s="3">
        <v>4</v>
      </c>
      <c r="G26" s="3">
        <v>182</v>
      </c>
      <c r="H26" s="3">
        <v>2896</v>
      </c>
      <c r="I26" s="3">
        <v>1286</v>
      </c>
      <c r="J26" s="3">
        <v>338</v>
      </c>
      <c r="K26" s="3">
        <v>374</v>
      </c>
      <c r="L26" s="3">
        <v>0.439</v>
      </c>
      <c r="M26" s="3">
        <v>0.32500000000000001</v>
      </c>
      <c r="N26" s="3">
        <v>0.81</v>
      </c>
      <c r="O26" s="3">
        <v>15.9</v>
      </c>
      <c r="P26" s="3">
        <v>7.1</v>
      </c>
      <c r="Q26" s="3">
        <v>1.9</v>
      </c>
      <c r="R26" s="3">
        <v>2.1</v>
      </c>
      <c r="S26" s="3">
        <v>4.8</v>
      </c>
      <c r="T26" s="3">
        <v>7.9000000000000001E-2</v>
      </c>
      <c r="U26" s="3">
        <v>-0.1</v>
      </c>
      <c r="V26" s="3">
        <v>1.4</v>
      </c>
    </row>
    <row r="27" spans="1:22" hidden="1">
      <c r="A27" s="1">
        <v>26</v>
      </c>
      <c r="B27" s="3">
        <v>26</v>
      </c>
      <c r="C27" s="3" t="s">
        <v>99</v>
      </c>
      <c r="D27" s="3" t="s">
        <v>1393</v>
      </c>
      <c r="E27" s="3" t="s">
        <v>105</v>
      </c>
      <c r="F27" s="3">
        <v>16</v>
      </c>
      <c r="G27" s="3">
        <v>988</v>
      </c>
      <c r="H27" s="3">
        <v>22925</v>
      </c>
      <c r="I27" s="3">
        <v>8350</v>
      </c>
      <c r="J27" s="3">
        <v>5688</v>
      </c>
      <c r="K27" s="3">
        <v>939</v>
      </c>
      <c r="L27" s="3">
        <v>0.51700000000000002</v>
      </c>
      <c r="M27" s="3">
        <v>0.26600000000000001</v>
      </c>
      <c r="N27" s="3">
        <v>0.71299999999999997</v>
      </c>
      <c r="O27" s="3">
        <v>23.2</v>
      </c>
      <c r="P27" s="3">
        <v>8.5</v>
      </c>
      <c r="Q27" s="3">
        <v>5.8</v>
      </c>
      <c r="R27" s="3">
        <v>1</v>
      </c>
      <c r="S27" s="3">
        <v>60.2</v>
      </c>
      <c r="T27" s="3">
        <v>0.126</v>
      </c>
      <c r="U27" s="3">
        <v>-0.9</v>
      </c>
      <c r="V27" s="3">
        <v>6.6</v>
      </c>
    </row>
    <row r="28" spans="1:22" hidden="1">
      <c r="A28" s="1">
        <v>27</v>
      </c>
      <c r="B28" s="3">
        <v>27</v>
      </c>
      <c r="C28" s="3" t="s">
        <v>152</v>
      </c>
      <c r="D28" s="3" t="s">
        <v>1394</v>
      </c>
      <c r="E28" s="3" t="s">
        <v>71</v>
      </c>
      <c r="F28" s="3">
        <v>11</v>
      </c>
      <c r="G28" s="3">
        <v>578</v>
      </c>
      <c r="H28" s="3">
        <v>13675</v>
      </c>
      <c r="I28" s="3">
        <v>5150</v>
      </c>
      <c r="J28" s="3">
        <v>2454</v>
      </c>
      <c r="K28" s="3">
        <v>726</v>
      </c>
      <c r="L28" s="3">
        <v>0.43</v>
      </c>
      <c r="M28" s="3">
        <v>0.35799999999999998</v>
      </c>
      <c r="N28" s="3">
        <v>0.74099999999999999</v>
      </c>
      <c r="O28" s="3">
        <v>23.7</v>
      </c>
      <c r="P28" s="3">
        <v>8.9</v>
      </c>
      <c r="Q28" s="3">
        <v>4.2</v>
      </c>
      <c r="R28" s="3">
        <v>1.3</v>
      </c>
      <c r="S28" s="3">
        <v>29.5</v>
      </c>
      <c r="T28" s="3">
        <v>0.104</v>
      </c>
      <c r="U28" s="3">
        <v>0</v>
      </c>
      <c r="V28" s="3">
        <v>6.7</v>
      </c>
    </row>
    <row r="29" spans="1:22" hidden="1">
      <c r="A29" s="1">
        <v>28</v>
      </c>
      <c r="B29" s="3">
        <v>28</v>
      </c>
      <c r="C29" s="3" t="s">
        <v>135</v>
      </c>
      <c r="D29" s="3" t="s">
        <v>1395</v>
      </c>
      <c r="E29" s="3" t="s">
        <v>78</v>
      </c>
      <c r="F29" s="3">
        <v>13</v>
      </c>
      <c r="G29" s="3">
        <v>770</v>
      </c>
      <c r="H29" s="3">
        <v>16100</v>
      </c>
      <c r="I29" s="3">
        <v>6190</v>
      </c>
      <c r="J29" s="3">
        <v>1643</v>
      </c>
      <c r="K29" s="3">
        <v>852</v>
      </c>
      <c r="L29" s="3">
        <v>0.41</v>
      </c>
      <c r="M29" s="3">
        <v>0.38200000000000001</v>
      </c>
      <c r="N29" s="3">
        <v>0.84299999999999997</v>
      </c>
      <c r="O29" s="3">
        <v>20.9</v>
      </c>
      <c r="P29" s="3">
        <v>8</v>
      </c>
      <c r="Q29" s="3">
        <v>2.1</v>
      </c>
      <c r="R29" s="3">
        <v>1.1000000000000001</v>
      </c>
      <c r="S29" s="3">
        <v>21.1</v>
      </c>
      <c r="T29" s="3">
        <v>6.3E-2</v>
      </c>
      <c r="U29" s="3">
        <v>-1.5</v>
      </c>
      <c r="V29" s="3">
        <v>2.2000000000000002</v>
      </c>
    </row>
    <row r="30" spans="1:22" hidden="1">
      <c r="A30" s="1">
        <v>29</v>
      </c>
      <c r="B30" s="3">
        <v>29</v>
      </c>
      <c r="C30" s="3" t="s">
        <v>31</v>
      </c>
      <c r="D30" s="3" t="s">
        <v>1396</v>
      </c>
      <c r="E30" s="3" t="s">
        <v>182</v>
      </c>
      <c r="F30" s="3">
        <v>8</v>
      </c>
      <c r="G30" s="3">
        <v>394</v>
      </c>
      <c r="H30" s="3">
        <v>7511</v>
      </c>
      <c r="I30" s="3">
        <v>3009</v>
      </c>
      <c r="J30" s="3">
        <v>875</v>
      </c>
      <c r="K30" s="3">
        <v>889</v>
      </c>
      <c r="L30" s="3">
        <v>0.40400000000000003</v>
      </c>
      <c r="M30" s="3">
        <v>0.35399999999999998</v>
      </c>
      <c r="N30" s="3">
        <v>0.82399999999999995</v>
      </c>
      <c r="O30" s="3">
        <v>19.100000000000001</v>
      </c>
      <c r="P30" s="3">
        <v>7.6</v>
      </c>
      <c r="Q30" s="3">
        <v>2.2000000000000002</v>
      </c>
      <c r="R30" s="3">
        <v>2.2999999999999998</v>
      </c>
      <c r="S30" s="3">
        <v>12.1</v>
      </c>
      <c r="T30" s="3">
        <v>7.6999999999999999E-2</v>
      </c>
      <c r="U30" s="3">
        <v>-0.8</v>
      </c>
      <c r="V30" s="3">
        <v>2.2000000000000002</v>
      </c>
    </row>
    <row r="31" spans="1:22" hidden="1">
      <c r="A31" s="1">
        <v>30</v>
      </c>
      <c r="B31" s="3">
        <v>30</v>
      </c>
      <c r="C31" s="3" t="s">
        <v>76</v>
      </c>
      <c r="D31" s="3" t="s">
        <v>1397</v>
      </c>
      <c r="E31" s="2"/>
      <c r="F31" s="3">
        <v>2</v>
      </c>
      <c r="G31" s="3">
        <v>51</v>
      </c>
      <c r="H31" s="3">
        <v>1049</v>
      </c>
      <c r="I31" s="3">
        <v>320</v>
      </c>
      <c r="J31" s="3">
        <v>137</v>
      </c>
      <c r="K31" s="3">
        <v>40</v>
      </c>
      <c r="L31" s="3">
        <v>0.41099999999999998</v>
      </c>
      <c r="M31" s="3">
        <v>0.27700000000000002</v>
      </c>
      <c r="N31" s="3">
        <v>0.61099999999999999</v>
      </c>
      <c r="O31" s="3">
        <v>20.6</v>
      </c>
      <c r="P31" s="3">
        <v>6.3</v>
      </c>
      <c r="Q31" s="3">
        <v>2.7</v>
      </c>
      <c r="R31" s="3">
        <v>0.8</v>
      </c>
      <c r="S31" s="3">
        <v>-0.4</v>
      </c>
      <c r="T31" s="3">
        <v>-0.02</v>
      </c>
      <c r="U31" s="3">
        <v>-4.2</v>
      </c>
      <c r="V31" s="3">
        <v>-0.6</v>
      </c>
    </row>
    <row r="32" spans="1:22" s="71" customFormat="1" hidden="1">
      <c r="A32" s="68"/>
      <c r="B32" s="69"/>
      <c r="C32" s="69"/>
      <c r="D32" s="69"/>
      <c r="E32" s="70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4">
      <c r="A33" s="1">
        <v>31</v>
      </c>
      <c r="B33" s="3">
        <v>31</v>
      </c>
      <c r="C33" s="3" t="s">
        <v>36</v>
      </c>
      <c r="D33" s="87" t="s">
        <v>1398</v>
      </c>
      <c r="E33" s="3" t="s">
        <v>536</v>
      </c>
      <c r="F33" s="3">
        <v>6</v>
      </c>
      <c r="G33" s="3">
        <v>237</v>
      </c>
      <c r="H33" s="3">
        <v>2322</v>
      </c>
      <c r="I33" s="3">
        <v>690</v>
      </c>
      <c r="J33" s="3">
        <v>632</v>
      </c>
      <c r="K33" s="3">
        <v>99</v>
      </c>
      <c r="L33" s="3">
        <v>0.55300000000000005</v>
      </c>
      <c r="M33" s="3">
        <v>0.4</v>
      </c>
      <c r="N33" s="3">
        <v>0.77600000000000002</v>
      </c>
      <c r="O33" s="3">
        <v>9.8000000000000007</v>
      </c>
      <c r="P33" s="3">
        <v>2.9</v>
      </c>
      <c r="Q33" s="3">
        <v>2.7</v>
      </c>
      <c r="R33" s="3">
        <v>0.4</v>
      </c>
      <c r="S33" s="90">
        <v>6.3</v>
      </c>
      <c r="T33" s="3">
        <v>0.13100000000000001</v>
      </c>
      <c r="U33" s="3">
        <v>-2.2999999999999998</v>
      </c>
      <c r="V33" s="3">
        <v>-0.2</v>
      </c>
    </row>
    <row r="34" spans="1:24">
      <c r="A34" s="1">
        <v>32</v>
      </c>
      <c r="B34" s="3">
        <v>32</v>
      </c>
      <c r="C34" s="3" t="s">
        <v>69</v>
      </c>
      <c r="D34" s="67" t="s">
        <v>1399</v>
      </c>
      <c r="E34" s="3" t="s">
        <v>381</v>
      </c>
      <c r="F34" s="3">
        <v>2</v>
      </c>
      <c r="G34" s="3">
        <v>65</v>
      </c>
      <c r="H34" s="3">
        <v>786</v>
      </c>
      <c r="I34" s="3">
        <v>351</v>
      </c>
      <c r="J34" s="3">
        <v>108</v>
      </c>
      <c r="K34" s="3">
        <v>48</v>
      </c>
      <c r="L34" s="3">
        <v>0.441</v>
      </c>
      <c r="M34" s="3">
        <v>0.28399999999999997</v>
      </c>
      <c r="N34" s="3">
        <v>0.73</v>
      </c>
      <c r="O34" s="3">
        <v>12.1</v>
      </c>
      <c r="P34" s="3">
        <v>5.4</v>
      </c>
      <c r="Q34" s="3">
        <v>1.7</v>
      </c>
      <c r="R34" s="3">
        <v>0.7</v>
      </c>
      <c r="S34" s="90">
        <v>0.2</v>
      </c>
      <c r="T34" s="3">
        <v>1.4E-2</v>
      </c>
      <c r="U34" s="3">
        <v>-3.7</v>
      </c>
      <c r="V34" s="3">
        <v>-0.3</v>
      </c>
      <c r="X34" s="53" t="s">
        <v>296</v>
      </c>
    </row>
    <row r="35" spans="1:24">
      <c r="A35" s="1">
        <v>33</v>
      </c>
      <c r="B35" s="3">
        <v>33</v>
      </c>
      <c r="C35" s="3" t="s">
        <v>124</v>
      </c>
      <c r="D35" s="83" t="s">
        <v>217</v>
      </c>
      <c r="E35" s="3" t="s">
        <v>22</v>
      </c>
      <c r="F35" s="3">
        <v>10</v>
      </c>
      <c r="G35" s="3">
        <v>715</v>
      </c>
      <c r="H35" s="3">
        <v>14875</v>
      </c>
      <c r="I35" s="3">
        <v>4133</v>
      </c>
      <c r="J35" s="3">
        <v>2676</v>
      </c>
      <c r="K35" s="3">
        <v>506</v>
      </c>
      <c r="L35" s="3">
        <v>0.46899999999999997</v>
      </c>
      <c r="M35" s="3">
        <v>0.34499999999999997</v>
      </c>
      <c r="N35" s="3">
        <v>0.64900000000000002</v>
      </c>
      <c r="O35" s="3">
        <v>20.8</v>
      </c>
      <c r="P35" s="3">
        <v>5.8</v>
      </c>
      <c r="Q35" s="3">
        <v>3.7</v>
      </c>
      <c r="R35" s="3">
        <v>0.7</v>
      </c>
      <c r="S35" s="90">
        <v>24.9</v>
      </c>
      <c r="T35" s="3">
        <v>0.08</v>
      </c>
      <c r="U35" s="3">
        <v>-1.7</v>
      </c>
      <c r="V35" s="3">
        <v>1.1000000000000001</v>
      </c>
      <c r="X35" s="54" t="s">
        <v>298</v>
      </c>
    </row>
    <row r="36" spans="1:24">
      <c r="A36" s="1">
        <v>34</v>
      </c>
      <c r="B36" s="3">
        <v>34</v>
      </c>
      <c r="C36" s="3" t="s">
        <v>23</v>
      </c>
      <c r="D36" s="67" t="s">
        <v>1400</v>
      </c>
      <c r="E36" s="2"/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91">
        <v>0</v>
      </c>
      <c r="T36" s="2">
        <v>0</v>
      </c>
      <c r="U36" s="2">
        <v>0</v>
      </c>
      <c r="V36" s="2">
        <v>0</v>
      </c>
      <c r="X36" s="58" t="s">
        <v>39</v>
      </c>
    </row>
    <row r="37" spans="1:24">
      <c r="A37" s="1">
        <v>35</v>
      </c>
      <c r="B37" s="3">
        <v>35</v>
      </c>
      <c r="C37" s="3" t="s">
        <v>34</v>
      </c>
      <c r="D37" s="67" t="s">
        <v>1401</v>
      </c>
      <c r="E37" s="3" t="s">
        <v>1094</v>
      </c>
      <c r="F37" s="3">
        <v>4</v>
      </c>
      <c r="G37" s="3">
        <v>83</v>
      </c>
      <c r="H37" s="3">
        <v>820</v>
      </c>
      <c r="I37" s="3">
        <v>278</v>
      </c>
      <c r="J37" s="3">
        <v>82</v>
      </c>
      <c r="K37" s="3">
        <v>29</v>
      </c>
      <c r="L37" s="3">
        <v>0.38400000000000001</v>
      </c>
      <c r="M37" s="3">
        <v>0.36699999999999999</v>
      </c>
      <c r="N37" s="3">
        <v>0.64200000000000002</v>
      </c>
      <c r="O37" s="3">
        <v>9.9</v>
      </c>
      <c r="P37" s="3">
        <v>3.3</v>
      </c>
      <c r="Q37" s="3">
        <v>1</v>
      </c>
      <c r="R37" s="3">
        <v>0.3</v>
      </c>
      <c r="S37" s="90">
        <v>-0.1</v>
      </c>
      <c r="T37" s="3">
        <v>-8.0000000000000002E-3</v>
      </c>
      <c r="U37" s="3">
        <v>-5.8</v>
      </c>
      <c r="V37" s="3">
        <v>-0.8</v>
      </c>
      <c r="X37" s="59" t="s">
        <v>106</v>
      </c>
    </row>
    <row r="38" spans="1:24">
      <c r="A38" s="1">
        <v>36</v>
      </c>
      <c r="B38" s="3">
        <v>36</v>
      </c>
      <c r="C38" s="3" t="s">
        <v>152</v>
      </c>
      <c r="D38" s="87" t="s">
        <v>1402</v>
      </c>
      <c r="E38" s="3" t="s">
        <v>219</v>
      </c>
      <c r="F38" s="3">
        <v>4</v>
      </c>
      <c r="G38" s="3">
        <v>249</v>
      </c>
      <c r="H38" s="3">
        <v>3966</v>
      </c>
      <c r="I38" s="3">
        <v>1436</v>
      </c>
      <c r="J38" s="3">
        <v>573</v>
      </c>
      <c r="K38" s="3">
        <v>180</v>
      </c>
      <c r="L38" s="3">
        <v>0.442</v>
      </c>
      <c r="M38" s="3">
        <v>0.28000000000000003</v>
      </c>
      <c r="N38" s="3">
        <v>0.74199999999999999</v>
      </c>
      <c r="O38" s="3">
        <v>15.9</v>
      </c>
      <c r="P38" s="3">
        <v>5.8</v>
      </c>
      <c r="Q38" s="3">
        <v>2.2999999999999998</v>
      </c>
      <c r="R38" s="3">
        <v>0.7</v>
      </c>
      <c r="S38" s="90">
        <v>5.2</v>
      </c>
      <c r="T38" s="3">
        <v>6.3E-2</v>
      </c>
      <c r="U38" s="3">
        <v>-2.1</v>
      </c>
      <c r="V38" s="3">
        <v>-0.1</v>
      </c>
      <c r="X38" s="60" t="s">
        <v>678</v>
      </c>
    </row>
    <row r="39" spans="1:24">
      <c r="A39" s="1">
        <v>37</v>
      </c>
      <c r="B39" s="3">
        <v>37</v>
      </c>
      <c r="C39" s="3" t="s">
        <v>79</v>
      </c>
      <c r="D39" s="83" t="s">
        <v>218</v>
      </c>
      <c r="E39" s="3" t="s">
        <v>219</v>
      </c>
      <c r="F39" s="3">
        <v>7</v>
      </c>
      <c r="G39" s="3">
        <v>424</v>
      </c>
      <c r="H39" s="3">
        <v>7054</v>
      </c>
      <c r="I39" s="3">
        <v>2865</v>
      </c>
      <c r="J39" s="3">
        <v>2153</v>
      </c>
      <c r="K39" s="3">
        <v>349</v>
      </c>
      <c r="L39" s="3">
        <v>0.52400000000000002</v>
      </c>
      <c r="M39" s="3">
        <v>0</v>
      </c>
      <c r="N39" s="3">
        <v>0.60799999999999998</v>
      </c>
      <c r="O39" s="3">
        <v>16.600000000000001</v>
      </c>
      <c r="P39" s="3">
        <v>6.8</v>
      </c>
      <c r="Q39" s="3">
        <v>5.0999999999999996</v>
      </c>
      <c r="R39" s="3">
        <v>0.8</v>
      </c>
      <c r="S39" s="90">
        <v>19</v>
      </c>
      <c r="T39" s="3">
        <v>0.129</v>
      </c>
      <c r="U39" s="3">
        <v>-1.2</v>
      </c>
      <c r="V39" s="3">
        <v>1.4</v>
      </c>
      <c r="X39" s="84" t="s">
        <v>680</v>
      </c>
    </row>
    <row r="40" spans="1:24">
      <c r="A40" s="1">
        <v>38</v>
      </c>
      <c r="B40" s="3">
        <v>38</v>
      </c>
      <c r="C40" s="3" t="s">
        <v>124</v>
      </c>
      <c r="D40" s="67" t="s">
        <v>1403</v>
      </c>
      <c r="E40" s="3" t="s">
        <v>38</v>
      </c>
      <c r="F40" s="3">
        <v>3</v>
      </c>
      <c r="G40" s="3">
        <v>150</v>
      </c>
      <c r="H40" s="3">
        <v>1570</v>
      </c>
      <c r="I40" s="3">
        <v>320</v>
      </c>
      <c r="J40" s="3">
        <v>472</v>
      </c>
      <c r="K40" s="3">
        <v>49</v>
      </c>
      <c r="L40" s="3">
        <v>0.48799999999999999</v>
      </c>
      <c r="M40" s="3">
        <v>0</v>
      </c>
      <c r="N40" s="3">
        <v>0.61799999999999999</v>
      </c>
      <c r="O40" s="3">
        <v>10.5</v>
      </c>
      <c r="P40" s="3">
        <v>2.1</v>
      </c>
      <c r="Q40" s="3">
        <v>3.1</v>
      </c>
      <c r="R40" s="3">
        <v>0.3</v>
      </c>
      <c r="S40" s="90">
        <v>3.7</v>
      </c>
      <c r="T40" s="3">
        <v>0.113</v>
      </c>
      <c r="U40" s="3">
        <v>-3.9</v>
      </c>
      <c r="V40" s="3">
        <v>-0.8</v>
      </c>
      <c r="X40" s="57" t="s">
        <v>111</v>
      </c>
    </row>
    <row r="41" spans="1:24">
      <c r="A41" s="1">
        <v>39</v>
      </c>
      <c r="B41" s="3">
        <v>39</v>
      </c>
      <c r="C41" s="3" t="s">
        <v>34</v>
      </c>
      <c r="D41" s="83" t="s">
        <v>220</v>
      </c>
      <c r="E41" s="2"/>
      <c r="F41" s="3">
        <v>9</v>
      </c>
      <c r="G41" s="3">
        <v>635</v>
      </c>
      <c r="H41" s="3">
        <v>11323</v>
      </c>
      <c r="I41" s="3">
        <v>3919</v>
      </c>
      <c r="J41" s="3">
        <v>2522</v>
      </c>
      <c r="K41" s="3">
        <v>525</v>
      </c>
      <c r="L41" s="3">
        <v>0.45700000000000002</v>
      </c>
      <c r="M41" s="3">
        <v>0.36299999999999999</v>
      </c>
      <c r="N41" s="3">
        <v>0.77</v>
      </c>
      <c r="O41" s="3">
        <v>17.8</v>
      </c>
      <c r="P41" s="3">
        <v>6.2</v>
      </c>
      <c r="Q41" s="3">
        <v>4</v>
      </c>
      <c r="R41" s="3">
        <v>0.8</v>
      </c>
      <c r="S41" s="90">
        <v>25.8</v>
      </c>
      <c r="T41" s="3">
        <v>0.109</v>
      </c>
      <c r="U41" s="3">
        <v>-1</v>
      </c>
      <c r="V41" s="3">
        <v>2.9</v>
      </c>
    </row>
    <row r="42" spans="1:24">
      <c r="A42" s="1">
        <v>40</v>
      </c>
      <c r="B42" s="3">
        <v>40</v>
      </c>
      <c r="C42" s="3" t="s">
        <v>1095</v>
      </c>
      <c r="D42" s="67" t="s">
        <v>1404</v>
      </c>
      <c r="E42" s="3" t="s">
        <v>412</v>
      </c>
      <c r="F42" s="3">
        <v>3</v>
      </c>
      <c r="G42" s="3">
        <v>171</v>
      </c>
      <c r="H42" s="3">
        <v>2554</v>
      </c>
      <c r="I42" s="3">
        <v>895</v>
      </c>
      <c r="J42" s="3">
        <v>413</v>
      </c>
      <c r="K42" s="3">
        <v>119</v>
      </c>
      <c r="L42" s="3">
        <v>0.51500000000000001</v>
      </c>
      <c r="M42" s="3">
        <v>0.317</v>
      </c>
      <c r="N42" s="3">
        <v>0.63700000000000001</v>
      </c>
      <c r="O42" s="3">
        <v>14.9</v>
      </c>
      <c r="P42" s="3">
        <v>5.2</v>
      </c>
      <c r="Q42" s="3">
        <v>2.4</v>
      </c>
      <c r="R42" s="3">
        <v>0.7</v>
      </c>
      <c r="S42" s="90">
        <v>4.5</v>
      </c>
      <c r="T42" s="3">
        <v>8.5000000000000006E-2</v>
      </c>
      <c r="U42" s="3">
        <v>-1.3</v>
      </c>
      <c r="V42" s="3">
        <v>0.4</v>
      </c>
    </row>
    <row r="43" spans="1:24">
      <c r="A43" s="1">
        <v>41</v>
      </c>
      <c r="B43" s="3">
        <v>41</v>
      </c>
      <c r="C43" s="3" t="s">
        <v>57</v>
      </c>
      <c r="D43" s="83" t="s">
        <v>221</v>
      </c>
      <c r="E43" s="3" t="s">
        <v>173</v>
      </c>
      <c r="F43" s="3">
        <v>10</v>
      </c>
      <c r="G43" s="3">
        <v>539</v>
      </c>
      <c r="H43" s="3">
        <v>12110</v>
      </c>
      <c r="I43" s="3">
        <v>4988</v>
      </c>
      <c r="J43" s="3">
        <v>1120</v>
      </c>
      <c r="K43" s="3">
        <v>583</v>
      </c>
      <c r="L43" s="3">
        <v>0.42</v>
      </c>
      <c r="M43" s="3">
        <v>0.373</v>
      </c>
      <c r="N43" s="3">
        <v>0.879</v>
      </c>
      <c r="O43" s="3">
        <v>22.5</v>
      </c>
      <c r="P43" s="3">
        <v>9.3000000000000007</v>
      </c>
      <c r="Q43" s="3">
        <v>2.1</v>
      </c>
      <c r="R43" s="3">
        <v>1.1000000000000001</v>
      </c>
      <c r="S43" s="90">
        <v>24.3</v>
      </c>
      <c r="T43" s="3">
        <v>9.6000000000000002E-2</v>
      </c>
      <c r="U43" s="3">
        <v>-0.6</v>
      </c>
      <c r="V43" s="3">
        <v>4.2</v>
      </c>
    </row>
    <row r="44" spans="1:24">
      <c r="A44" s="1">
        <v>42</v>
      </c>
      <c r="B44" s="3">
        <v>42</v>
      </c>
      <c r="C44" s="3" t="s">
        <v>31</v>
      </c>
      <c r="D44" s="81" t="s">
        <v>132</v>
      </c>
      <c r="E44" s="3" t="s">
        <v>84</v>
      </c>
      <c r="F44" s="3">
        <v>12</v>
      </c>
      <c r="G44" s="3">
        <v>666</v>
      </c>
      <c r="H44" s="3">
        <v>17689</v>
      </c>
      <c r="I44" s="3">
        <v>5520</v>
      </c>
      <c r="J44" s="3">
        <v>2729</v>
      </c>
      <c r="K44" s="3">
        <v>2245</v>
      </c>
      <c r="L44" s="3">
        <v>0.41299999999999998</v>
      </c>
      <c r="M44" s="3">
        <v>0.371</v>
      </c>
      <c r="N44" s="3">
        <v>0.76</v>
      </c>
      <c r="O44" s="3">
        <v>26.6</v>
      </c>
      <c r="P44" s="3">
        <v>8.3000000000000007</v>
      </c>
      <c r="Q44" s="3">
        <v>4.0999999999999996</v>
      </c>
      <c r="R44" s="3">
        <v>3.4</v>
      </c>
      <c r="S44" s="90">
        <v>40.200000000000003</v>
      </c>
      <c r="T44" s="3">
        <v>0.109</v>
      </c>
      <c r="U44" s="3">
        <v>0.7</v>
      </c>
      <c r="V44" s="3">
        <v>12.1</v>
      </c>
    </row>
    <row r="45" spans="1:24">
      <c r="A45" s="1">
        <v>43</v>
      </c>
      <c r="B45" s="3">
        <v>43</v>
      </c>
      <c r="C45" s="3" t="s">
        <v>72</v>
      </c>
      <c r="D45" s="83" t="s">
        <v>222</v>
      </c>
      <c r="E45" s="3" t="s">
        <v>145</v>
      </c>
      <c r="F45" s="3">
        <v>8</v>
      </c>
      <c r="G45" s="3">
        <v>483</v>
      </c>
      <c r="H45" s="3">
        <v>11299</v>
      </c>
      <c r="I45" s="3">
        <v>5750</v>
      </c>
      <c r="J45" s="3">
        <v>1348</v>
      </c>
      <c r="K45" s="3">
        <v>677</v>
      </c>
      <c r="L45" s="3">
        <v>0.42499999999999999</v>
      </c>
      <c r="M45" s="3">
        <v>0.35799999999999998</v>
      </c>
      <c r="N45" s="3">
        <v>0.83</v>
      </c>
      <c r="O45" s="3">
        <v>23.4</v>
      </c>
      <c r="P45" s="3">
        <v>11.9</v>
      </c>
      <c r="Q45" s="3">
        <v>2.8</v>
      </c>
      <c r="R45" s="3">
        <v>1.4</v>
      </c>
      <c r="S45" s="90">
        <v>20</v>
      </c>
      <c r="T45" s="3">
        <v>8.5000000000000006E-2</v>
      </c>
      <c r="U45" s="3">
        <v>0.2</v>
      </c>
      <c r="V45" s="3">
        <v>6.2</v>
      </c>
    </row>
    <row r="46" spans="1:24">
      <c r="A46" s="1">
        <v>44</v>
      </c>
      <c r="B46" s="3">
        <v>44</v>
      </c>
      <c r="C46" s="3" t="s">
        <v>34</v>
      </c>
      <c r="D46" s="83" t="s">
        <v>223</v>
      </c>
      <c r="E46" s="3" t="s">
        <v>224</v>
      </c>
      <c r="F46" s="3">
        <v>7</v>
      </c>
      <c r="G46" s="3">
        <v>407</v>
      </c>
      <c r="H46" s="3">
        <v>7998</v>
      </c>
      <c r="I46" s="3">
        <v>3198</v>
      </c>
      <c r="J46" s="3">
        <v>1240</v>
      </c>
      <c r="K46" s="3">
        <v>473</v>
      </c>
      <c r="L46" s="3">
        <v>0.43</v>
      </c>
      <c r="M46" s="3">
        <v>0.35199999999999998</v>
      </c>
      <c r="N46" s="3">
        <v>0.79700000000000004</v>
      </c>
      <c r="O46" s="3">
        <v>19.7</v>
      </c>
      <c r="P46" s="3">
        <v>7.9</v>
      </c>
      <c r="Q46" s="3">
        <v>3</v>
      </c>
      <c r="R46" s="3">
        <v>1.2</v>
      </c>
      <c r="S46" s="90">
        <v>13.9</v>
      </c>
      <c r="T46" s="3">
        <v>8.3000000000000004E-2</v>
      </c>
      <c r="U46" s="3">
        <v>-0.5</v>
      </c>
      <c r="V46" s="3">
        <v>2.9</v>
      </c>
    </row>
    <row r="47" spans="1:24">
      <c r="A47" s="1">
        <v>45</v>
      </c>
      <c r="B47" s="3">
        <v>45</v>
      </c>
      <c r="C47" s="3" t="s">
        <v>135</v>
      </c>
      <c r="D47" s="67" t="s">
        <v>1405</v>
      </c>
      <c r="E47" s="3" t="s">
        <v>128</v>
      </c>
      <c r="F47" s="3">
        <v>2</v>
      </c>
      <c r="G47" s="3">
        <v>129</v>
      </c>
      <c r="H47" s="3">
        <v>2011</v>
      </c>
      <c r="I47" s="3">
        <v>590</v>
      </c>
      <c r="J47" s="3">
        <v>243</v>
      </c>
      <c r="K47" s="3">
        <v>353</v>
      </c>
      <c r="L47" s="3">
        <v>0.441</v>
      </c>
      <c r="M47" s="3">
        <v>0.28799999999999998</v>
      </c>
      <c r="N47" s="3">
        <v>0.58099999999999996</v>
      </c>
      <c r="O47" s="3">
        <v>15.6</v>
      </c>
      <c r="P47" s="3">
        <v>4.5999999999999996</v>
      </c>
      <c r="Q47" s="3">
        <v>1.9</v>
      </c>
      <c r="R47" s="3">
        <v>2.7</v>
      </c>
      <c r="S47" s="90">
        <v>2.6</v>
      </c>
      <c r="T47" s="3">
        <v>6.3E-2</v>
      </c>
      <c r="U47" s="3">
        <v>-0.5</v>
      </c>
      <c r="V47" s="3">
        <v>0.8</v>
      </c>
    </row>
    <row r="48" spans="1:24">
      <c r="A48" s="1">
        <v>46</v>
      </c>
      <c r="B48" s="3">
        <v>46</v>
      </c>
      <c r="C48" s="3" t="s">
        <v>76</v>
      </c>
      <c r="D48" s="72" t="s">
        <v>77</v>
      </c>
      <c r="E48" s="3" t="s">
        <v>78</v>
      </c>
      <c r="F48" s="3">
        <v>15</v>
      </c>
      <c r="G48" s="3">
        <v>832</v>
      </c>
      <c r="H48" s="3">
        <v>20899</v>
      </c>
      <c r="I48" s="3">
        <v>7204</v>
      </c>
      <c r="J48" s="3">
        <v>2827</v>
      </c>
      <c r="K48" s="3">
        <v>1277</v>
      </c>
      <c r="L48" s="3">
        <v>0.42099999999999999</v>
      </c>
      <c r="M48" s="3">
        <v>0.4</v>
      </c>
      <c r="N48" s="3">
        <v>0.80500000000000005</v>
      </c>
      <c r="O48" s="3">
        <v>25.1</v>
      </c>
      <c r="P48" s="3">
        <v>8.6999999999999993</v>
      </c>
      <c r="Q48" s="3">
        <v>3.4</v>
      </c>
      <c r="R48" s="3">
        <v>1.5</v>
      </c>
      <c r="S48" s="90">
        <v>49.3</v>
      </c>
      <c r="T48" s="3">
        <v>0.113</v>
      </c>
      <c r="U48" s="3">
        <v>1.8</v>
      </c>
      <c r="V48" s="3">
        <v>20.2</v>
      </c>
    </row>
    <row r="49" spans="1:37">
      <c r="A49" s="1">
        <v>47</v>
      </c>
      <c r="B49" s="3">
        <v>47</v>
      </c>
      <c r="C49" s="3" t="s">
        <v>135</v>
      </c>
      <c r="D49" s="67" t="s">
        <v>1406</v>
      </c>
      <c r="E49" s="2"/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91">
        <v>0</v>
      </c>
      <c r="T49" s="2">
        <v>0</v>
      </c>
      <c r="U49" s="2">
        <v>0</v>
      </c>
      <c r="V49" s="2">
        <v>0</v>
      </c>
    </row>
    <row r="50" spans="1:37">
      <c r="A50" s="1">
        <v>48</v>
      </c>
      <c r="B50" s="3">
        <v>48</v>
      </c>
      <c r="C50" s="3" t="s">
        <v>323</v>
      </c>
      <c r="D50" s="67" t="s">
        <v>1407</v>
      </c>
      <c r="E50" s="3" t="s">
        <v>728</v>
      </c>
      <c r="F50" s="3">
        <v>1</v>
      </c>
      <c r="G50" s="3">
        <v>8</v>
      </c>
      <c r="H50" s="3">
        <v>32</v>
      </c>
      <c r="I50" s="3">
        <v>10</v>
      </c>
      <c r="J50" s="3">
        <v>2</v>
      </c>
      <c r="K50" s="3">
        <v>1</v>
      </c>
      <c r="L50" s="3">
        <v>0.4</v>
      </c>
      <c r="M50" s="3">
        <v>0</v>
      </c>
      <c r="N50" s="3">
        <v>0.5</v>
      </c>
      <c r="O50" s="3">
        <v>4</v>
      </c>
      <c r="P50" s="3">
        <v>1.3</v>
      </c>
      <c r="Q50" s="3">
        <v>0.3</v>
      </c>
      <c r="R50" s="3">
        <v>0.1</v>
      </c>
      <c r="S50" s="90">
        <v>0</v>
      </c>
      <c r="T50" s="3">
        <v>-3.9E-2</v>
      </c>
      <c r="U50" s="3">
        <v>-8.1</v>
      </c>
      <c r="V50" s="3">
        <v>-0.1</v>
      </c>
    </row>
    <row r="51" spans="1:37">
      <c r="A51" s="1">
        <v>49</v>
      </c>
      <c r="B51" s="3">
        <v>49</v>
      </c>
      <c r="C51" s="3" t="s">
        <v>184</v>
      </c>
      <c r="D51" s="67" t="s">
        <v>1408</v>
      </c>
      <c r="E51" s="2"/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91">
        <v>0</v>
      </c>
      <c r="T51" s="2">
        <v>0</v>
      </c>
      <c r="U51" s="2">
        <v>0</v>
      </c>
      <c r="V51" s="2">
        <v>0</v>
      </c>
    </row>
    <row r="52" spans="1:37">
      <c r="A52" s="1">
        <v>50</v>
      </c>
      <c r="B52" s="3">
        <v>50</v>
      </c>
      <c r="C52" s="3" t="s">
        <v>193</v>
      </c>
      <c r="D52" s="67" t="s">
        <v>1409</v>
      </c>
      <c r="E52" s="3" t="s">
        <v>27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91">
        <v>0</v>
      </c>
      <c r="T52" s="2">
        <v>0</v>
      </c>
      <c r="U52" s="2">
        <v>0</v>
      </c>
      <c r="V52" s="2">
        <v>0</v>
      </c>
    </row>
    <row r="53" spans="1:37">
      <c r="A53" s="1">
        <v>51</v>
      </c>
      <c r="B53" s="3">
        <v>51</v>
      </c>
      <c r="C53" s="3" t="s">
        <v>79</v>
      </c>
      <c r="D53" s="67" t="s">
        <v>1410</v>
      </c>
      <c r="E53" s="3" t="s">
        <v>103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91">
        <v>0</v>
      </c>
      <c r="T53" s="2">
        <v>0</v>
      </c>
      <c r="U53" s="2">
        <v>0</v>
      </c>
      <c r="V53" s="2">
        <v>0</v>
      </c>
    </row>
    <row r="54" spans="1:37">
      <c r="A54" s="1">
        <v>52</v>
      </c>
      <c r="B54" s="3">
        <v>52</v>
      </c>
      <c r="C54" s="3" t="s">
        <v>41</v>
      </c>
      <c r="D54" s="87" t="s">
        <v>1411</v>
      </c>
      <c r="E54" s="3" t="s">
        <v>300</v>
      </c>
      <c r="F54" s="3">
        <v>6</v>
      </c>
      <c r="G54" s="3">
        <v>261</v>
      </c>
      <c r="H54" s="3">
        <v>3929</v>
      </c>
      <c r="I54" s="3">
        <v>1523</v>
      </c>
      <c r="J54" s="3">
        <v>377</v>
      </c>
      <c r="K54" s="3">
        <v>567</v>
      </c>
      <c r="L54" s="3">
        <v>0.38</v>
      </c>
      <c r="M54" s="3">
        <v>0.316</v>
      </c>
      <c r="N54" s="3">
        <v>0.74199999999999999</v>
      </c>
      <c r="O54" s="3">
        <v>15.1</v>
      </c>
      <c r="P54" s="3">
        <v>5.8</v>
      </c>
      <c r="Q54" s="3">
        <v>1.4</v>
      </c>
      <c r="R54" s="3">
        <v>2.2000000000000002</v>
      </c>
      <c r="S54" s="90">
        <v>4.7</v>
      </c>
      <c r="T54" s="3">
        <v>5.8000000000000003E-2</v>
      </c>
      <c r="U54" s="3">
        <v>-1.3</v>
      </c>
      <c r="V54" s="3">
        <v>0.7</v>
      </c>
    </row>
    <row r="55" spans="1:37">
      <c r="A55" s="1">
        <v>53</v>
      </c>
      <c r="B55" s="3">
        <v>53</v>
      </c>
      <c r="C55" s="3" t="s">
        <v>79</v>
      </c>
      <c r="D55" s="67" t="s">
        <v>1412</v>
      </c>
      <c r="E55" s="2"/>
      <c r="F55" s="3">
        <v>2</v>
      </c>
      <c r="G55" s="3">
        <v>119</v>
      </c>
      <c r="H55" s="3">
        <v>1414</v>
      </c>
      <c r="I55" s="3">
        <v>453</v>
      </c>
      <c r="J55" s="3">
        <v>211</v>
      </c>
      <c r="K55" s="3">
        <v>203</v>
      </c>
      <c r="L55" s="3">
        <v>0.42899999999999999</v>
      </c>
      <c r="M55" s="3">
        <v>0.36299999999999999</v>
      </c>
      <c r="N55" s="3">
        <v>0.83499999999999996</v>
      </c>
      <c r="O55" s="3">
        <v>11.9</v>
      </c>
      <c r="P55" s="3">
        <v>3.8</v>
      </c>
      <c r="Q55" s="3">
        <v>1.8</v>
      </c>
      <c r="R55" s="3">
        <v>1.7</v>
      </c>
      <c r="S55" s="90">
        <v>2.4</v>
      </c>
      <c r="T55" s="3">
        <v>8.1000000000000003E-2</v>
      </c>
      <c r="U55" s="3">
        <v>-0.7</v>
      </c>
      <c r="V55" s="3">
        <v>0.5</v>
      </c>
    </row>
    <row r="56" spans="1:37">
      <c r="A56" s="1">
        <v>54</v>
      </c>
      <c r="B56" s="3">
        <v>54</v>
      </c>
      <c r="C56" s="3" t="s">
        <v>1095</v>
      </c>
      <c r="D56" s="67" t="s">
        <v>1413</v>
      </c>
      <c r="E56" s="3" t="s">
        <v>1414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91">
        <v>0</v>
      </c>
      <c r="T56" s="2">
        <v>0</v>
      </c>
      <c r="U56" s="2">
        <v>0</v>
      </c>
      <c r="V56" s="2">
        <v>0</v>
      </c>
    </row>
    <row r="57" spans="1:37">
      <c r="A57" s="1">
        <v>55</v>
      </c>
      <c r="B57" s="3">
        <v>55</v>
      </c>
      <c r="C57" s="3" t="s">
        <v>124</v>
      </c>
      <c r="D57" s="81" t="s">
        <v>133</v>
      </c>
      <c r="E57" s="3" t="s">
        <v>134</v>
      </c>
      <c r="F57" s="3">
        <v>16</v>
      </c>
      <c r="G57" s="3">
        <v>911</v>
      </c>
      <c r="H57" s="3">
        <v>18264</v>
      </c>
      <c r="I57" s="3">
        <v>7967</v>
      </c>
      <c r="J57" s="3">
        <v>1490</v>
      </c>
      <c r="K57" s="3">
        <v>2007</v>
      </c>
      <c r="L57" s="3">
        <v>0.42299999999999999</v>
      </c>
      <c r="M57" s="3">
        <v>0.38500000000000001</v>
      </c>
      <c r="N57" s="3">
        <v>0.85599999999999998</v>
      </c>
      <c r="O57" s="3">
        <v>20</v>
      </c>
      <c r="P57" s="3">
        <v>8.6999999999999993</v>
      </c>
      <c r="Q57" s="3">
        <v>1.6</v>
      </c>
      <c r="R57" s="3">
        <v>2.2000000000000002</v>
      </c>
      <c r="S57" s="90">
        <v>35.6</v>
      </c>
      <c r="T57" s="3">
        <v>9.4E-2</v>
      </c>
      <c r="U57" s="3">
        <v>-0.2</v>
      </c>
      <c r="V57" s="3">
        <v>8.4</v>
      </c>
    </row>
    <row r="58" spans="1:37">
      <c r="A58" s="1">
        <v>56</v>
      </c>
      <c r="B58" s="3">
        <v>56</v>
      </c>
      <c r="C58" s="3" t="s">
        <v>20</v>
      </c>
      <c r="D58" s="67" t="s">
        <v>1415</v>
      </c>
      <c r="E58" s="3" t="s">
        <v>884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91">
        <v>0</v>
      </c>
      <c r="T58" s="2">
        <v>0</v>
      </c>
      <c r="U58" s="2">
        <v>0</v>
      </c>
      <c r="V58" s="2">
        <v>0</v>
      </c>
    </row>
    <row r="59" spans="1:37">
      <c r="A59" s="1">
        <v>57</v>
      </c>
      <c r="B59" s="3">
        <v>57</v>
      </c>
      <c r="C59" s="3" t="s">
        <v>323</v>
      </c>
      <c r="D59" s="67" t="s">
        <v>1416</v>
      </c>
      <c r="E59" s="2"/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91">
        <v>0</v>
      </c>
      <c r="T59" s="2">
        <v>0</v>
      </c>
      <c r="U59" s="2">
        <v>0</v>
      </c>
      <c r="V59" s="2">
        <v>0</v>
      </c>
    </row>
    <row r="60" spans="1:37">
      <c r="A60" s="1">
        <v>58</v>
      </c>
      <c r="B60" s="3">
        <v>58</v>
      </c>
      <c r="C60" s="3" t="s">
        <v>190</v>
      </c>
      <c r="D60" s="67" t="s">
        <v>1417</v>
      </c>
      <c r="E60" s="3" t="s">
        <v>1418</v>
      </c>
      <c r="F60" s="3">
        <v>4</v>
      </c>
      <c r="G60" s="3">
        <v>57</v>
      </c>
      <c r="H60" s="3">
        <v>594</v>
      </c>
      <c r="I60" s="3">
        <v>268</v>
      </c>
      <c r="J60" s="3">
        <v>77</v>
      </c>
      <c r="K60" s="3">
        <v>71</v>
      </c>
      <c r="L60" s="3">
        <v>0.375</v>
      </c>
      <c r="M60" s="3">
        <v>0.27700000000000002</v>
      </c>
      <c r="N60" s="3">
        <v>0.80600000000000005</v>
      </c>
      <c r="O60" s="3">
        <v>10.4</v>
      </c>
      <c r="P60" s="3">
        <v>4.7</v>
      </c>
      <c r="Q60" s="3">
        <v>1.4</v>
      </c>
      <c r="R60" s="3">
        <v>1.2</v>
      </c>
      <c r="S60" s="90">
        <v>0.2</v>
      </c>
      <c r="T60" s="3">
        <v>1.6E-2</v>
      </c>
      <c r="U60" s="3">
        <v>-2.1</v>
      </c>
      <c r="V60" s="3">
        <v>0</v>
      </c>
    </row>
    <row r="61" spans="1:37">
      <c r="A61" s="1">
        <v>59</v>
      </c>
      <c r="B61" s="3">
        <v>59</v>
      </c>
      <c r="C61" s="3" t="s">
        <v>31</v>
      </c>
      <c r="D61" s="67" t="s">
        <v>1419</v>
      </c>
      <c r="E61" s="3" t="s">
        <v>30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91">
        <v>0</v>
      </c>
      <c r="T61" s="2">
        <v>0</v>
      </c>
      <c r="U61" s="2">
        <v>0</v>
      </c>
      <c r="V61" s="2">
        <v>0</v>
      </c>
    </row>
    <row r="62" spans="1:37">
      <c r="A62" s="1">
        <v>60</v>
      </c>
      <c r="B62" s="3">
        <v>60</v>
      </c>
      <c r="C62" s="3" t="s">
        <v>72</v>
      </c>
      <c r="D62" s="67" t="s">
        <v>1420</v>
      </c>
      <c r="E62" s="3" t="s">
        <v>126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91">
        <v>0</v>
      </c>
      <c r="T62" s="2">
        <v>0</v>
      </c>
      <c r="U62" s="2">
        <v>0</v>
      </c>
      <c r="V62" s="2">
        <v>0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1421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1422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1423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1424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</sheetData>
  <conditionalFormatting sqref="G1:G62">
    <cfRule type="cellIs" dxfId="8" priority="1" operator="greaterThan">
      <formula>82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A7D4-AB86-FD4B-9B60-FC0DEA8BA384}">
  <dimension ref="A1:S480"/>
  <sheetViews>
    <sheetView topLeftCell="A331" zoomScale="125" workbookViewId="0">
      <selection activeCell="D113" sqref="D113"/>
    </sheetView>
  </sheetViews>
  <sheetFormatPr defaultColWidth="11" defaultRowHeight="15.95"/>
  <sheetData>
    <row r="1" spans="1:19">
      <c r="A1" s="152" t="s">
        <v>1</v>
      </c>
      <c r="B1" s="152" t="s">
        <v>2</v>
      </c>
      <c r="C1" s="152" t="s">
        <v>3</v>
      </c>
      <c r="D1" s="152" t="s">
        <v>4</v>
      </c>
      <c r="E1" s="152" t="s">
        <v>5</v>
      </c>
      <c r="F1" s="153" t="s">
        <v>6</v>
      </c>
      <c r="G1" s="152" t="s">
        <v>7</v>
      </c>
      <c r="H1" s="152" t="s">
        <v>8</v>
      </c>
      <c r="I1" s="152" t="s">
        <v>9</v>
      </c>
      <c r="J1" s="152" t="s">
        <v>10</v>
      </c>
      <c r="K1" s="152" t="s">
        <v>11</v>
      </c>
      <c r="L1" s="152" t="s">
        <v>12</v>
      </c>
      <c r="M1" s="152" t="s">
        <v>13</v>
      </c>
      <c r="N1" s="152" t="s">
        <v>7</v>
      </c>
      <c r="O1" s="152" t="s">
        <v>8</v>
      </c>
      <c r="P1" s="152" t="s">
        <v>9</v>
      </c>
      <c r="Q1" s="152" t="s">
        <v>10</v>
      </c>
      <c r="R1" s="152" t="s">
        <v>14</v>
      </c>
      <c r="S1" s="152" t="s">
        <v>1425</v>
      </c>
    </row>
    <row r="2" spans="1:19" ht="30">
      <c r="A2" s="154">
        <v>36</v>
      </c>
      <c r="B2" s="154" t="s">
        <v>124</v>
      </c>
      <c r="C2" s="157" t="s">
        <v>479</v>
      </c>
      <c r="D2" s="43"/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t="e">
        <f t="shared" ref="S2:S33" si="0">R2/E2</f>
        <v>#DIV/0!</v>
      </c>
    </row>
    <row r="3" spans="1:19">
      <c r="A3" s="154">
        <v>39</v>
      </c>
      <c r="B3" s="154" t="s">
        <v>76</v>
      </c>
      <c r="C3" s="157" t="s">
        <v>481</v>
      </c>
      <c r="D3" s="43"/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t="e">
        <f t="shared" si="0"/>
        <v>#DIV/0!</v>
      </c>
    </row>
    <row r="4" spans="1:19" ht="30">
      <c r="A4" s="154">
        <v>46</v>
      </c>
      <c r="B4" s="154" t="s">
        <v>34</v>
      </c>
      <c r="C4" s="157" t="s">
        <v>488</v>
      </c>
      <c r="D4" s="43"/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t="e">
        <f t="shared" si="0"/>
        <v>#DIV/0!</v>
      </c>
    </row>
    <row r="5" spans="1:19">
      <c r="A5" s="154">
        <v>50</v>
      </c>
      <c r="B5" s="154" t="s">
        <v>135</v>
      </c>
      <c r="C5" s="157" t="s">
        <v>491</v>
      </c>
      <c r="D5" s="43"/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t="e">
        <f t="shared" si="0"/>
        <v>#DIV/0!</v>
      </c>
    </row>
    <row r="6" spans="1:19">
      <c r="A6" s="154">
        <v>54</v>
      </c>
      <c r="B6" s="154" t="s">
        <v>69</v>
      </c>
      <c r="C6" s="157" t="s">
        <v>495</v>
      </c>
      <c r="D6" s="43"/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t="e">
        <f t="shared" si="0"/>
        <v>#DIV/0!</v>
      </c>
    </row>
    <row r="7" spans="1:19" ht="30">
      <c r="A7" s="154">
        <v>58</v>
      </c>
      <c r="B7" s="154" t="s">
        <v>41</v>
      </c>
      <c r="C7" s="157" t="s">
        <v>498</v>
      </c>
      <c r="D7" s="43"/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t="e">
        <f t="shared" si="0"/>
        <v>#DIV/0!</v>
      </c>
    </row>
    <row r="8" spans="1:19">
      <c r="A8" s="3">
        <v>34</v>
      </c>
      <c r="B8" s="3" t="s">
        <v>82</v>
      </c>
      <c r="C8" s="67" t="s">
        <v>547</v>
      </c>
      <c r="D8" s="2"/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t="e">
        <f t="shared" si="0"/>
        <v>#DIV/0!</v>
      </c>
    </row>
    <row r="9" spans="1:19" ht="30">
      <c r="A9" s="3">
        <v>45</v>
      </c>
      <c r="B9" s="3" t="s">
        <v>190</v>
      </c>
      <c r="C9" s="67" t="s">
        <v>553</v>
      </c>
      <c r="D9" s="2"/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t="e">
        <f t="shared" si="0"/>
        <v>#DIV/0!</v>
      </c>
    </row>
    <row r="10" spans="1:19">
      <c r="A10" s="3">
        <v>49</v>
      </c>
      <c r="B10" s="3" t="s">
        <v>47</v>
      </c>
      <c r="C10" s="67" t="s">
        <v>556</v>
      </c>
      <c r="D10" s="3" t="s">
        <v>335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t="e">
        <f t="shared" si="0"/>
        <v>#DIV/0!</v>
      </c>
    </row>
    <row r="11" spans="1:19" ht="30">
      <c r="A11" s="3">
        <v>57</v>
      </c>
      <c r="B11" s="3" t="s">
        <v>119</v>
      </c>
      <c r="C11" s="67" t="s">
        <v>563</v>
      </c>
      <c r="D11" s="3" t="s">
        <v>182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t="e">
        <f t="shared" si="0"/>
        <v>#DIV/0!</v>
      </c>
    </row>
    <row r="12" spans="1:19">
      <c r="A12" s="3">
        <v>47</v>
      </c>
      <c r="B12" s="3" t="s">
        <v>190</v>
      </c>
      <c r="C12" s="67" t="s">
        <v>625</v>
      </c>
      <c r="D12" s="2"/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t="e">
        <f t="shared" si="0"/>
        <v>#DIV/0!</v>
      </c>
    </row>
    <row r="13" spans="1:19">
      <c r="A13" s="3">
        <v>51</v>
      </c>
      <c r="B13" s="3" t="s">
        <v>25</v>
      </c>
      <c r="C13" s="67" t="s">
        <v>628</v>
      </c>
      <c r="D13" s="3" t="s">
        <v>629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t="e">
        <f t="shared" si="0"/>
        <v>#DIV/0!</v>
      </c>
    </row>
    <row r="14" spans="1:19" ht="30">
      <c r="A14" s="3">
        <v>56</v>
      </c>
      <c r="B14" s="3" t="s">
        <v>28</v>
      </c>
      <c r="C14" s="67" t="s">
        <v>698</v>
      </c>
      <c r="D14" s="3" t="s">
        <v>63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t="e">
        <f t="shared" si="0"/>
        <v>#DIV/0!</v>
      </c>
    </row>
    <row r="15" spans="1:19" ht="30">
      <c r="A15" s="3">
        <v>60</v>
      </c>
      <c r="B15" s="3" t="s">
        <v>36</v>
      </c>
      <c r="C15" s="67" t="s">
        <v>703</v>
      </c>
      <c r="D15" s="2"/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t="e">
        <f t="shared" si="0"/>
        <v>#DIV/0!</v>
      </c>
    </row>
    <row r="16" spans="1:19">
      <c r="A16" s="3">
        <v>43</v>
      </c>
      <c r="B16" s="3" t="s">
        <v>23</v>
      </c>
      <c r="C16" s="67" t="s">
        <v>764</v>
      </c>
      <c r="D16" s="3" t="s">
        <v>89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t="e">
        <f t="shared" si="0"/>
        <v>#DIV/0!</v>
      </c>
    </row>
    <row r="17" spans="1:19" ht="30">
      <c r="A17" s="3">
        <v>44</v>
      </c>
      <c r="B17" s="3" t="s">
        <v>69</v>
      </c>
      <c r="C17" s="67" t="s">
        <v>765</v>
      </c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t="e">
        <f t="shared" si="0"/>
        <v>#DIV/0!</v>
      </c>
    </row>
    <row r="18" spans="1:19" ht="30">
      <c r="A18" s="3">
        <v>51</v>
      </c>
      <c r="B18" s="3" t="s">
        <v>44</v>
      </c>
      <c r="C18" s="67" t="s">
        <v>772</v>
      </c>
      <c r="D18" s="3" t="s">
        <v>409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t="e">
        <f t="shared" si="0"/>
        <v>#DIV/0!</v>
      </c>
    </row>
    <row r="19" spans="1:19">
      <c r="A19" s="3">
        <v>50</v>
      </c>
      <c r="B19" s="3" t="s">
        <v>66</v>
      </c>
      <c r="C19" s="67" t="s">
        <v>834</v>
      </c>
      <c r="D19" s="2"/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t="e">
        <f t="shared" si="0"/>
        <v>#DIV/0!</v>
      </c>
    </row>
    <row r="20" spans="1:19">
      <c r="A20" s="3">
        <v>58</v>
      </c>
      <c r="B20" s="3" t="s">
        <v>50</v>
      </c>
      <c r="C20" s="67" t="s">
        <v>842</v>
      </c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t="e">
        <f t="shared" si="0"/>
        <v>#DIV/0!</v>
      </c>
    </row>
    <row r="21" spans="1:19" ht="30">
      <c r="A21" s="3">
        <v>60</v>
      </c>
      <c r="B21" s="3" t="s">
        <v>184</v>
      </c>
      <c r="C21" s="67" t="s">
        <v>844</v>
      </c>
      <c r="D21" s="2"/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t="e">
        <f t="shared" si="0"/>
        <v>#DIV/0!</v>
      </c>
    </row>
    <row r="22" spans="1:19">
      <c r="A22" s="3">
        <v>35</v>
      </c>
      <c r="B22" s="3" t="s">
        <v>190</v>
      </c>
      <c r="C22" s="67" t="s">
        <v>898</v>
      </c>
      <c r="D22" s="2"/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t="e">
        <f t="shared" si="0"/>
        <v>#DIV/0!</v>
      </c>
    </row>
    <row r="23" spans="1:19">
      <c r="A23" s="3">
        <v>39</v>
      </c>
      <c r="B23" s="3" t="s">
        <v>44</v>
      </c>
      <c r="C23" s="67" t="s">
        <v>902</v>
      </c>
      <c r="D23" s="2"/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t="e">
        <f t="shared" si="0"/>
        <v>#DIV/0!</v>
      </c>
    </row>
    <row r="24" spans="1:19">
      <c r="A24" s="3">
        <v>44</v>
      </c>
      <c r="B24" s="3" t="s">
        <v>184</v>
      </c>
      <c r="C24" s="67" t="s">
        <v>907</v>
      </c>
      <c r="D24" s="2"/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t="e">
        <f t="shared" si="0"/>
        <v>#DIV/0!</v>
      </c>
    </row>
    <row r="25" spans="1:19">
      <c r="A25" s="3">
        <v>57</v>
      </c>
      <c r="B25" s="3" t="s">
        <v>152</v>
      </c>
      <c r="C25" s="67" t="s">
        <v>920</v>
      </c>
      <c r="D25" s="2"/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t="e">
        <f t="shared" si="0"/>
        <v>#DIV/0!</v>
      </c>
    </row>
    <row r="26" spans="1:19">
      <c r="A26" s="3">
        <v>59</v>
      </c>
      <c r="B26" s="3" t="s">
        <v>36</v>
      </c>
      <c r="C26" s="67" t="s">
        <v>922</v>
      </c>
      <c r="D26" s="3" t="s">
        <v>728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t="e">
        <f t="shared" si="0"/>
        <v>#DIV/0!</v>
      </c>
    </row>
    <row r="27" spans="1:19">
      <c r="A27" s="3">
        <v>39</v>
      </c>
      <c r="B27" s="3" t="s">
        <v>119</v>
      </c>
      <c r="C27" s="67" t="s">
        <v>976</v>
      </c>
      <c r="D27" s="2"/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t="e">
        <f t="shared" si="0"/>
        <v>#DIV/0!</v>
      </c>
    </row>
    <row r="28" spans="1:19">
      <c r="A28" s="3">
        <v>42</v>
      </c>
      <c r="B28" s="3" t="s">
        <v>193</v>
      </c>
      <c r="C28" s="67" t="s">
        <v>977</v>
      </c>
      <c r="D28" s="3" t="s">
        <v>364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t="e">
        <f t="shared" si="0"/>
        <v>#DIV/0!</v>
      </c>
    </row>
    <row r="29" spans="1:19">
      <c r="A29" s="3">
        <v>45</v>
      </c>
      <c r="B29" s="3" t="s">
        <v>190</v>
      </c>
      <c r="C29" s="67" t="s">
        <v>222</v>
      </c>
      <c r="D29" s="3" t="s">
        <v>980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t="e">
        <f t="shared" si="0"/>
        <v>#DIV/0!</v>
      </c>
    </row>
    <row r="30" spans="1:19" ht="30">
      <c r="A30" s="3">
        <v>47</v>
      </c>
      <c r="B30" s="3" t="s">
        <v>66</v>
      </c>
      <c r="C30" s="67" t="s">
        <v>981</v>
      </c>
      <c r="D30" s="2"/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t="e">
        <f t="shared" si="0"/>
        <v>#DIV/0!</v>
      </c>
    </row>
    <row r="31" spans="1:19" ht="30">
      <c r="A31" s="3">
        <v>49</v>
      </c>
      <c r="B31" s="3" t="s">
        <v>69</v>
      </c>
      <c r="C31" s="67" t="s">
        <v>983</v>
      </c>
      <c r="D31" s="3" t="s">
        <v>397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t="e">
        <f t="shared" si="0"/>
        <v>#DIV/0!</v>
      </c>
    </row>
    <row r="32" spans="1:19" ht="30">
      <c r="A32" s="3">
        <v>50</v>
      </c>
      <c r="B32" s="3" t="s">
        <v>184</v>
      </c>
      <c r="C32" s="67" t="s">
        <v>984</v>
      </c>
      <c r="D32" s="2"/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t="e">
        <f t="shared" si="0"/>
        <v>#DIV/0!</v>
      </c>
    </row>
    <row r="33" spans="1:19" ht="30">
      <c r="A33" s="3">
        <v>51</v>
      </c>
      <c r="B33" s="3" t="s">
        <v>179</v>
      </c>
      <c r="C33" s="67" t="s">
        <v>985</v>
      </c>
      <c r="D33" s="3" t="s">
        <v>986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t="e">
        <f t="shared" si="0"/>
        <v>#DIV/0!</v>
      </c>
    </row>
    <row r="34" spans="1:19">
      <c r="A34" s="3">
        <v>52</v>
      </c>
      <c r="B34" s="3" t="s">
        <v>20</v>
      </c>
      <c r="C34" s="67" t="s">
        <v>987</v>
      </c>
      <c r="D34" s="2"/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t="e">
        <f t="shared" ref="S34:S65" si="1">R34/E34</f>
        <v>#DIV/0!</v>
      </c>
    </row>
    <row r="35" spans="1:19">
      <c r="A35" s="3">
        <v>53</v>
      </c>
      <c r="B35" s="3" t="s">
        <v>76</v>
      </c>
      <c r="C35" s="67" t="s">
        <v>988</v>
      </c>
      <c r="D35" s="3" t="s">
        <v>989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t="e">
        <f t="shared" si="1"/>
        <v>#DIV/0!</v>
      </c>
    </row>
    <row r="36" spans="1:19">
      <c r="A36" s="3">
        <v>54</v>
      </c>
      <c r="B36" s="3" t="s">
        <v>193</v>
      </c>
      <c r="C36" s="67" t="s">
        <v>990</v>
      </c>
      <c r="D36" s="2"/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t="e">
        <f t="shared" si="1"/>
        <v>#DIV/0!</v>
      </c>
    </row>
    <row r="37" spans="1:19">
      <c r="A37" s="3">
        <v>55</v>
      </c>
      <c r="B37" s="3" t="s">
        <v>79</v>
      </c>
      <c r="C37" s="67" t="s">
        <v>991</v>
      </c>
      <c r="D37" s="3" t="s">
        <v>992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t="e">
        <f t="shared" si="1"/>
        <v>#DIV/0!</v>
      </c>
    </row>
    <row r="38" spans="1:19" ht="30">
      <c r="A38" s="3">
        <v>57</v>
      </c>
      <c r="B38" s="3" t="s">
        <v>23</v>
      </c>
      <c r="C38" s="67" t="s">
        <v>994</v>
      </c>
      <c r="D38" s="2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t="e">
        <f t="shared" si="1"/>
        <v>#DIV/0!</v>
      </c>
    </row>
    <row r="39" spans="1:19">
      <c r="A39" s="3">
        <v>58</v>
      </c>
      <c r="B39" s="3" t="s">
        <v>66</v>
      </c>
      <c r="C39" s="67" t="s">
        <v>995</v>
      </c>
      <c r="D39" s="3" t="s">
        <v>78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t="e">
        <f t="shared" si="1"/>
        <v>#DIV/0!</v>
      </c>
    </row>
    <row r="40" spans="1:19">
      <c r="A40" s="3">
        <v>59</v>
      </c>
      <c r="B40" s="3" t="s">
        <v>184</v>
      </c>
      <c r="C40" s="67" t="s">
        <v>996</v>
      </c>
      <c r="D40" s="2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t="e">
        <f t="shared" si="1"/>
        <v>#DIV/0!</v>
      </c>
    </row>
    <row r="41" spans="1:19">
      <c r="A41" s="3">
        <v>60</v>
      </c>
      <c r="B41" s="3" t="s">
        <v>66</v>
      </c>
      <c r="C41" s="67" t="s">
        <v>997</v>
      </c>
      <c r="D41" s="2"/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t="e">
        <f t="shared" si="1"/>
        <v>#DIV/0!</v>
      </c>
    </row>
    <row r="42" spans="1:19">
      <c r="A42" s="3">
        <v>37</v>
      </c>
      <c r="B42" s="3" t="s">
        <v>163</v>
      </c>
      <c r="C42" s="67" t="s">
        <v>1059</v>
      </c>
      <c r="D42" s="3" t="s">
        <v>300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t="e">
        <f t="shared" si="1"/>
        <v>#DIV/0!</v>
      </c>
    </row>
    <row r="43" spans="1:19" ht="30">
      <c r="A43" s="3">
        <v>50</v>
      </c>
      <c r="B43" s="3" t="s">
        <v>323</v>
      </c>
      <c r="C43" s="67" t="s">
        <v>1067</v>
      </c>
      <c r="D43" s="3" t="s">
        <v>1068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t="e">
        <f t="shared" si="1"/>
        <v>#DIV/0!</v>
      </c>
    </row>
    <row r="44" spans="1:19" ht="30">
      <c r="A44" s="3">
        <v>53</v>
      </c>
      <c r="B44" s="3" t="s">
        <v>135</v>
      </c>
      <c r="C44" s="67" t="s">
        <v>1071</v>
      </c>
      <c r="D44" s="2"/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t="e">
        <f t="shared" si="1"/>
        <v>#DIV/0!</v>
      </c>
    </row>
    <row r="45" spans="1:19" ht="30">
      <c r="A45" s="3">
        <v>54</v>
      </c>
      <c r="B45" s="3" t="s">
        <v>66</v>
      </c>
      <c r="C45" s="67" t="s">
        <v>1072</v>
      </c>
      <c r="D45" s="2"/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t="e">
        <f t="shared" si="1"/>
        <v>#DIV/0!</v>
      </c>
    </row>
    <row r="46" spans="1:19">
      <c r="A46" s="3">
        <v>57</v>
      </c>
      <c r="B46" s="3" t="s">
        <v>41</v>
      </c>
      <c r="C46" s="67" t="s">
        <v>1075</v>
      </c>
      <c r="D46" s="2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t="e">
        <f t="shared" si="1"/>
        <v>#DIV/0!</v>
      </c>
    </row>
    <row r="47" spans="1:19" ht="30">
      <c r="A47" s="3">
        <v>59</v>
      </c>
      <c r="B47" s="3" t="s">
        <v>163</v>
      </c>
      <c r="C47" s="67" t="s">
        <v>1077</v>
      </c>
      <c r="D47" s="3" t="s">
        <v>608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t="e">
        <f t="shared" si="1"/>
        <v>#DIV/0!</v>
      </c>
    </row>
    <row r="48" spans="1:19" ht="30">
      <c r="A48" s="3">
        <v>45</v>
      </c>
      <c r="B48" s="3" t="s">
        <v>124</v>
      </c>
      <c r="C48" s="67" t="s">
        <v>1140</v>
      </c>
      <c r="D48" s="2"/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t="e">
        <f t="shared" si="1"/>
        <v>#DIV/0!</v>
      </c>
    </row>
    <row r="49" spans="1:19">
      <c r="A49" s="3">
        <v>51</v>
      </c>
      <c r="B49" s="3" t="s">
        <v>179</v>
      </c>
      <c r="C49" s="67" t="s">
        <v>1144</v>
      </c>
      <c r="D49" s="3" t="s">
        <v>728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t="e">
        <f t="shared" si="1"/>
        <v>#DIV/0!</v>
      </c>
    </row>
    <row r="50" spans="1:19" ht="30">
      <c r="A50" s="3">
        <v>53</v>
      </c>
      <c r="B50" s="3" t="s">
        <v>41</v>
      </c>
      <c r="C50" s="67" t="s">
        <v>1146</v>
      </c>
      <c r="D50" s="3" t="s">
        <v>468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t="e">
        <f t="shared" si="1"/>
        <v>#DIV/0!</v>
      </c>
    </row>
    <row r="51" spans="1:19">
      <c r="A51" s="3">
        <v>54</v>
      </c>
      <c r="B51" s="3" t="s">
        <v>69</v>
      </c>
      <c r="C51" s="67" t="s">
        <v>1147</v>
      </c>
      <c r="D51" s="3" t="s">
        <v>55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t="e">
        <f t="shared" si="1"/>
        <v>#DIV/0!</v>
      </c>
    </row>
    <row r="52" spans="1:19" ht="30">
      <c r="A52" s="3">
        <v>57</v>
      </c>
      <c r="B52" s="3" t="s">
        <v>323</v>
      </c>
      <c r="C52" s="67" t="s">
        <v>1150</v>
      </c>
      <c r="D52" s="3" t="s">
        <v>71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t="e">
        <f t="shared" si="1"/>
        <v>#DIV/0!</v>
      </c>
    </row>
    <row r="53" spans="1:19" ht="45">
      <c r="A53" s="3">
        <v>58</v>
      </c>
      <c r="B53" s="3" t="s">
        <v>79</v>
      </c>
      <c r="C53" s="67" t="s">
        <v>1151</v>
      </c>
      <c r="D53" s="3" t="s">
        <v>404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t="e">
        <f t="shared" si="1"/>
        <v>#DIV/0!</v>
      </c>
    </row>
    <row r="54" spans="1:19" ht="30">
      <c r="A54" s="3">
        <v>59</v>
      </c>
      <c r="B54" s="3" t="s">
        <v>135</v>
      </c>
      <c r="C54" s="67" t="s">
        <v>1152</v>
      </c>
      <c r="D54" s="2"/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t="e">
        <f t="shared" si="1"/>
        <v>#DIV/0!</v>
      </c>
    </row>
    <row r="55" spans="1:19">
      <c r="A55" s="3">
        <v>60</v>
      </c>
      <c r="B55" s="3" t="s">
        <v>152</v>
      </c>
      <c r="C55" s="67" t="s">
        <v>1153</v>
      </c>
      <c r="D55" s="2"/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t="e">
        <f t="shared" si="1"/>
        <v>#DIV/0!</v>
      </c>
    </row>
    <row r="56" spans="1:19" ht="30">
      <c r="A56" s="3">
        <v>50</v>
      </c>
      <c r="B56" s="3" t="s">
        <v>23</v>
      </c>
      <c r="C56" s="67" t="s">
        <v>1207</v>
      </c>
      <c r="D56" s="2"/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t="e">
        <f t="shared" si="1"/>
        <v>#DIV/0!</v>
      </c>
    </row>
    <row r="57" spans="1:19" ht="30">
      <c r="A57" s="3">
        <v>56</v>
      </c>
      <c r="B57" s="3" t="s">
        <v>163</v>
      </c>
      <c r="C57" s="67" t="s">
        <v>1213</v>
      </c>
      <c r="D57" s="2"/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t="e">
        <f t="shared" si="1"/>
        <v>#DIV/0!</v>
      </c>
    </row>
    <row r="58" spans="1:19">
      <c r="A58" s="3">
        <v>57</v>
      </c>
      <c r="B58" s="3" t="s">
        <v>1214</v>
      </c>
      <c r="C58" s="67" t="s">
        <v>1215</v>
      </c>
      <c r="D58" s="2"/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t="e">
        <f t="shared" si="1"/>
        <v>#DIV/0!</v>
      </c>
    </row>
    <row r="59" spans="1:19" ht="30">
      <c r="A59" s="3">
        <v>59</v>
      </c>
      <c r="B59" s="3" t="s">
        <v>79</v>
      </c>
      <c r="C59" s="67" t="s">
        <v>1217</v>
      </c>
      <c r="D59" s="3" t="s">
        <v>71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t="e">
        <f t="shared" si="1"/>
        <v>#DIV/0!</v>
      </c>
    </row>
    <row r="60" spans="1:19">
      <c r="A60" s="3">
        <v>51</v>
      </c>
      <c r="B60" s="3" t="s">
        <v>124</v>
      </c>
      <c r="C60" s="67" t="s">
        <v>1282</v>
      </c>
      <c r="D60" s="3" t="s">
        <v>404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94">
        <v>0</v>
      </c>
      <c r="S60" t="e">
        <f t="shared" si="1"/>
        <v>#DIV/0!</v>
      </c>
    </row>
    <row r="61" spans="1:19">
      <c r="A61" s="3">
        <v>54</v>
      </c>
      <c r="B61" s="3" t="s">
        <v>76</v>
      </c>
      <c r="C61" s="67" t="s">
        <v>1285</v>
      </c>
      <c r="D61" s="2"/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94">
        <v>0</v>
      </c>
      <c r="S61" t="e">
        <f t="shared" si="1"/>
        <v>#DIV/0!</v>
      </c>
    </row>
    <row r="62" spans="1:19">
      <c r="A62" s="3">
        <v>56</v>
      </c>
      <c r="B62" s="3" t="s">
        <v>31</v>
      </c>
      <c r="C62" s="67" t="s">
        <v>1286</v>
      </c>
      <c r="D62" s="2"/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94">
        <v>0</v>
      </c>
      <c r="S62" t="e">
        <f t="shared" si="1"/>
        <v>#DIV/0!</v>
      </c>
    </row>
    <row r="63" spans="1:19">
      <c r="A63" s="3">
        <v>57</v>
      </c>
      <c r="B63" s="3" t="s">
        <v>20</v>
      </c>
      <c r="C63" s="67" t="s">
        <v>1287</v>
      </c>
      <c r="D63" s="2"/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94">
        <v>0</v>
      </c>
      <c r="S63" t="e">
        <f t="shared" si="1"/>
        <v>#DIV/0!</v>
      </c>
    </row>
    <row r="64" spans="1:19" ht="30">
      <c r="A64" s="3">
        <v>58</v>
      </c>
      <c r="B64" s="3" t="s">
        <v>31</v>
      </c>
      <c r="C64" s="67" t="s">
        <v>1288</v>
      </c>
      <c r="D64" s="2"/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94">
        <v>0</v>
      </c>
      <c r="S64" t="e">
        <f t="shared" si="1"/>
        <v>#DIV/0!</v>
      </c>
    </row>
    <row r="65" spans="1:19">
      <c r="A65" s="3">
        <v>59</v>
      </c>
      <c r="B65" s="3" t="s">
        <v>79</v>
      </c>
      <c r="C65" s="67" t="s">
        <v>1289</v>
      </c>
      <c r="D65" s="2"/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94">
        <v>0</v>
      </c>
      <c r="S65" t="e">
        <f t="shared" si="1"/>
        <v>#DIV/0!</v>
      </c>
    </row>
    <row r="66" spans="1:19">
      <c r="A66" s="3">
        <v>36</v>
      </c>
      <c r="B66" s="3" t="s">
        <v>34</v>
      </c>
      <c r="C66" s="67" t="s">
        <v>1331</v>
      </c>
      <c r="D66" s="3" t="s">
        <v>1332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93">
        <v>0</v>
      </c>
      <c r="S66" t="e">
        <f t="shared" ref="S66:S97" si="2">R66/E66</f>
        <v>#DIV/0!</v>
      </c>
    </row>
    <row r="67" spans="1:19">
      <c r="A67" s="3">
        <v>42</v>
      </c>
      <c r="B67" s="3" t="s">
        <v>72</v>
      </c>
      <c r="C67" s="67" t="s">
        <v>1336</v>
      </c>
      <c r="D67" s="3" t="s">
        <v>87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94">
        <v>0</v>
      </c>
      <c r="S67" t="e">
        <f t="shared" si="2"/>
        <v>#DIV/0!</v>
      </c>
    </row>
    <row r="68" spans="1:19">
      <c r="A68" s="3">
        <v>45</v>
      </c>
      <c r="B68" s="3" t="s">
        <v>135</v>
      </c>
      <c r="C68" s="67" t="s">
        <v>1340</v>
      </c>
      <c r="D68" s="2"/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94">
        <v>0</v>
      </c>
      <c r="S68" t="e">
        <f t="shared" si="2"/>
        <v>#DIV/0!</v>
      </c>
    </row>
    <row r="69" spans="1:19" ht="30">
      <c r="A69" s="3">
        <v>47</v>
      </c>
      <c r="B69" s="3" t="s">
        <v>57</v>
      </c>
      <c r="C69" s="67" t="s">
        <v>1342</v>
      </c>
      <c r="D69" s="3" t="s">
        <v>728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94">
        <v>0</v>
      </c>
      <c r="S69" t="e">
        <f t="shared" si="2"/>
        <v>#DIV/0!</v>
      </c>
    </row>
    <row r="70" spans="1:19">
      <c r="A70" s="3">
        <v>48</v>
      </c>
      <c r="B70" s="3" t="s">
        <v>72</v>
      </c>
      <c r="C70" s="67" t="s">
        <v>1343</v>
      </c>
      <c r="D70" s="2"/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94">
        <v>0</v>
      </c>
      <c r="S70" t="e">
        <f t="shared" si="2"/>
        <v>#DIV/0!</v>
      </c>
    </row>
    <row r="71" spans="1:19">
      <c r="A71" s="3">
        <v>49</v>
      </c>
      <c r="B71" s="3" t="s">
        <v>79</v>
      </c>
      <c r="C71" s="67" t="s">
        <v>1344</v>
      </c>
      <c r="D71" s="2"/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94">
        <v>0</v>
      </c>
      <c r="S71" t="e">
        <f t="shared" si="2"/>
        <v>#DIV/0!</v>
      </c>
    </row>
    <row r="72" spans="1:19" ht="30">
      <c r="A72" s="3">
        <v>51</v>
      </c>
      <c r="B72" s="3" t="s">
        <v>82</v>
      </c>
      <c r="C72" s="67" t="s">
        <v>1346</v>
      </c>
      <c r="D72" s="3" t="s">
        <v>1347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94">
        <v>0</v>
      </c>
      <c r="S72" t="e">
        <f t="shared" si="2"/>
        <v>#DIV/0!</v>
      </c>
    </row>
    <row r="73" spans="1:19" ht="30">
      <c r="A73" s="3">
        <v>59</v>
      </c>
      <c r="B73" s="3" t="s">
        <v>179</v>
      </c>
      <c r="C73" s="67" t="s">
        <v>1357</v>
      </c>
      <c r="D73" s="3" t="s">
        <v>300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94">
        <v>0</v>
      </c>
      <c r="S73" t="e">
        <f t="shared" si="2"/>
        <v>#DIV/0!</v>
      </c>
    </row>
    <row r="74" spans="1:19">
      <c r="A74" s="3">
        <v>60</v>
      </c>
      <c r="B74" s="3" t="s">
        <v>323</v>
      </c>
      <c r="C74" s="67" t="s">
        <v>1358</v>
      </c>
      <c r="D74" s="3" t="s">
        <v>103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94">
        <v>0</v>
      </c>
      <c r="S74" t="e">
        <f t="shared" si="2"/>
        <v>#DIV/0!</v>
      </c>
    </row>
    <row r="75" spans="1:19" ht="30">
      <c r="A75" s="3">
        <v>34</v>
      </c>
      <c r="B75" s="3" t="s">
        <v>23</v>
      </c>
      <c r="C75" s="67" t="s">
        <v>1400</v>
      </c>
      <c r="D75" s="2"/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91">
        <v>0</v>
      </c>
      <c r="S75" t="e">
        <f t="shared" si="2"/>
        <v>#DIV/0!</v>
      </c>
    </row>
    <row r="76" spans="1:19">
      <c r="A76" s="3">
        <v>47</v>
      </c>
      <c r="B76" s="3" t="s">
        <v>135</v>
      </c>
      <c r="C76" s="67" t="s">
        <v>1406</v>
      </c>
      <c r="D76" s="2"/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91">
        <v>0</v>
      </c>
      <c r="S76" t="e">
        <f t="shared" si="2"/>
        <v>#DIV/0!</v>
      </c>
    </row>
    <row r="77" spans="1:19">
      <c r="A77" s="3">
        <v>49</v>
      </c>
      <c r="B77" s="3" t="s">
        <v>184</v>
      </c>
      <c r="C77" s="67" t="s">
        <v>1408</v>
      </c>
      <c r="D77" s="2"/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91">
        <v>0</v>
      </c>
      <c r="S77" t="e">
        <f t="shared" si="2"/>
        <v>#DIV/0!</v>
      </c>
    </row>
    <row r="78" spans="1:19">
      <c r="A78" s="3">
        <v>50</v>
      </c>
      <c r="B78" s="3" t="s">
        <v>193</v>
      </c>
      <c r="C78" s="67" t="s">
        <v>1409</v>
      </c>
      <c r="D78" s="3" t="s">
        <v>27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91">
        <v>0</v>
      </c>
      <c r="S78" t="e">
        <f t="shared" si="2"/>
        <v>#DIV/0!</v>
      </c>
    </row>
    <row r="79" spans="1:19">
      <c r="A79" s="3">
        <v>51</v>
      </c>
      <c r="B79" s="3" t="s">
        <v>79</v>
      </c>
      <c r="C79" s="67" t="s">
        <v>1410</v>
      </c>
      <c r="D79" s="3" t="s">
        <v>103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91">
        <v>0</v>
      </c>
      <c r="S79" t="e">
        <f t="shared" si="2"/>
        <v>#DIV/0!</v>
      </c>
    </row>
    <row r="80" spans="1:19" ht="30">
      <c r="A80" s="3">
        <v>54</v>
      </c>
      <c r="B80" s="3" t="s">
        <v>1095</v>
      </c>
      <c r="C80" s="67" t="s">
        <v>1413</v>
      </c>
      <c r="D80" s="3" t="s">
        <v>1414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91">
        <v>0</v>
      </c>
      <c r="S80" t="e">
        <f t="shared" si="2"/>
        <v>#DIV/0!</v>
      </c>
    </row>
    <row r="81" spans="1:19">
      <c r="A81" s="3">
        <v>56</v>
      </c>
      <c r="B81" s="3" t="s">
        <v>20</v>
      </c>
      <c r="C81" s="67" t="s">
        <v>1415</v>
      </c>
      <c r="D81" s="3" t="s">
        <v>884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91">
        <v>0</v>
      </c>
      <c r="S81" t="e">
        <f t="shared" si="2"/>
        <v>#DIV/0!</v>
      </c>
    </row>
    <row r="82" spans="1:19">
      <c r="A82" s="3">
        <v>57</v>
      </c>
      <c r="B82" s="3" t="s">
        <v>323</v>
      </c>
      <c r="C82" s="67" t="s">
        <v>1416</v>
      </c>
      <c r="D82" s="2"/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91">
        <v>0</v>
      </c>
      <c r="S82" t="e">
        <f t="shared" si="2"/>
        <v>#DIV/0!</v>
      </c>
    </row>
    <row r="83" spans="1:19" ht="30">
      <c r="A83" s="3">
        <v>59</v>
      </c>
      <c r="B83" s="3" t="s">
        <v>31</v>
      </c>
      <c r="C83" s="67" t="s">
        <v>1419</v>
      </c>
      <c r="D83" s="3" t="s">
        <v>30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91">
        <v>0</v>
      </c>
      <c r="S83" t="e">
        <f t="shared" si="2"/>
        <v>#DIV/0!</v>
      </c>
    </row>
    <row r="84" spans="1:19" ht="30">
      <c r="A84" s="3">
        <v>60</v>
      </c>
      <c r="B84" s="3" t="s">
        <v>72</v>
      </c>
      <c r="C84" s="67" t="s">
        <v>1420</v>
      </c>
      <c r="D84" s="3" t="s">
        <v>126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91">
        <v>0</v>
      </c>
      <c r="S84" t="e">
        <f t="shared" si="2"/>
        <v>#DIV/0!</v>
      </c>
    </row>
    <row r="85" spans="1:19">
      <c r="A85" s="61">
        <v>44</v>
      </c>
      <c r="B85" s="61" t="s">
        <v>193</v>
      </c>
      <c r="C85" s="66" t="s">
        <v>1426</v>
      </c>
      <c r="D85" s="65"/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130">
        <v>0</v>
      </c>
      <c r="O85" s="65">
        <v>0</v>
      </c>
      <c r="P85" s="65">
        <v>0</v>
      </c>
      <c r="Q85" s="65">
        <v>0</v>
      </c>
      <c r="R85" s="93">
        <v>0</v>
      </c>
      <c r="S85" t="e">
        <f t="shared" si="2"/>
        <v>#DIV/0!</v>
      </c>
    </row>
    <row r="86" spans="1:19" ht="30">
      <c r="A86" s="61">
        <v>46</v>
      </c>
      <c r="B86" s="61" t="s">
        <v>141</v>
      </c>
      <c r="C86" s="66" t="s">
        <v>1427</v>
      </c>
      <c r="D86" s="61" t="s">
        <v>1241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130">
        <v>0</v>
      </c>
      <c r="O86" s="65">
        <v>0</v>
      </c>
      <c r="P86" s="65">
        <v>0</v>
      </c>
      <c r="Q86" s="65">
        <v>0</v>
      </c>
      <c r="R86" s="93">
        <v>0</v>
      </c>
      <c r="S86" t="e">
        <f t="shared" si="2"/>
        <v>#DIV/0!</v>
      </c>
    </row>
    <row r="87" spans="1:19">
      <c r="A87" s="61">
        <v>49</v>
      </c>
      <c r="B87" s="61" t="s">
        <v>25</v>
      </c>
      <c r="C87" s="66" t="s">
        <v>1428</v>
      </c>
      <c r="D87" s="61" t="s">
        <v>46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130">
        <v>0</v>
      </c>
      <c r="O87" s="65">
        <v>0</v>
      </c>
      <c r="P87" s="65">
        <v>0</v>
      </c>
      <c r="Q87" s="65">
        <v>0</v>
      </c>
      <c r="R87" s="93">
        <v>0</v>
      </c>
      <c r="S87" t="e">
        <f t="shared" si="2"/>
        <v>#DIV/0!</v>
      </c>
    </row>
    <row r="88" spans="1:19">
      <c r="A88" s="61">
        <v>50</v>
      </c>
      <c r="B88" s="61" t="s">
        <v>141</v>
      </c>
      <c r="C88" s="66" t="s">
        <v>1429</v>
      </c>
      <c r="D88" s="61" t="s">
        <v>200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130">
        <v>0</v>
      </c>
      <c r="O88" s="65">
        <v>0</v>
      </c>
      <c r="P88" s="65">
        <v>0</v>
      </c>
      <c r="Q88" s="65">
        <v>0</v>
      </c>
      <c r="R88" s="93">
        <v>0</v>
      </c>
      <c r="S88" t="e">
        <f t="shared" si="2"/>
        <v>#DIV/0!</v>
      </c>
    </row>
    <row r="89" spans="1:19" ht="30">
      <c r="A89" s="61">
        <v>51</v>
      </c>
      <c r="B89" s="61" t="s">
        <v>20</v>
      </c>
      <c r="C89" s="66" t="s">
        <v>1430</v>
      </c>
      <c r="D89" s="61" t="s">
        <v>592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130">
        <v>0</v>
      </c>
      <c r="O89" s="65">
        <v>0</v>
      </c>
      <c r="P89" s="65">
        <v>0</v>
      </c>
      <c r="Q89" s="65">
        <v>0</v>
      </c>
      <c r="R89" s="93">
        <v>0</v>
      </c>
      <c r="S89" t="e">
        <f t="shared" si="2"/>
        <v>#DIV/0!</v>
      </c>
    </row>
    <row r="90" spans="1:19" ht="30">
      <c r="A90" s="61">
        <v>53</v>
      </c>
      <c r="B90" s="61" t="s">
        <v>193</v>
      </c>
      <c r="C90" s="66" t="s">
        <v>1431</v>
      </c>
      <c r="D90" s="65"/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130">
        <v>0</v>
      </c>
      <c r="O90" s="65">
        <v>0</v>
      </c>
      <c r="P90" s="65">
        <v>0</v>
      </c>
      <c r="Q90" s="65">
        <v>0</v>
      </c>
      <c r="R90" s="93">
        <v>0</v>
      </c>
      <c r="S90" t="e">
        <f t="shared" si="2"/>
        <v>#DIV/0!</v>
      </c>
    </row>
    <row r="91" spans="1:19">
      <c r="A91" s="61">
        <v>54</v>
      </c>
      <c r="B91" s="61" t="s">
        <v>52</v>
      </c>
      <c r="C91" s="66" t="s">
        <v>1432</v>
      </c>
      <c r="D91" s="61" t="s">
        <v>55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130">
        <v>0</v>
      </c>
      <c r="O91" s="65">
        <v>0</v>
      </c>
      <c r="P91" s="65">
        <v>0</v>
      </c>
      <c r="Q91" s="65">
        <v>0</v>
      </c>
      <c r="R91" s="93">
        <v>0</v>
      </c>
      <c r="S91" t="e">
        <f t="shared" si="2"/>
        <v>#DIV/0!</v>
      </c>
    </row>
    <row r="92" spans="1:19" ht="30">
      <c r="A92" s="61">
        <v>57</v>
      </c>
      <c r="B92" s="61" t="s">
        <v>79</v>
      </c>
      <c r="C92" s="66" t="s">
        <v>1433</v>
      </c>
      <c r="D92" s="61" t="s">
        <v>89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130">
        <v>0</v>
      </c>
      <c r="O92" s="65">
        <v>0</v>
      </c>
      <c r="P92" s="65">
        <v>0</v>
      </c>
      <c r="Q92" s="65">
        <v>0</v>
      </c>
      <c r="R92" s="93">
        <v>0</v>
      </c>
      <c r="S92" t="e">
        <f t="shared" si="2"/>
        <v>#DIV/0!</v>
      </c>
    </row>
    <row r="93" spans="1:19" ht="30">
      <c r="A93" s="61">
        <v>59</v>
      </c>
      <c r="B93" s="61" t="s">
        <v>34</v>
      </c>
      <c r="C93" s="66" t="s">
        <v>1434</v>
      </c>
      <c r="D93" s="61" t="s">
        <v>660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130">
        <v>0</v>
      </c>
      <c r="O93" s="65">
        <v>0</v>
      </c>
      <c r="P93" s="65">
        <v>0</v>
      </c>
      <c r="Q93" s="65">
        <v>0</v>
      </c>
      <c r="R93" s="93">
        <v>0</v>
      </c>
      <c r="S93" t="e">
        <f t="shared" si="2"/>
        <v>#DIV/0!</v>
      </c>
    </row>
    <row r="94" spans="1:19">
      <c r="A94" s="51">
        <v>39</v>
      </c>
      <c r="B94" s="51" t="s">
        <v>72</v>
      </c>
      <c r="C94" s="112" t="s">
        <v>1435</v>
      </c>
      <c r="D94" s="51"/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92">
        <v>0</v>
      </c>
      <c r="S94" t="e">
        <f t="shared" si="2"/>
        <v>#DIV/0!</v>
      </c>
    </row>
    <row r="95" spans="1:19">
      <c r="A95" s="51">
        <v>43</v>
      </c>
      <c r="B95" s="51" t="s">
        <v>1436</v>
      </c>
      <c r="C95" s="112" t="s">
        <v>1437</v>
      </c>
      <c r="D95" s="51" t="s">
        <v>397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92">
        <v>0</v>
      </c>
      <c r="S95" t="e">
        <f t="shared" si="2"/>
        <v>#DIV/0!</v>
      </c>
    </row>
    <row r="96" spans="1:19" ht="30">
      <c r="A96" s="51">
        <v>44</v>
      </c>
      <c r="B96" s="51" t="s">
        <v>179</v>
      </c>
      <c r="C96" s="112" t="s">
        <v>1438</v>
      </c>
      <c r="D96" s="51" t="s">
        <v>78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92">
        <v>0</v>
      </c>
      <c r="S96" t="e">
        <f t="shared" si="2"/>
        <v>#DIV/0!</v>
      </c>
    </row>
    <row r="97" spans="1:19">
      <c r="A97" s="51">
        <v>45</v>
      </c>
      <c r="B97" s="51" t="s">
        <v>28</v>
      </c>
      <c r="C97" s="112" t="s">
        <v>1439</v>
      </c>
      <c r="D97" s="51" t="s">
        <v>1440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92">
        <v>0</v>
      </c>
      <c r="S97" t="e">
        <f t="shared" si="2"/>
        <v>#DIV/0!</v>
      </c>
    </row>
    <row r="98" spans="1:19">
      <c r="A98" s="51">
        <v>50</v>
      </c>
      <c r="B98" s="51" t="s">
        <v>20</v>
      </c>
      <c r="C98" s="112" t="s">
        <v>1441</v>
      </c>
      <c r="D98" s="51"/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92">
        <v>0</v>
      </c>
      <c r="S98" t="e">
        <f t="shared" ref="S98:S129" si="3">R98/E98</f>
        <v>#DIV/0!</v>
      </c>
    </row>
    <row r="99" spans="1:19">
      <c r="A99" s="51">
        <v>54</v>
      </c>
      <c r="B99" s="51" t="s">
        <v>52</v>
      </c>
      <c r="C99" s="112" t="s">
        <v>1442</v>
      </c>
      <c r="D99" s="51"/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92">
        <v>0</v>
      </c>
      <c r="S99" t="e">
        <f t="shared" si="3"/>
        <v>#DIV/0!</v>
      </c>
    </row>
    <row r="100" spans="1:19">
      <c r="A100" s="51">
        <v>55</v>
      </c>
      <c r="B100" s="51" t="s">
        <v>193</v>
      </c>
      <c r="C100" s="112" t="s">
        <v>1443</v>
      </c>
      <c r="D100" s="51" t="s">
        <v>314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92">
        <v>0</v>
      </c>
      <c r="S100" t="e">
        <f t="shared" si="3"/>
        <v>#DIV/0!</v>
      </c>
    </row>
    <row r="101" spans="1:19" ht="30">
      <c r="A101" s="51">
        <v>57</v>
      </c>
      <c r="B101" s="51" t="s">
        <v>34</v>
      </c>
      <c r="C101" s="112" t="s">
        <v>1444</v>
      </c>
      <c r="D101" s="51" t="s">
        <v>176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92">
        <v>0</v>
      </c>
      <c r="S101" t="e">
        <f t="shared" si="3"/>
        <v>#DIV/0!</v>
      </c>
    </row>
    <row r="102" spans="1:19">
      <c r="A102" s="51">
        <v>58</v>
      </c>
      <c r="B102" s="51" t="s">
        <v>79</v>
      </c>
      <c r="C102" s="112" t="s">
        <v>1445</v>
      </c>
      <c r="D102" s="51"/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92">
        <v>0</v>
      </c>
      <c r="S102" t="e">
        <f t="shared" si="3"/>
        <v>#DIV/0!</v>
      </c>
    </row>
    <row r="103" spans="1:19" ht="30">
      <c r="A103" s="51">
        <v>60</v>
      </c>
      <c r="B103" s="51" t="s">
        <v>20</v>
      </c>
      <c r="C103" s="112" t="s">
        <v>1446</v>
      </c>
      <c r="D103" s="51"/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92">
        <v>0</v>
      </c>
      <c r="S103" t="e">
        <f t="shared" si="3"/>
        <v>#DIV/0!</v>
      </c>
    </row>
    <row r="104" spans="1:19">
      <c r="A104" s="51" t="s">
        <v>1447</v>
      </c>
      <c r="B104" s="51"/>
      <c r="C104" s="112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92"/>
      <c r="S104" t="s">
        <v>1448</v>
      </c>
    </row>
    <row r="105" spans="1:19">
      <c r="A105" s="51">
        <v>48</v>
      </c>
      <c r="B105" s="51" t="s">
        <v>31</v>
      </c>
      <c r="C105" s="129" t="s">
        <v>32</v>
      </c>
      <c r="D105" s="51"/>
      <c r="E105" s="51">
        <v>13</v>
      </c>
      <c r="F105" s="51">
        <v>891</v>
      </c>
      <c r="G105" s="51">
        <v>28719</v>
      </c>
      <c r="H105" s="51">
        <v>12514</v>
      </c>
      <c r="I105" s="51">
        <v>6604</v>
      </c>
      <c r="J105" s="51">
        <v>2996</v>
      </c>
      <c r="K105" s="51">
        <v>0.48099999999999998</v>
      </c>
      <c r="L105" s="51">
        <v>0.36</v>
      </c>
      <c r="M105" s="51">
        <v>0.77600000000000002</v>
      </c>
      <c r="N105" s="51">
        <v>32.200000000000003</v>
      </c>
      <c r="O105" s="51">
        <v>14</v>
      </c>
      <c r="P105" s="51">
        <v>7.4</v>
      </c>
      <c r="Q105" s="51">
        <v>3.4</v>
      </c>
      <c r="R105" s="92">
        <v>85.3</v>
      </c>
      <c r="S105">
        <f t="shared" ref="S105:S168" si="4">R105/E105</f>
        <v>6.5615384615384613</v>
      </c>
    </row>
    <row r="106" spans="1:19">
      <c r="A106" s="3">
        <v>33</v>
      </c>
      <c r="B106" s="3" t="s">
        <v>20</v>
      </c>
      <c r="C106" s="86" t="s">
        <v>21</v>
      </c>
      <c r="D106" s="3" t="s">
        <v>22</v>
      </c>
      <c r="E106" s="3">
        <v>7</v>
      </c>
      <c r="F106" s="3">
        <v>473</v>
      </c>
      <c r="G106" s="3">
        <v>13739</v>
      </c>
      <c r="H106" s="3">
        <v>8471</v>
      </c>
      <c r="I106" s="3">
        <v>1507</v>
      </c>
      <c r="J106" s="3">
        <v>2355</v>
      </c>
      <c r="K106" s="3">
        <v>0.48899999999999999</v>
      </c>
      <c r="L106" s="3">
        <v>0.39200000000000002</v>
      </c>
      <c r="M106" s="3">
        <v>0.82299999999999995</v>
      </c>
      <c r="N106" s="3">
        <v>29</v>
      </c>
      <c r="O106" s="3">
        <v>17.899999999999999</v>
      </c>
      <c r="P106" s="3">
        <v>3.2</v>
      </c>
      <c r="Q106" s="3">
        <v>5</v>
      </c>
      <c r="R106" s="3">
        <v>44.4</v>
      </c>
      <c r="S106">
        <f t="shared" si="4"/>
        <v>6.3428571428571425</v>
      </c>
    </row>
    <row r="107" spans="1:19">
      <c r="A107" s="61">
        <v>35</v>
      </c>
      <c r="B107" s="61" t="s">
        <v>28</v>
      </c>
      <c r="C107" s="123" t="s">
        <v>29</v>
      </c>
      <c r="D107" s="61" t="s">
        <v>30</v>
      </c>
      <c r="E107" s="61">
        <v>17</v>
      </c>
      <c r="F107" s="61">
        <v>1094</v>
      </c>
      <c r="G107" s="61">
        <v>27638</v>
      </c>
      <c r="H107" s="61">
        <v>9415</v>
      </c>
      <c r="I107" s="61">
        <v>10682</v>
      </c>
      <c r="J107" s="61">
        <v>1025</v>
      </c>
      <c r="K107" s="61">
        <v>0.67400000000000004</v>
      </c>
      <c r="L107" s="61">
        <v>0.154</v>
      </c>
      <c r="M107" s="61">
        <v>0.47499999999999998</v>
      </c>
      <c r="N107" s="50">
        <v>25.3</v>
      </c>
      <c r="O107" s="61">
        <v>8.6</v>
      </c>
      <c r="P107" s="61">
        <v>9.8000000000000007</v>
      </c>
      <c r="Q107" s="61">
        <v>0.9</v>
      </c>
      <c r="R107" s="92">
        <v>98.2</v>
      </c>
      <c r="S107">
        <f t="shared" si="4"/>
        <v>5.776470588235294</v>
      </c>
    </row>
    <row r="108" spans="1:19" ht="30">
      <c r="A108" s="3">
        <v>36</v>
      </c>
      <c r="B108" s="3" t="s">
        <v>50</v>
      </c>
      <c r="C108" s="89" t="s">
        <v>51</v>
      </c>
      <c r="D108" s="2"/>
      <c r="E108" s="3">
        <v>6</v>
      </c>
      <c r="F108" s="3">
        <v>320</v>
      </c>
      <c r="G108" s="3">
        <v>7832</v>
      </c>
      <c r="H108" s="3">
        <v>2549</v>
      </c>
      <c r="I108" s="3">
        <v>2538</v>
      </c>
      <c r="J108" s="3">
        <v>199</v>
      </c>
      <c r="K108" s="3">
        <v>0.70099999999999996</v>
      </c>
      <c r="L108" s="2">
        <v>0</v>
      </c>
      <c r="M108" s="3">
        <v>0.51800000000000002</v>
      </c>
      <c r="N108" s="3">
        <v>24.5</v>
      </c>
      <c r="O108" s="3">
        <v>8</v>
      </c>
      <c r="P108" s="3">
        <v>7.9</v>
      </c>
      <c r="Q108" s="3">
        <v>0.6</v>
      </c>
      <c r="R108" s="3">
        <v>33.9</v>
      </c>
      <c r="S108">
        <f t="shared" si="4"/>
        <v>5.6499999999999995</v>
      </c>
    </row>
    <row r="109" spans="1:19" ht="30">
      <c r="A109" s="3">
        <v>32</v>
      </c>
      <c r="B109" s="3" t="s">
        <v>52</v>
      </c>
      <c r="C109" s="89" t="s">
        <v>60</v>
      </c>
      <c r="D109" s="3" t="s">
        <v>61</v>
      </c>
      <c r="E109" s="3">
        <v>8</v>
      </c>
      <c r="F109" s="3">
        <v>515</v>
      </c>
      <c r="G109" s="3">
        <v>10544</v>
      </c>
      <c r="H109" s="3">
        <v>6220</v>
      </c>
      <c r="I109" s="3">
        <v>2588</v>
      </c>
      <c r="J109" s="3">
        <v>675</v>
      </c>
      <c r="K109" s="3">
        <v>0.61899999999999999</v>
      </c>
      <c r="L109" s="3">
        <v>0.108</v>
      </c>
      <c r="M109" s="3">
        <v>0.66400000000000003</v>
      </c>
      <c r="N109" s="3">
        <v>20.5</v>
      </c>
      <c r="O109" s="3">
        <v>12.1</v>
      </c>
      <c r="P109" s="3">
        <v>5</v>
      </c>
      <c r="Q109" s="3">
        <v>1.3</v>
      </c>
      <c r="R109" s="3">
        <v>42.9</v>
      </c>
      <c r="S109">
        <f t="shared" si="4"/>
        <v>5.3624999999999998</v>
      </c>
    </row>
    <row r="110" spans="1:19" ht="30">
      <c r="A110" s="3">
        <v>33</v>
      </c>
      <c r="B110" s="3" t="s">
        <v>36</v>
      </c>
      <c r="C110" s="72" t="s">
        <v>74</v>
      </c>
      <c r="D110" s="3" t="s">
        <v>75</v>
      </c>
      <c r="E110" s="3">
        <v>10</v>
      </c>
      <c r="F110" s="3">
        <v>511</v>
      </c>
      <c r="G110" s="3">
        <v>12645</v>
      </c>
      <c r="H110" s="3">
        <v>6450</v>
      </c>
      <c r="I110" s="3">
        <v>5523</v>
      </c>
      <c r="J110" s="3">
        <v>327</v>
      </c>
      <c r="K110" s="3">
        <v>0.58599999999999997</v>
      </c>
      <c r="L110" s="3">
        <v>0.308</v>
      </c>
      <c r="M110" s="3">
        <v>0.60499999999999998</v>
      </c>
      <c r="N110" s="3">
        <v>24.7</v>
      </c>
      <c r="O110" s="3">
        <v>12.6</v>
      </c>
      <c r="P110" s="3">
        <v>10.8</v>
      </c>
      <c r="Q110" s="3">
        <v>0.6</v>
      </c>
      <c r="R110" s="92">
        <v>52</v>
      </c>
      <c r="S110">
        <f t="shared" si="4"/>
        <v>5.2</v>
      </c>
    </row>
    <row r="111" spans="1:19">
      <c r="A111" s="3">
        <v>32</v>
      </c>
      <c r="B111" s="3" t="s">
        <v>31</v>
      </c>
      <c r="C111" s="89" t="s">
        <v>56</v>
      </c>
      <c r="D111" s="2"/>
      <c r="E111" s="3">
        <v>9</v>
      </c>
      <c r="F111" s="3">
        <v>554</v>
      </c>
      <c r="G111" s="3">
        <v>12410</v>
      </c>
      <c r="H111" s="3">
        <v>5382</v>
      </c>
      <c r="I111" s="3">
        <v>4367</v>
      </c>
      <c r="J111" s="3">
        <v>707</v>
      </c>
      <c r="K111" s="3">
        <v>0.61299999999999999</v>
      </c>
      <c r="L111" s="3">
        <v>8.3000000000000004E-2</v>
      </c>
      <c r="M111" s="3">
        <v>0.72599999999999998</v>
      </c>
      <c r="N111" s="3">
        <v>22.4</v>
      </c>
      <c r="O111" s="3">
        <v>9.6999999999999993</v>
      </c>
      <c r="P111" s="3">
        <v>7.9</v>
      </c>
      <c r="Q111" s="3">
        <v>1.3</v>
      </c>
      <c r="R111" s="3">
        <v>46.2</v>
      </c>
      <c r="S111">
        <f t="shared" si="4"/>
        <v>5.1333333333333337</v>
      </c>
    </row>
    <row r="112" spans="1:19">
      <c r="A112" s="3">
        <v>38</v>
      </c>
      <c r="B112" s="3" t="s">
        <v>99</v>
      </c>
      <c r="C112" s="80" t="s">
        <v>100</v>
      </c>
      <c r="D112" s="3" t="s">
        <v>84</v>
      </c>
      <c r="E112" s="3">
        <v>6</v>
      </c>
      <c r="F112" s="3">
        <v>371</v>
      </c>
      <c r="G112" s="3">
        <v>7368</v>
      </c>
      <c r="H112" s="3">
        <v>3419</v>
      </c>
      <c r="I112" s="3">
        <v>2086</v>
      </c>
      <c r="J112" s="3">
        <v>388</v>
      </c>
      <c r="K112" s="3">
        <v>0.70899999999999996</v>
      </c>
      <c r="L112" s="3">
        <v>0</v>
      </c>
      <c r="M112" s="3">
        <v>0.67400000000000004</v>
      </c>
      <c r="N112" s="3">
        <v>19.899999999999999</v>
      </c>
      <c r="O112" s="3">
        <v>9.1999999999999993</v>
      </c>
      <c r="P112" s="3">
        <v>5.6</v>
      </c>
      <c r="Q112" s="3">
        <v>1</v>
      </c>
      <c r="R112" s="3">
        <v>30.7</v>
      </c>
      <c r="S112">
        <f t="shared" si="4"/>
        <v>5.1166666666666663</v>
      </c>
    </row>
    <row r="113" spans="1:19" ht="30">
      <c r="A113" s="3">
        <v>35</v>
      </c>
      <c r="B113" s="3" t="s">
        <v>25</v>
      </c>
      <c r="C113" s="86" t="s">
        <v>26</v>
      </c>
      <c r="D113" s="3" t="s">
        <v>27</v>
      </c>
      <c r="E113" s="3">
        <v>13</v>
      </c>
      <c r="F113" s="3">
        <v>852</v>
      </c>
      <c r="G113" s="3">
        <v>24405</v>
      </c>
      <c r="H113" s="3">
        <v>7374</v>
      </c>
      <c r="I113" s="3">
        <v>5901</v>
      </c>
      <c r="J113" s="3">
        <v>4781</v>
      </c>
      <c r="K113" s="3">
        <v>0.45</v>
      </c>
      <c r="L113" s="3">
        <v>0.32100000000000001</v>
      </c>
      <c r="M113" s="3">
        <v>0.70799999999999996</v>
      </c>
      <c r="N113" s="3">
        <v>28.6</v>
      </c>
      <c r="O113" s="3">
        <v>8.6999999999999993</v>
      </c>
      <c r="P113" s="3">
        <v>6.9</v>
      </c>
      <c r="Q113" s="3">
        <v>5.6</v>
      </c>
      <c r="R113" s="3">
        <v>62.7</v>
      </c>
      <c r="S113">
        <f t="shared" si="4"/>
        <v>4.8230769230769237</v>
      </c>
    </row>
    <row r="114" spans="1:19" ht="30">
      <c r="A114" s="3">
        <v>39</v>
      </c>
      <c r="B114" s="3" t="s">
        <v>34</v>
      </c>
      <c r="C114" s="134" t="s">
        <v>35</v>
      </c>
      <c r="D114" s="3" t="s">
        <v>30</v>
      </c>
      <c r="E114" s="3">
        <v>13</v>
      </c>
      <c r="F114" s="3">
        <v>762</v>
      </c>
      <c r="G114" s="3">
        <v>23514</v>
      </c>
      <c r="H114" s="3">
        <v>12751</v>
      </c>
      <c r="I114" s="3">
        <v>3648</v>
      </c>
      <c r="J114" s="3">
        <v>3018</v>
      </c>
      <c r="K114" s="3">
        <v>0.46100000000000002</v>
      </c>
      <c r="L114" s="3">
        <v>0.38800000000000001</v>
      </c>
      <c r="M114" s="3">
        <v>0.879</v>
      </c>
      <c r="N114" s="3">
        <v>30.9</v>
      </c>
      <c r="O114" s="3">
        <v>16.7</v>
      </c>
      <c r="P114" s="3">
        <v>4.8</v>
      </c>
      <c r="Q114" s="3">
        <v>4</v>
      </c>
      <c r="R114" s="3">
        <v>57.6</v>
      </c>
      <c r="S114">
        <f t="shared" si="4"/>
        <v>4.430769230769231</v>
      </c>
    </row>
    <row r="115" spans="1:19">
      <c r="A115" s="3">
        <v>45</v>
      </c>
      <c r="B115" s="3" t="s">
        <v>119</v>
      </c>
      <c r="C115" s="80" t="s">
        <v>120</v>
      </c>
      <c r="D115" s="3" t="s">
        <v>121</v>
      </c>
      <c r="E115" s="3">
        <v>11</v>
      </c>
      <c r="F115" s="3">
        <v>683</v>
      </c>
      <c r="G115" s="3">
        <v>12265</v>
      </c>
      <c r="H115" s="3">
        <v>4689</v>
      </c>
      <c r="I115" s="3">
        <v>2936</v>
      </c>
      <c r="J115" s="3">
        <v>700</v>
      </c>
      <c r="K115" s="3">
        <v>0.60399999999999998</v>
      </c>
      <c r="L115" s="3">
        <v>0.29399999999999998</v>
      </c>
      <c r="M115" s="3">
        <v>0.73699999999999999</v>
      </c>
      <c r="N115" s="3">
        <v>18</v>
      </c>
      <c r="O115" s="3">
        <v>6.9</v>
      </c>
      <c r="P115" s="3">
        <v>4.3</v>
      </c>
      <c r="Q115" s="3">
        <v>1</v>
      </c>
      <c r="R115" s="3">
        <v>47.2</v>
      </c>
      <c r="S115">
        <f t="shared" si="4"/>
        <v>4.290909090909091</v>
      </c>
    </row>
    <row r="116" spans="1:19">
      <c r="A116" s="3">
        <v>31</v>
      </c>
      <c r="B116" s="3" t="s">
        <v>47</v>
      </c>
      <c r="C116" s="89" t="s">
        <v>48</v>
      </c>
      <c r="D116" s="3" t="s">
        <v>49</v>
      </c>
      <c r="E116" s="3">
        <v>6</v>
      </c>
      <c r="F116" s="3">
        <v>286</v>
      </c>
      <c r="G116" s="3">
        <v>7335</v>
      </c>
      <c r="H116" s="3">
        <v>2936</v>
      </c>
      <c r="I116" s="3">
        <v>2219</v>
      </c>
      <c r="J116" s="3">
        <v>466</v>
      </c>
      <c r="K116" s="3">
        <v>0.64100000000000001</v>
      </c>
      <c r="L116" s="3">
        <v>0.121</v>
      </c>
      <c r="M116" s="3">
        <v>0.54100000000000004</v>
      </c>
      <c r="N116" s="3">
        <v>25.6</v>
      </c>
      <c r="O116" s="3">
        <v>10.3</v>
      </c>
      <c r="P116" s="3">
        <v>7.8</v>
      </c>
      <c r="Q116" s="3">
        <v>1.6</v>
      </c>
      <c r="R116" s="3">
        <v>24.3</v>
      </c>
      <c r="S116">
        <f t="shared" si="4"/>
        <v>4.05</v>
      </c>
    </row>
    <row r="117" spans="1:19">
      <c r="A117" s="51">
        <v>31</v>
      </c>
      <c r="B117" s="51" t="s">
        <v>141</v>
      </c>
      <c r="C117" s="114" t="s">
        <v>142</v>
      </c>
      <c r="D117" s="51" t="s">
        <v>143</v>
      </c>
      <c r="E117" s="51">
        <v>9</v>
      </c>
      <c r="F117" s="51">
        <v>513</v>
      </c>
      <c r="G117" s="51">
        <v>11524</v>
      </c>
      <c r="H117" s="51">
        <v>5541</v>
      </c>
      <c r="I117" s="51">
        <v>2533</v>
      </c>
      <c r="J117" s="51">
        <v>355</v>
      </c>
      <c r="K117" s="51">
        <v>0.53500000000000003</v>
      </c>
      <c r="L117" s="51">
        <v>0.3</v>
      </c>
      <c r="M117" s="51">
        <v>0.78500000000000003</v>
      </c>
      <c r="N117" s="51">
        <v>22.5</v>
      </c>
      <c r="O117" s="51">
        <v>10.8</v>
      </c>
      <c r="P117" s="51">
        <v>4.9000000000000004</v>
      </c>
      <c r="Q117" s="51">
        <v>0.7</v>
      </c>
      <c r="R117" s="92">
        <v>35.9</v>
      </c>
      <c r="S117">
        <f t="shared" si="4"/>
        <v>3.9888888888888889</v>
      </c>
    </row>
    <row r="118" spans="1:19">
      <c r="A118" s="3">
        <v>35</v>
      </c>
      <c r="B118" s="3" t="s">
        <v>44</v>
      </c>
      <c r="C118" s="89" t="s">
        <v>45</v>
      </c>
      <c r="D118" s="3" t="s">
        <v>46</v>
      </c>
      <c r="E118" s="3">
        <v>4</v>
      </c>
      <c r="F118" s="3">
        <v>240</v>
      </c>
      <c r="G118" s="3">
        <v>7255</v>
      </c>
      <c r="H118" s="3">
        <v>2433</v>
      </c>
      <c r="I118" s="3">
        <v>915</v>
      </c>
      <c r="J118" s="3">
        <v>593</v>
      </c>
      <c r="K118" s="3">
        <v>0.47699999999999998</v>
      </c>
      <c r="L118" s="3">
        <v>0.36599999999999999</v>
      </c>
      <c r="M118" s="3">
        <v>0.82399999999999995</v>
      </c>
      <c r="N118" s="3">
        <v>30.2</v>
      </c>
      <c r="O118" s="3">
        <v>10.1</v>
      </c>
      <c r="P118" s="3">
        <v>3.8</v>
      </c>
      <c r="Q118" s="3">
        <v>2.5</v>
      </c>
      <c r="R118" s="3">
        <v>15.7</v>
      </c>
      <c r="S118">
        <f t="shared" si="4"/>
        <v>3.9249999999999998</v>
      </c>
    </row>
    <row r="119" spans="1:19">
      <c r="A119" s="61">
        <v>45</v>
      </c>
      <c r="B119" s="61" t="s">
        <v>79</v>
      </c>
      <c r="C119" s="63" t="s">
        <v>80</v>
      </c>
      <c r="D119" s="65"/>
      <c r="E119" s="61">
        <v>15</v>
      </c>
      <c r="F119" s="61">
        <v>946</v>
      </c>
      <c r="G119" s="61">
        <v>25603</v>
      </c>
      <c r="H119" s="61">
        <v>12568</v>
      </c>
      <c r="I119" s="61">
        <v>2816</v>
      </c>
      <c r="J119" s="61">
        <v>4405</v>
      </c>
      <c r="K119" s="61">
        <v>0.45900000000000002</v>
      </c>
      <c r="L119" s="61">
        <v>0.36199999999999999</v>
      </c>
      <c r="M119" s="61">
        <v>0.76600000000000001</v>
      </c>
      <c r="N119" s="50">
        <v>27.1</v>
      </c>
      <c r="O119" s="61">
        <v>13.3</v>
      </c>
      <c r="P119" s="61">
        <v>3</v>
      </c>
      <c r="Q119" s="61">
        <v>4.7</v>
      </c>
      <c r="R119" s="92">
        <v>56.7</v>
      </c>
      <c r="S119">
        <f t="shared" si="4"/>
        <v>3.7800000000000002</v>
      </c>
    </row>
    <row r="120" spans="1:19">
      <c r="A120" s="3">
        <v>60</v>
      </c>
      <c r="B120" s="3" t="s">
        <v>36</v>
      </c>
      <c r="C120" s="54" t="s">
        <v>37</v>
      </c>
      <c r="D120" s="3" t="s">
        <v>38</v>
      </c>
      <c r="E120" s="3">
        <v>12</v>
      </c>
      <c r="F120" s="3">
        <v>556</v>
      </c>
      <c r="G120" s="3">
        <v>15582</v>
      </c>
      <c r="H120" s="3">
        <v>9723</v>
      </c>
      <c r="I120" s="3">
        <v>1321</v>
      </c>
      <c r="J120" s="3">
        <v>2641</v>
      </c>
      <c r="K120" s="3">
        <v>0.434</v>
      </c>
      <c r="L120" s="3">
        <v>0.36299999999999999</v>
      </c>
      <c r="M120" s="3">
        <v>0.872</v>
      </c>
      <c r="N120" s="3">
        <v>28</v>
      </c>
      <c r="O120" s="3">
        <v>17.5</v>
      </c>
      <c r="P120" s="3">
        <v>2.4</v>
      </c>
      <c r="Q120" s="3">
        <v>4.8</v>
      </c>
      <c r="R120" s="92">
        <v>45.3</v>
      </c>
      <c r="S120">
        <f t="shared" si="4"/>
        <v>3.7749999999999999</v>
      </c>
    </row>
    <row r="121" spans="1:19" ht="30">
      <c r="A121" s="3">
        <v>31</v>
      </c>
      <c r="B121" s="3" t="s">
        <v>72</v>
      </c>
      <c r="C121" s="89" t="s">
        <v>73</v>
      </c>
      <c r="D121" s="2"/>
      <c r="E121" s="3">
        <v>10</v>
      </c>
      <c r="F121" s="3">
        <v>719</v>
      </c>
      <c r="G121" s="3">
        <v>20890</v>
      </c>
      <c r="H121" s="3">
        <v>11184</v>
      </c>
      <c r="I121" s="3">
        <v>2559</v>
      </c>
      <c r="J121" s="3">
        <v>1194</v>
      </c>
      <c r="K121" s="3">
        <v>0.46</v>
      </c>
      <c r="L121" s="3">
        <v>0.39400000000000002</v>
      </c>
      <c r="M121" s="3">
        <v>0.85899999999999999</v>
      </c>
      <c r="N121" s="3">
        <v>29.1</v>
      </c>
      <c r="O121" s="3">
        <v>15.6</v>
      </c>
      <c r="P121" s="3">
        <v>3.6</v>
      </c>
      <c r="Q121" s="3">
        <v>1.7</v>
      </c>
      <c r="R121" s="92">
        <v>37.6</v>
      </c>
      <c r="S121">
        <f t="shared" si="4"/>
        <v>3.7600000000000002</v>
      </c>
    </row>
    <row r="122" spans="1:19" ht="30">
      <c r="A122" s="3">
        <v>36</v>
      </c>
      <c r="B122" s="3" t="s">
        <v>57</v>
      </c>
      <c r="C122" s="89" t="s">
        <v>58</v>
      </c>
      <c r="D122" s="3" t="s">
        <v>59</v>
      </c>
      <c r="E122" s="3">
        <v>9</v>
      </c>
      <c r="F122" s="3">
        <v>461</v>
      </c>
      <c r="G122" s="3">
        <v>13446</v>
      </c>
      <c r="H122" s="3">
        <v>7054</v>
      </c>
      <c r="I122" s="3">
        <v>1912</v>
      </c>
      <c r="J122" s="3">
        <v>2145</v>
      </c>
      <c r="K122" s="3">
        <v>0.46300000000000002</v>
      </c>
      <c r="L122" s="3">
        <v>0.38800000000000001</v>
      </c>
      <c r="M122" s="3">
        <v>0.874</v>
      </c>
      <c r="N122" s="3">
        <v>29.2</v>
      </c>
      <c r="O122" s="3">
        <v>15.3</v>
      </c>
      <c r="P122" s="3">
        <v>4.0999999999999996</v>
      </c>
      <c r="Q122" s="3">
        <v>4.7</v>
      </c>
      <c r="R122" s="3">
        <v>33.200000000000003</v>
      </c>
      <c r="S122">
        <f t="shared" si="4"/>
        <v>3.6888888888888891</v>
      </c>
    </row>
    <row r="123" spans="1:19" ht="30">
      <c r="A123" s="3">
        <v>43</v>
      </c>
      <c r="B123" s="3" t="s">
        <v>52</v>
      </c>
      <c r="C123" s="89" t="s">
        <v>53</v>
      </c>
      <c r="D123" s="2"/>
      <c r="E123" s="3">
        <v>7</v>
      </c>
      <c r="F123" s="3">
        <v>353</v>
      </c>
      <c r="G123" s="3">
        <v>6691</v>
      </c>
      <c r="H123" s="3">
        <v>2302</v>
      </c>
      <c r="I123" s="3">
        <v>2185</v>
      </c>
      <c r="J123" s="3">
        <v>668</v>
      </c>
      <c r="K123" s="3">
        <v>0.59</v>
      </c>
      <c r="L123" s="3">
        <v>0.27</v>
      </c>
      <c r="M123" s="3">
        <v>0.68300000000000005</v>
      </c>
      <c r="N123" s="3">
        <v>19</v>
      </c>
      <c r="O123" s="3">
        <v>6.5</v>
      </c>
      <c r="P123" s="3">
        <v>6.2</v>
      </c>
      <c r="Q123" s="3">
        <v>1.9</v>
      </c>
      <c r="R123" s="3">
        <v>25.2</v>
      </c>
      <c r="S123">
        <f t="shared" si="4"/>
        <v>3.6</v>
      </c>
    </row>
    <row r="124" spans="1:19" ht="30">
      <c r="A124" s="61">
        <v>34</v>
      </c>
      <c r="B124" s="61" t="s">
        <v>135</v>
      </c>
      <c r="C124" s="62" t="s">
        <v>137</v>
      </c>
      <c r="D124" s="61" t="s">
        <v>138</v>
      </c>
      <c r="E124" s="61">
        <v>9</v>
      </c>
      <c r="F124" s="61">
        <v>646</v>
      </c>
      <c r="G124" s="61">
        <v>17245</v>
      </c>
      <c r="H124" s="61">
        <v>5743</v>
      </c>
      <c r="I124" s="61">
        <v>1585</v>
      </c>
      <c r="J124" s="61">
        <v>2412</v>
      </c>
      <c r="K124" s="61">
        <v>0.41699999999999998</v>
      </c>
      <c r="L124" s="61">
        <v>0.35099999999999998</v>
      </c>
      <c r="M124" s="61">
        <v>0.79300000000000004</v>
      </c>
      <c r="N124" s="50">
        <v>26.7</v>
      </c>
      <c r="O124" s="61">
        <v>8.9</v>
      </c>
      <c r="P124" s="61">
        <v>2.5</v>
      </c>
      <c r="Q124" s="61">
        <v>3.7</v>
      </c>
      <c r="R124" s="92">
        <v>32.299999999999997</v>
      </c>
      <c r="S124">
        <f t="shared" si="4"/>
        <v>3.5888888888888886</v>
      </c>
    </row>
    <row r="125" spans="1:19" ht="30">
      <c r="A125" s="3">
        <v>42</v>
      </c>
      <c r="B125" s="3" t="s">
        <v>31</v>
      </c>
      <c r="C125" s="81" t="s">
        <v>132</v>
      </c>
      <c r="D125" s="3" t="s">
        <v>84</v>
      </c>
      <c r="E125" s="3">
        <v>12</v>
      </c>
      <c r="F125" s="3">
        <v>666</v>
      </c>
      <c r="G125" s="3">
        <v>17689</v>
      </c>
      <c r="H125" s="3">
        <v>5520</v>
      </c>
      <c r="I125" s="3">
        <v>2729</v>
      </c>
      <c r="J125" s="3">
        <v>2245</v>
      </c>
      <c r="K125" s="3">
        <v>0.41299999999999998</v>
      </c>
      <c r="L125" s="3">
        <v>0.371</v>
      </c>
      <c r="M125" s="3">
        <v>0.76</v>
      </c>
      <c r="N125" s="3">
        <v>26.6</v>
      </c>
      <c r="O125" s="3">
        <v>8.3000000000000007</v>
      </c>
      <c r="P125" s="3">
        <v>4.0999999999999996</v>
      </c>
      <c r="Q125" s="3">
        <v>3.4</v>
      </c>
      <c r="R125" s="90">
        <v>40.200000000000003</v>
      </c>
      <c r="S125">
        <f t="shared" si="4"/>
        <v>3.35</v>
      </c>
    </row>
    <row r="126" spans="1:19">
      <c r="A126" s="3">
        <v>48</v>
      </c>
      <c r="B126" s="3" t="s">
        <v>28</v>
      </c>
      <c r="C126" s="82" t="s">
        <v>181</v>
      </c>
      <c r="D126" s="3" t="s">
        <v>182</v>
      </c>
      <c r="E126" s="3">
        <v>6</v>
      </c>
      <c r="F126" s="3">
        <v>383</v>
      </c>
      <c r="G126" s="3">
        <v>8444</v>
      </c>
      <c r="H126" s="3">
        <v>3041</v>
      </c>
      <c r="I126" s="3">
        <v>1360</v>
      </c>
      <c r="J126" s="3">
        <v>731</v>
      </c>
      <c r="K126" s="3">
        <v>0.498</v>
      </c>
      <c r="L126" s="3">
        <v>0.371</v>
      </c>
      <c r="M126" s="3">
        <v>0.78600000000000003</v>
      </c>
      <c r="N126" s="3">
        <v>22</v>
      </c>
      <c r="O126" s="3">
        <v>7.9</v>
      </c>
      <c r="P126" s="3">
        <v>3.6</v>
      </c>
      <c r="Q126" s="3">
        <v>1.9</v>
      </c>
      <c r="R126" s="3">
        <v>19.899999999999999</v>
      </c>
      <c r="S126">
        <f t="shared" si="4"/>
        <v>3.3166666666666664</v>
      </c>
    </row>
    <row r="127" spans="1:19">
      <c r="A127" s="3">
        <v>39</v>
      </c>
      <c r="B127" s="3" t="s">
        <v>66</v>
      </c>
      <c r="C127" s="89" t="s">
        <v>67</v>
      </c>
      <c r="D127" s="3" t="s">
        <v>68</v>
      </c>
      <c r="E127" s="3">
        <v>11</v>
      </c>
      <c r="F127" s="3">
        <v>713</v>
      </c>
      <c r="G127" s="3">
        <v>19860</v>
      </c>
      <c r="H127" s="3">
        <v>9353</v>
      </c>
      <c r="I127" s="3">
        <v>2798</v>
      </c>
      <c r="J127" s="3">
        <v>1139</v>
      </c>
      <c r="K127" s="3">
        <v>0.45</v>
      </c>
      <c r="L127" s="3">
        <v>0.36399999999999999</v>
      </c>
      <c r="M127" s="3">
        <v>0.752</v>
      </c>
      <c r="N127" s="3">
        <v>27.9</v>
      </c>
      <c r="O127" s="3">
        <v>13.1</v>
      </c>
      <c r="P127" s="3">
        <v>3.9</v>
      </c>
      <c r="Q127" s="3">
        <v>1.6</v>
      </c>
      <c r="R127" s="3">
        <v>36.4</v>
      </c>
      <c r="S127">
        <f t="shared" si="4"/>
        <v>3.3090909090909091</v>
      </c>
    </row>
    <row r="128" spans="1:19">
      <c r="A128" s="3">
        <v>34</v>
      </c>
      <c r="B128" s="3" t="s">
        <v>76</v>
      </c>
      <c r="C128" s="80" t="s">
        <v>122</v>
      </c>
      <c r="D128" s="3" t="s">
        <v>123</v>
      </c>
      <c r="E128" s="3">
        <v>13</v>
      </c>
      <c r="F128" s="3">
        <v>810</v>
      </c>
      <c r="G128" s="3">
        <v>20150</v>
      </c>
      <c r="H128" s="3">
        <v>7512</v>
      </c>
      <c r="I128" s="3">
        <v>3388</v>
      </c>
      <c r="J128" s="3">
        <v>1279</v>
      </c>
      <c r="K128" s="3">
        <v>0.41799999999999998</v>
      </c>
      <c r="L128" s="3">
        <v>0.34699999999999998</v>
      </c>
      <c r="M128" s="3">
        <v>0.77700000000000002</v>
      </c>
      <c r="N128" s="3">
        <v>24.9</v>
      </c>
      <c r="O128" s="3">
        <v>9.3000000000000007</v>
      </c>
      <c r="P128" s="3">
        <v>4.2</v>
      </c>
      <c r="Q128" s="3">
        <v>1.6</v>
      </c>
      <c r="R128" s="3">
        <v>43</v>
      </c>
      <c r="S128">
        <f t="shared" si="4"/>
        <v>3.3076923076923075</v>
      </c>
    </row>
    <row r="129" spans="1:19">
      <c r="A129" s="3">
        <v>46</v>
      </c>
      <c r="B129" s="3" t="s">
        <v>76</v>
      </c>
      <c r="C129" s="72" t="s">
        <v>77</v>
      </c>
      <c r="D129" s="3" t="s">
        <v>78</v>
      </c>
      <c r="E129" s="3">
        <v>15</v>
      </c>
      <c r="F129" s="3">
        <v>832</v>
      </c>
      <c r="G129" s="3">
        <v>20899</v>
      </c>
      <c r="H129" s="3">
        <v>7204</v>
      </c>
      <c r="I129" s="3">
        <v>2827</v>
      </c>
      <c r="J129" s="3">
        <v>1277</v>
      </c>
      <c r="K129" s="3">
        <v>0.42099999999999999</v>
      </c>
      <c r="L129" s="3">
        <v>0.4</v>
      </c>
      <c r="M129" s="3">
        <v>0.80500000000000005</v>
      </c>
      <c r="N129" s="3">
        <v>25.1</v>
      </c>
      <c r="O129" s="3">
        <v>8.6999999999999993</v>
      </c>
      <c r="P129" s="3">
        <v>3.4</v>
      </c>
      <c r="Q129" s="3">
        <v>1.5</v>
      </c>
      <c r="R129" s="90">
        <v>49.3</v>
      </c>
      <c r="S129">
        <f t="shared" si="4"/>
        <v>3.2866666666666666</v>
      </c>
    </row>
    <row r="130" spans="1:19" ht="30">
      <c r="A130" s="3">
        <v>38</v>
      </c>
      <c r="B130" s="3" t="s">
        <v>52</v>
      </c>
      <c r="C130" s="80" t="s">
        <v>127</v>
      </c>
      <c r="D130" s="3" t="s">
        <v>128</v>
      </c>
      <c r="E130" s="3">
        <v>9</v>
      </c>
      <c r="F130" s="3">
        <v>440</v>
      </c>
      <c r="G130" s="3">
        <v>13246</v>
      </c>
      <c r="H130" s="3">
        <v>5571</v>
      </c>
      <c r="I130" s="3">
        <v>1972</v>
      </c>
      <c r="J130" s="3">
        <v>1201</v>
      </c>
      <c r="K130" s="3">
        <v>0.46200000000000002</v>
      </c>
      <c r="L130" s="3">
        <v>0.373</v>
      </c>
      <c r="M130" s="3">
        <v>0.71299999999999997</v>
      </c>
      <c r="N130" s="3">
        <v>30.1</v>
      </c>
      <c r="O130" s="3">
        <v>12.7</v>
      </c>
      <c r="P130" s="3">
        <v>4.5</v>
      </c>
      <c r="Q130" s="3">
        <v>2.7</v>
      </c>
      <c r="R130" s="92">
        <v>28.9</v>
      </c>
      <c r="S130">
        <f t="shared" si="4"/>
        <v>3.2111111111111108</v>
      </c>
    </row>
    <row r="131" spans="1:19" ht="30">
      <c r="A131" s="3">
        <v>38</v>
      </c>
      <c r="B131" s="3" t="s">
        <v>34</v>
      </c>
      <c r="C131" s="89" t="s">
        <v>64</v>
      </c>
      <c r="D131" s="3" t="s">
        <v>65</v>
      </c>
      <c r="E131" s="3">
        <v>11</v>
      </c>
      <c r="F131" s="3">
        <v>593</v>
      </c>
      <c r="G131" s="3">
        <v>16360</v>
      </c>
      <c r="H131" s="3">
        <v>7731</v>
      </c>
      <c r="I131" s="3">
        <v>1763</v>
      </c>
      <c r="J131" s="3">
        <v>2992</v>
      </c>
      <c r="K131" s="3">
        <v>0.41399999999999998</v>
      </c>
      <c r="L131" s="3">
        <v>0.33500000000000002</v>
      </c>
      <c r="M131" s="3">
        <v>0.79900000000000004</v>
      </c>
      <c r="N131" s="3">
        <v>27.6</v>
      </c>
      <c r="O131" s="3">
        <v>13</v>
      </c>
      <c r="P131" s="3">
        <v>3</v>
      </c>
      <c r="Q131" s="3">
        <v>5</v>
      </c>
      <c r="R131" s="3">
        <v>35.1</v>
      </c>
      <c r="S131">
        <f t="shared" si="4"/>
        <v>3.1909090909090909</v>
      </c>
    </row>
    <row r="132" spans="1:19" ht="30">
      <c r="A132" s="3">
        <v>46</v>
      </c>
      <c r="B132" s="3" t="s">
        <v>57</v>
      </c>
      <c r="C132" s="89" t="s">
        <v>62</v>
      </c>
      <c r="D132" s="3" t="s">
        <v>63</v>
      </c>
      <c r="E132" s="3">
        <v>10</v>
      </c>
      <c r="F132" s="3">
        <v>600</v>
      </c>
      <c r="G132" s="3">
        <v>14412</v>
      </c>
      <c r="H132" s="3">
        <v>7882</v>
      </c>
      <c r="I132" s="3">
        <v>1610</v>
      </c>
      <c r="J132" s="3">
        <v>913</v>
      </c>
      <c r="K132" s="3">
        <v>0.47199999999999998</v>
      </c>
      <c r="L132" s="3">
        <v>0.39900000000000002</v>
      </c>
      <c r="M132" s="3">
        <v>0.82699999999999996</v>
      </c>
      <c r="N132" s="3">
        <v>24</v>
      </c>
      <c r="O132" s="3">
        <v>13.1</v>
      </c>
      <c r="P132" s="3">
        <v>2.7</v>
      </c>
      <c r="Q132" s="3">
        <v>1.5</v>
      </c>
      <c r="R132" s="3">
        <v>31.7</v>
      </c>
      <c r="S132">
        <f t="shared" si="4"/>
        <v>3.17</v>
      </c>
    </row>
    <row r="133" spans="1:19">
      <c r="A133" s="61">
        <v>31</v>
      </c>
      <c r="B133" s="61" t="s">
        <v>135</v>
      </c>
      <c r="C133" s="62" t="s">
        <v>136</v>
      </c>
      <c r="D133" s="65"/>
      <c r="E133" s="61">
        <v>6</v>
      </c>
      <c r="F133" s="61">
        <v>271</v>
      </c>
      <c r="G133" s="61">
        <v>6744</v>
      </c>
      <c r="H133" s="61">
        <v>3405</v>
      </c>
      <c r="I133" s="61">
        <v>1807</v>
      </c>
      <c r="J133" s="61">
        <v>199</v>
      </c>
      <c r="K133" s="61">
        <v>0.51800000000000002</v>
      </c>
      <c r="L133" s="65"/>
      <c r="M133" s="61">
        <v>0.76</v>
      </c>
      <c r="N133" s="50">
        <v>24.9</v>
      </c>
      <c r="O133" s="61">
        <v>12.6</v>
      </c>
      <c r="P133" s="61">
        <v>6.7</v>
      </c>
      <c r="Q133" s="61">
        <v>0.7</v>
      </c>
      <c r="R133" s="92">
        <v>18.8</v>
      </c>
      <c r="S133">
        <f t="shared" si="4"/>
        <v>3.1333333333333333</v>
      </c>
    </row>
    <row r="134" spans="1:19">
      <c r="A134" s="3">
        <v>38</v>
      </c>
      <c r="B134" s="3" t="s">
        <v>99</v>
      </c>
      <c r="C134" s="82" t="s">
        <v>157</v>
      </c>
      <c r="D134" s="3" t="s">
        <v>158</v>
      </c>
      <c r="E134" s="3">
        <v>4</v>
      </c>
      <c r="F134" s="3">
        <v>275</v>
      </c>
      <c r="G134" s="3">
        <v>7708</v>
      </c>
      <c r="H134" s="3">
        <v>2809</v>
      </c>
      <c r="I134" s="3">
        <v>797</v>
      </c>
      <c r="J134" s="3">
        <v>899</v>
      </c>
      <c r="K134" s="3">
        <v>0.502</v>
      </c>
      <c r="L134" s="3">
        <v>0.36499999999999999</v>
      </c>
      <c r="M134" s="3">
        <v>0.77500000000000002</v>
      </c>
      <c r="N134" s="3">
        <v>28</v>
      </c>
      <c r="O134" s="3">
        <v>10.199999999999999</v>
      </c>
      <c r="P134" s="3">
        <v>2.9</v>
      </c>
      <c r="Q134" s="3">
        <v>3.3</v>
      </c>
      <c r="R134" s="3">
        <v>12.4</v>
      </c>
      <c r="S134">
        <f t="shared" si="4"/>
        <v>3.1</v>
      </c>
    </row>
    <row r="135" spans="1:19">
      <c r="A135" s="3">
        <v>51</v>
      </c>
      <c r="B135" s="3" t="s">
        <v>23</v>
      </c>
      <c r="C135" s="80" t="s">
        <v>107</v>
      </c>
      <c r="D135" s="3" t="s">
        <v>108</v>
      </c>
      <c r="E135" s="3">
        <v>8</v>
      </c>
      <c r="F135" s="3">
        <v>415</v>
      </c>
      <c r="G135" s="3">
        <v>9759</v>
      </c>
      <c r="H135" s="3">
        <v>3941</v>
      </c>
      <c r="I135" s="3">
        <v>979</v>
      </c>
      <c r="J135" s="3">
        <v>1503</v>
      </c>
      <c r="K135" s="3">
        <v>0.47299999999999998</v>
      </c>
      <c r="L135" s="3">
        <v>0.38600000000000001</v>
      </c>
      <c r="M135" s="3">
        <v>0.82599999999999996</v>
      </c>
      <c r="N135" s="3">
        <v>23.5</v>
      </c>
      <c r="O135" s="3">
        <v>9.5</v>
      </c>
      <c r="P135" s="3">
        <v>2.4</v>
      </c>
      <c r="Q135" s="3">
        <v>3.6</v>
      </c>
      <c r="R135" s="3">
        <v>24.5</v>
      </c>
      <c r="S135">
        <f t="shared" si="4"/>
        <v>3.0625</v>
      </c>
    </row>
    <row r="136" spans="1:19" ht="30">
      <c r="A136" s="3">
        <v>32</v>
      </c>
      <c r="B136" s="3" t="s">
        <v>69</v>
      </c>
      <c r="C136" s="82" t="s">
        <v>206</v>
      </c>
      <c r="D136" s="2"/>
      <c r="E136" s="3">
        <v>6</v>
      </c>
      <c r="F136" s="3">
        <v>388</v>
      </c>
      <c r="G136" s="3">
        <v>8617</v>
      </c>
      <c r="H136" s="3">
        <v>2676</v>
      </c>
      <c r="I136" s="3">
        <v>1117</v>
      </c>
      <c r="J136" s="3">
        <v>1586</v>
      </c>
      <c r="K136" s="3">
        <v>0.46800000000000003</v>
      </c>
      <c r="L136" s="3">
        <v>0.35399999999999998</v>
      </c>
      <c r="M136" s="3">
        <v>0.82</v>
      </c>
      <c r="N136" s="3">
        <v>22.2</v>
      </c>
      <c r="O136" s="3">
        <v>6.9</v>
      </c>
      <c r="P136" s="3">
        <v>2.9</v>
      </c>
      <c r="Q136" s="3">
        <v>4.0999999999999996</v>
      </c>
      <c r="R136" s="3">
        <v>17.899999999999999</v>
      </c>
      <c r="S136">
        <f t="shared" si="4"/>
        <v>2.9833333333333329</v>
      </c>
    </row>
    <row r="137" spans="1:19" ht="30">
      <c r="A137" s="3">
        <v>37</v>
      </c>
      <c r="B137" s="3" t="s">
        <v>66</v>
      </c>
      <c r="C137" s="80" t="s">
        <v>112</v>
      </c>
      <c r="D137" s="3" t="s">
        <v>113</v>
      </c>
      <c r="E137" s="3">
        <v>10</v>
      </c>
      <c r="F137" s="3">
        <v>473</v>
      </c>
      <c r="G137" s="3">
        <v>9051</v>
      </c>
      <c r="H137" s="3">
        <v>4012</v>
      </c>
      <c r="I137" s="3">
        <v>2502</v>
      </c>
      <c r="J137" s="3">
        <v>454</v>
      </c>
      <c r="K137" s="3">
        <v>0.60299999999999998</v>
      </c>
      <c r="L137" s="3">
        <v>0.27100000000000002</v>
      </c>
      <c r="M137" s="3">
        <v>0.747</v>
      </c>
      <c r="N137" s="3">
        <v>19.100000000000001</v>
      </c>
      <c r="O137" s="3">
        <v>8.5</v>
      </c>
      <c r="P137" s="3">
        <v>5.3</v>
      </c>
      <c r="Q137" s="3">
        <v>1</v>
      </c>
      <c r="R137" s="3">
        <v>29.4</v>
      </c>
      <c r="S137">
        <f t="shared" si="4"/>
        <v>2.94</v>
      </c>
    </row>
    <row r="138" spans="1:19">
      <c r="A138" s="3">
        <v>39</v>
      </c>
      <c r="B138" s="3" t="s">
        <v>34</v>
      </c>
      <c r="C138" s="83" t="s">
        <v>220</v>
      </c>
      <c r="D138" s="2"/>
      <c r="E138" s="3">
        <v>9</v>
      </c>
      <c r="F138" s="3">
        <v>635</v>
      </c>
      <c r="G138" s="3">
        <v>11323</v>
      </c>
      <c r="H138" s="3">
        <v>3919</v>
      </c>
      <c r="I138" s="3">
        <v>2522</v>
      </c>
      <c r="J138" s="3">
        <v>525</v>
      </c>
      <c r="K138" s="3">
        <v>0.45700000000000002</v>
      </c>
      <c r="L138" s="3">
        <v>0.36299999999999999</v>
      </c>
      <c r="M138" s="3">
        <v>0.77</v>
      </c>
      <c r="N138" s="3">
        <v>17.8</v>
      </c>
      <c r="O138" s="3">
        <v>6.2</v>
      </c>
      <c r="P138" s="3">
        <v>4</v>
      </c>
      <c r="Q138" s="3">
        <v>0.8</v>
      </c>
      <c r="R138" s="90">
        <v>25.8</v>
      </c>
      <c r="S138">
        <f t="shared" si="4"/>
        <v>2.8666666666666667</v>
      </c>
    </row>
    <row r="139" spans="1:19" ht="30">
      <c r="A139" s="3">
        <v>35</v>
      </c>
      <c r="B139" s="3" t="s">
        <v>69</v>
      </c>
      <c r="C139" s="81" t="s">
        <v>129</v>
      </c>
      <c r="D139" s="2"/>
      <c r="E139" s="3">
        <v>7</v>
      </c>
      <c r="F139" s="3">
        <v>449</v>
      </c>
      <c r="G139" s="3">
        <v>9173</v>
      </c>
      <c r="H139" s="3">
        <v>3412</v>
      </c>
      <c r="I139" s="3">
        <v>2051</v>
      </c>
      <c r="J139" s="3">
        <v>826</v>
      </c>
      <c r="K139" s="3">
        <v>0.46600000000000003</v>
      </c>
      <c r="L139" s="3">
        <v>0.38400000000000001</v>
      </c>
      <c r="M139" s="3">
        <v>0.75900000000000001</v>
      </c>
      <c r="N139" s="3">
        <v>20.399999999999999</v>
      </c>
      <c r="O139" s="3">
        <v>7.6</v>
      </c>
      <c r="P139" s="3">
        <v>4.5999999999999996</v>
      </c>
      <c r="Q139" s="3">
        <v>1.8</v>
      </c>
      <c r="R139" s="92">
        <v>20</v>
      </c>
      <c r="S139">
        <f t="shared" si="4"/>
        <v>2.8571428571428572</v>
      </c>
    </row>
    <row r="140" spans="1:19">
      <c r="A140" s="3">
        <v>42</v>
      </c>
      <c r="B140" s="3" t="s">
        <v>34</v>
      </c>
      <c r="C140" s="80" t="s">
        <v>102</v>
      </c>
      <c r="D140" s="3" t="s">
        <v>103</v>
      </c>
      <c r="E140" s="3">
        <v>7</v>
      </c>
      <c r="F140" s="3">
        <v>434</v>
      </c>
      <c r="G140" s="3">
        <v>10807</v>
      </c>
      <c r="H140" s="3">
        <v>3856</v>
      </c>
      <c r="I140" s="3">
        <v>1833</v>
      </c>
      <c r="J140" s="3">
        <v>1061</v>
      </c>
      <c r="K140" s="3">
        <v>0.47899999999999998</v>
      </c>
      <c r="L140" s="3">
        <v>0.33500000000000002</v>
      </c>
      <c r="M140" s="3">
        <v>0.76900000000000002</v>
      </c>
      <c r="N140" s="3">
        <v>24.9</v>
      </c>
      <c r="O140" s="3">
        <v>8.9</v>
      </c>
      <c r="P140" s="3">
        <v>4.2</v>
      </c>
      <c r="Q140" s="3">
        <v>2.4</v>
      </c>
      <c r="R140" s="3">
        <v>19.600000000000001</v>
      </c>
      <c r="S140">
        <f t="shared" si="4"/>
        <v>2.8000000000000003</v>
      </c>
    </row>
    <row r="141" spans="1:19">
      <c r="A141" s="3">
        <v>55</v>
      </c>
      <c r="B141" s="3" t="s">
        <v>82</v>
      </c>
      <c r="C141" s="80" t="s">
        <v>88</v>
      </c>
      <c r="D141" s="3" t="s">
        <v>89</v>
      </c>
      <c r="E141" s="3">
        <v>4</v>
      </c>
      <c r="F141" s="3">
        <v>249</v>
      </c>
      <c r="G141" s="3">
        <v>4853</v>
      </c>
      <c r="H141" s="3">
        <v>1980</v>
      </c>
      <c r="I141" s="3">
        <v>764</v>
      </c>
      <c r="J141" s="3">
        <v>316</v>
      </c>
      <c r="K141" s="3">
        <v>0.50900000000000001</v>
      </c>
      <c r="L141" s="3">
        <v>0.38800000000000001</v>
      </c>
      <c r="M141" s="3">
        <v>0.79100000000000004</v>
      </c>
      <c r="N141" s="3">
        <v>19.5</v>
      </c>
      <c r="O141" s="3">
        <v>8</v>
      </c>
      <c r="P141" s="3">
        <v>3.1</v>
      </c>
      <c r="Q141" s="3">
        <v>1.3</v>
      </c>
      <c r="R141" s="3">
        <v>11.2</v>
      </c>
      <c r="S141">
        <f t="shared" si="4"/>
        <v>2.8</v>
      </c>
    </row>
    <row r="142" spans="1:19" ht="30">
      <c r="A142" s="3">
        <v>40</v>
      </c>
      <c r="B142" s="3" t="s">
        <v>72</v>
      </c>
      <c r="C142" s="80" t="s">
        <v>114</v>
      </c>
      <c r="D142" s="3" t="s">
        <v>115</v>
      </c>
      <c r="E142" s="3">
        <v>10</v>
      </c>
      <c r="F142" s="3">
        <v>554</v>
      </c>
      <c r="G142" s="3">
        <v>15815</v>
      </c>
      <c r="H142" s="3">
        <v>6381</v>
      </c>
      <c r="I142" s="3">
        <v>1685</v>
      </c>
      <c r="J142" s="3">
        <v>1463</v>
      </c>
      <c r="K142" s="3">
        <v>0.42799999999999999</v>
      </c>
      <c r="L142" s="3">
        <v>0.36299999999999999</v>
      </c>
      <c r="M142" s="3">
        <v>0.84599999999999997</v>
      </c>
      <c r="N142" s="3">
        <v>28.5</v>
      </c>
      <c r="O142" s="3">
        <v>11.5</v>
      </c>
      <c r="P142" s="3">
        <v>3</v>
      </c>
      <c r="Q142" s="3">
        <v>2.6</v>
      </c>
      <c r="R142" s="3">
        <v>27.7</v>
      </c>
      <c r="S142">
        <f t="shared" si="4"/>
        <v>2.77</v>
      </c>
    </row>
    <row r="143" spans="1:19">
      <c r="A143" s="3">
        <v>37</v>
      </c>
      <c r="B143" s="3" t="s">
        <v>79</v>
      </c>
      <c r="C143" s="83" t="s">
        <v>218</v>
      </c>
      <c r="D143" s="3" t="s">
        <v>219</v>
      </c>
      <c r="E143" s="3">
        <v>7</v>
      </c>
      <c r="F143" s="3">
        <v>424</v>
      </c>
      <c r="G143" s="3">
        <v>7054</v>
      </c>
      <c r="H143" s="3">
        <v>2865</v>
      </c>
      <c r="I143" s="3">
        <v>2153</v>
      </c>
      <c r="J143" s="3">
        <v>349</v>
      </c>
      <c r="K143" s="3">
        <v>0.52400000000000002</v>
      </c>
      <c r="L143" s="3">
        <v>0</v>
      </c>
      <c r="M143" s="3">
        <v>0.60799999999999998</v>
      </c>
      <c r="N143" s="3">
        <v>16.600000000000001</v>
      </c>
      <c r="O143" s="3">
        <v>6.8</v>
      </c>
      <c r="P143" s="3">
        <v>5.0999999999999996</v>
      </c>
      <c r="Q143" s="3">
        <v>0.8</v>
      </c>
      <c r="R143" s="90">
        <v>19</v>
      </c>
      <c r="S143">
        <f t="shared" si="4"/>
        <v>2.7142857142857144</v>
      </c>
    </row>
    <row r="144" spans="1:19" ht="30">
      <c r="A144" s="51">
        <v>56</v>
      </c>
      <c r="B144" s="51" t="s">
        <v>57</v>
      </c>
      <c r="C144" s="114" t="s">
        <v>146</v>
      </c>
      <c r="D144" s="51" t="s">
        <v>147</v>
      </c>
      <c r="E144" s="51">
        <v>11</v>
      </c>
      <c r="F144" s="51">
        <v>691</v>
      </c>
      <c r="G144" s="51">
        <v>16119</v>
      </c>
      <c r="H144" s="51">
        <v>7141</v>
      </c>
      <c r="I144" s="51">
        <v>1840</v>
      </c>
      <c r="J144" s="51">
        <v>2807</v>
      </c>
      <c r="K144" s="51">
        <v>0.434</v>
      </c>
      <c r="L144" s="51">
        <v>0.316</v>
      </c>
      <c r="M144" s="51">
        <v>0.79100000000000004</v>
      </c>
      <c r="N144" s="51">
        <v>23.3</v>
      </c>
      <c r="O144" s="51">
        <v>10.3</v>
      </c>
      <c r="P144" s="51">
        <v>2.7</v>
      </c>
      <c r="Q144" s="51">
        <v>4.0999999999999996</v>
      </c>
      <c r="R144" s="92">
        <v>28.8</v>
      </c>
      <c r="S144">
        <f t="shared" si="4"/>
        <v>2.6181818181818182</v>
      </c>
    </row>
    <row r="145" spans="1:19">
      <c r="A145" s="61">
        <v>36</v>
      </c>
      <c r="B145" s="61" t="s">
        <v>124</v>
      </c>
      <c r="C145" s="121" t="s">
        <v>225</v>
      </c>
      <c r="D145" s="65"/>
      <c r="E145" s="61">
        <v>8</v>
      </c>
      <c r="F145" s="61">
        <v>471</v>
      </c>
      <c r="G145" s="61">
        <v>9216</v>
      </c>
      <c r="H145" s="61">
        <v>2479</v>
      </c>
      <c r="I145" s="61">
        <v>3362</v>
      </c>
      <c r="J145" s="61">
        <v>280</v>
      </c>
      <c r="K145" s="61">
        <v>0.52800000000000002</v>
      </c>
      <c r="L145" s="61">
        <v>0</v>
      </c>
      <c r="M145" s="61">
        <v>0.55100000000000005</v>
      </c>
      <c r="N145" s="50">
        <v>19.600000000000001</v>
      </c>
      <c r="O145" s="61">
        <v>5.3</v>
      </c>
      <c r="P145" s="61">
        <v>7.1</v>
      </c>
      <c r="Q145" s="61">
        <v>0.6</v>
      </c>
      <c r="R145" s="92">
        <v>20.9</v>
      </c>
      <c r="S145">
        <f t="shared" si="4"/>
        <v>2.6124999999999998</v>
      </c>
    </row>
    <row r="146" spans="1:19">
      <c r="A146" s="3">
        <v>41</v>
      </c>
      <c r="B146" s="3" t="s">
        <v>79</v>
      </c>
      <c r="C146" s="82" t="s">
        <v>170</v>
      </c>
      <c r="D146" s="3" t="s">
        <v>171</v>
      </c>
      <c r="E146" s="3">
        <v>5</v>
      </c>
      <c r="F146" s="3">
        <v>280</v>
      </c>
      <c r="G146" s="3">
        <v>6007</v>
      </c>
      <c r="H146" s="3">
        <v>2276</v>
      </c>
      <c r="I146" s="3">
        <v>770</v>
      </c>
      <c r="J146" s="3">
        <v>1305</v>
      </c>
      <c r="K146" s="3">
        <v>0.48099999999999998</v>
      </c>
      <c r="L146" s="3">
        <v>0.30199999999999999</v>
      </c>
      <c r="M146" s="3">
        <v>0.83599999999999997</v>
      </c>
      <c r="N146" s="3">
        <v>21.5</v>
      </c>
      <c r="O146" s="3">
        <v>8.1</v>
      </c>
      <c r="P146" s="3">
        <v>2.8</v>
      </c>
      <c r="Q146" s="3">
        <v>4.7</v>
      </c>
      <c r="R146" s="3">
        <v>12.8</v>
      </c>
      <c r="S146">
        <f t="shared" si="4"/>
        <v>2.56</v>
      </c>
    </row>
    <row r="147" spans="1:19">
      <c r="A147" s="3">
        <v>37</v>
      </c>
      <c r="B147" s="3" t="s">
        <v>36</v>
      </c>
      <c r="C147" s="82" t="s">
        <v>186</v>
      </c>
      <c r="D147" s="3" t="s">
        <v>171</v>
      </c>
      <c r="E147" s="3">
        <v>7</v>
      </c>
      <c r="F147" s="3">
        <v>387</v>
      </c>
      <c r="G147" s="3">
        <v>10951</v>
      </c>
      <c r="H147" s="3">
        <v>5342</v>
      </c>
      <c r="I147" s="3">
        <v>925</v>
      </c>
      <c r="J147" s="3">
        <v>563</v>
      </c>
      <c r="K147" s="3">
        <v>0.42299999999999999</v>
      </c>
      <c r="L147" s="3">
        <v>0.39</v>
      </c>
      <c r="M147" s="3">
        <v>0.82199999999999995</v>
      </c>
      <c r="N147" s="3">
        <v>28.3</v>
      </c>
      <c r="O147" s="3">
        <v>13.8</v>
      </c>
      <c r="P147" s="3">
        <v>2.4</v>
      </c>
      <c r="Q147" s="3">
        <v>1.5</v>
      </c>
      <c r="R147" s="3">
        <v>17.600000000000001</v>
      </c>
      <c r="S147">
        <f t="shared" si="4"/>
        <v>2.5142857142857147</v>
      </c>
    </row>
    <row r="148" spans="1:19" ht="30">
      <c r="A148" s="3">
        <v>43</v>
      </c>
      <c r="B148" s="3" t="s">
        <v>72</v>
      </c>
      <c r="C148" s="83" t="s">
        <v>222</v>
      </c>
      <c r="D148" s="3" t="s">
        <v>145</v>
      </c>
      <c r="E148" s="3">
        <v>8</v>
      </c>
      <c r="F148" s="3">
        <v>483</v>
      </c>
      <c r="G148" s="3">
        <v>11299</v>
      </c>
      <c r="H148" s="3">
        <v>5750</v>
      </c>
      <c r="I148" s="3">
        <v>1348</v>
      </c>
      <c r="J148" s="3">
        <v>677</v>
      </c>
      <c r="K148" s="3">
        <v>0.42499999999999999</v>
      </c>
      <c r="L148" s="3">
        <v>0.35799999999999998</v>
      </c>
      <c r="M148" s="3">
        <v>0.83</v>
      </c>
      <c r="N148" s="3">
        <v>23.4</v>
      </c>
      <c r="O148" s="3">
        <v>11.9</v>
      </c>
      <c r="P148" s="3">
        <v>2.8</v>
      </c>
      <c r="Q148" s="3">
        <v>1.4</v>
      </c>
      <c r="R148" s="90">
        <v>20</v>
      </c>
      <c r="S148">
        <f t="shared" si="4"/>
        <v>2.5</v>
      </c>
    </row>
    <row r="149" spans="1:19" ht="30">
      <c r="A149" s="3">
        <v>33</v>
      </c>
      <c r="B149" s="3" t="s">
        <v>124</v>
      </c>
      <c r="C149" s="83" t="s">
        <v>217</v>
      </c>
      <c r="D149" s="3" t="s">
        <v>22</v>
      </c>
      <c r="E149" s="3">
        <v>10</v>
      </c>
      <c r="F149" s="3">
        <v>715</v>
      </c>
      <c r="G149" s="3">
        <v>14875</v>
      </c>
      <c r="H149" s="3">
        <v>4133</v>
      </c>
      <c r="I149" s="3">
        <v>2676</v>
      </c>
      <c r="J149" s="3">
        <v>506</v>
      </c>
      <c r="K149" s="3">
        <v>0.46899999999999997</v>
      </c>
      <c r="L149" s="3">
        <v>0.34499999999999997</v>
      </c>
      <c r="M149" s="3">
        <v>0.64900000000000002</v>
      </c>
      <c r="N149" s="3">
        <v>20.8</v>
      </c>
      <c r="O149" s="3">
        <v>5.8</v>
      </c>
      <c r="P149" s="3">
        <v>3.7</v>
      </c>
      <c r="Q149" s="3">
        <v>0.7</v>
      </c>
      <c r="R149" s="90">
        <v>24.9</v>
      </c>
      <c r="S149">
        <f t="shared" si="4"/>
        <v>2.4899999999999998</v>
      </c>
    </row>
    <row r="150" spans="1:19">
      <c r="A150" s="3">
        <v>52</v>
      </c>
      <c r="B150" s="3" t="s">
        <v>36</v>
      </c>
      <c r="C150" s="82" t="s">
        <v>174</v>
      </c>
      <c r="D150" s="2"/>
      <c r="E150" s="3">
        <v>5</v>
      </c>
      <c r="F150" s="3">
        <v>290</v>
      </c>
      <c r="G150" s="3">
        <v>6242</v>
      </c>
      <c r="H150" s="3">
        <v>2532</v>
      </c>
      <c r="I150" s="3">
        <v>1194</v>
      </c>
      <c r="J150" s="3">
        <v>342</v>
      </c>
      <c r="K150" s="3">
        <v>0.54800000000000004</v>
      </c>
      <c r="L150" s="3">
        <v>0.33800000000000002</v>
      </c>
      <c r="M150" s="3">
        <v>0.67100000000000004</v>
      </c>
      <c r="N150" s="3">
        <v>21.5</v>
      </c>
      <c r="O150" s="3">
        <v>8.6999999999999993</v>
      </c>
      <c r="P150" s="3">
        <v>4.0999999999999996</v>
      </c>
      <c r="Q150" s="3">
        <v>1.2</v>
      </c>
      <c r="R150" s="3">
        <v>12.3</v>
      </c>
      <c r="S150">
        <f t="shared" si="4"/>
        <v>2.46</v>
      </c>
    </row>
    <row r="151" spans="1:19">
      <c r="A151" s="3">
        <v>41</v>
      </c>
      <c r="B151" s="3" t="s">
        <v>57</v>
      </c>
      <c r="C151" s="83" t="s">
        <v>221</v>
      </c>
      <c r="D151" s="3" t="s">
        <v>173</v>
      </c>
      <c r="E151" s="3">
        <v>10</v>
      </c>
      <c r="F151" s="3">
        <v>539</v>
      </c>
      <c r="G151" s="3">
        <v>12110</v>
      </c>
      <c r="H151" s="3">
        <v>4988</v>
      </c>
      <c r="I151" s="3">
        <v>1120</v>
      </c>
      <c r="J151" s="3">
        <v>583</v>
      </c>
      <c r="K151" s="3">
        <v>0.42</v>
      </c>
      <c r="L151" s="3">
        <v>0.373</v>
      </c>
      <c r="M151" s="3">
        <v>0.879</v>
      </c>
      <c r="N151" s="3">
        <v>22.5</v>
      </c>
      <c r="O151" s="3">
        <v>9.3000000000000007</v>
      </c>
      <c r="P151" s="3">
        <v>2.1</v>
      </c>
      <c r="Q151" s="3">
        <v>1.1000000000000001</v>
      </c>
      <c r="R151" s="90">
        <v>24.3</v>
      </c>
      <c r="S151">
        <f t="shared" si="4"/>
        <v>2.4300000000000002</v>
      </c>
    </row>
    <row r="152" spans="1:19">
      <c r="A152" s="3">
        <v>42</v>
      </c>
      <c r="B152" s="3" t="s">
        <v>44</v>
      </c>
      <c r="C152" s="82" t="s">
        <v>172</v>
      </c>
      <c r="D152" s="3" t="s">
        <v>173</v>
      </c>
      <c r="E152" s="3">
        <v>5</v>
      </c>
      <c r="F152" s="3">
        <v>233</v>
      </c>
      <c r="G152" s="3">
        <v>4132</v>
      </c>
      <c r="H152" s="3">
        <v>1642</v>
      </c>
      <c r="I152" s="3">
        <v>1333</v>
      </c>
      <c r="J152" s="3">
        <v>142</v>
      </c>
      <c r="K152" s="3">
        <v>0.64200000000000002</v>
      </c>
      <c r="L152" s="3">
        <v>0.2</v>
      </c>
      <c r="M152" s="3">
        <v>0.72799999999999998</v>
      </c>
      <c r="N152" s="3">
        <v>17.7</v>
      </c>
      <c r="O152" s="3">
        <v>7</v>
      </c>
      <c r="P152" s="3">
        <v>5.7</v>
      </c>
      <c r="Q152" s="3">
        <v>0.6</v>
      </c>
      <c r="R152" s="3">
        <v>12.1</v>
      </c>
      <c r="S152">
        <f t="shared" si="4"/>
        <v>2.42</v>
      </c>
    </row>
    <row r="153" spans="1:19" ht="30">
      <c r="A153" s="3">
        <v>42</v>
      </c>
      <c r="B153" s="3" t="s">
        <v>193</v>
      </c>
      <c r="C153" s="82" t="s">
        <v>194</v>
      </c>
      <c r="D153" s="3" t="s">
        <v>195</v>
      </c>
      <c r="E153" s="3">
        <v>8</v>
      </c>
      <c r="F153" s="3">
        <v>302</v>
      </c>
      <c r="G153" s="3">
        <v>5449</v>
      </c>
      <c r="H153" s="3">
        <v>2756</v>
      </c>
      <c r="I153" s="3">
        <v>1587</v>
      </c>
      <c r="J153" s="3">
        <v>307</v>
      </c>
      <c r="K153" s="3">
        <v>0.58899999999999997</v>
      </c>
      <c r="L153" s="3">
        <v>0.35899999999999999</v>
      </c>
      <c r="M153" s="3">
        <v>0.77400000000000002</v>
      </c>
      <c r="N153" s="3">
        <v>18</v>
      </c>
      <c r="O153" s="3">
        <v>9.1</v>
      </c>
      <c r="P153" s="3">
        <v>5.3</v>
      </c>
      <c r="Q153" s="3">
        <v>1</v>
      </c>
      <c r="R153" s="3">
        <v>19.3</v>
      </c>
      <c r="S153">
        <f t="shared" si="4"/>
        <v>2.4125000000000001</v>
      </c>
    </row>
    <row r="154" spans="1:19" ht="30">
      <c r="A154" s="3">
        <v>41</v>
      </c>
      <c r="B154" s="3" t="s">
        <v>47</v>
      </c>
      <c r="C154" s="80" t="s">
        <v>116</v>
      </c>
      <c r="D154" s="3" t="s">
        <v>117</v>
      </c>
      <c r="E154" s="3">
        <v>10</v>
      </c>
      <c r="F154" s="3">
        <v>583</v>
      </c>
      <c r="G154" s="3">
        <v>11281</v>
      </c>
      <c r="H154" s="3">
        <v>3492</v>
      </c>
      <c r="I154" s="3">
        <v>1996</v>
      </c>
      <c r="J154" s="3">
        <v>808</v>
      </c>
      <c r="K154" s="3">
        <v>0.435</v>
      </c>
      <c r="L154" s="3">
        <v>0.35599999999999998</v>
      </c>
      <c r="M154" s="3">
        <v>0.77300000000000002</v>
      </c>
      <c r="N154" s="3">
        <v>19.3</v>
      </c>
      <c r="O154" s="3">
        <v>6</v>
      </c>
      <c r="P154" s="3">
        <v>3.4</v>
      </c>
      <c r="Q154" s="3">
        <v>1.4</v>
      </c>
      <c r="R154" s="3">
        <v>24.1</v>
      </c>
      <c r="S154">
        <f t="shared" si="4"/>
        <v>2.41</v>
      </c>
    </row>
    <row r="155" spans="1:19">
      <c r="A155" s="3">
        <v>40</v>
      </c>
      <c r="B155" s="3" t="s">
        <v>124</v>
      </c>
      <c r="C155" s="80" t="s">
        <v>125</v>
      </c>
      <c r="D155" s="3" t="s">
        <v>126</v>
      </c>
      <c r="E155" s="3">
        <v>11</v>
      </c>
      <c r="F155" s="3">
        <v>679</v>
      </c>
      <c r="G155" s="3">
        <v>17116</v>
      </c>
      <c r="H155" s="3">
        <v>7625</v>
      </c>
      <c r="I155" s="3">
        <v>2792</v>
      </c>
      <c r="J155" s="3">
        <v>1817</v>
      </c>
      <c r="K155" s="3">
        <v>0.43</v>
      </c>
      <c r="L155" s="3">
        <v>0.35499999999999998</v>
      </c>
      <c r="M155" s="3">
        <v>0.78700000000000003</v>
      </c>
      <c r="N155" s="3">
        <v>25.2</v>
      </c>
      <c r="O155" s="3">
        <v>11.2</v>
      </c>
      <c r="P155" s="3">
        <v>4.0999999999999996</v>
      </c>
      <c r="Q155" s="3">
        <v>2.7</v>
      </c>
      <c r="R155" s="3">
        <v>26.5</v>
      </c>
      <c r="S155">
        <f t="shared" si="4"/>
        <v>2.4090909090909092</v>
      </c>
    </row>
    <row r="156" spans="1:19" ht="30">
      <c r="A156" s="3">
        <v>35</v>
      </c>
      <c r="B156" s="3" t="s">
        <v>66</v>
      </c>
      <c r="C156" s="82" t="s">
        <v>197</v>
      </c>
      <c r="D156" s="2"/>
      <c r="E156" s="3">
        <v>7</v>
      </c>
      <c r="F156" s="3">
        <v>344</v>
      </c>
      <c r="G156" s="3">
        <v>5149</v>
      </c>
      <c r="H156" s="3">
        <v>2524</v>
      </c>
      <c r="I156" s="3">
        <v>1982</v>
      </c>
      <c r="J156" s="3">
        <v>364</v>
      </c>
      <c r="K156" s="3">
        <v>0.53300000000000003</v>
      </c>
      <c r="L156" s="3">
        <v>0.30599999999999999</v>
      </c>
      <c r="M156" s="3">
        <v>0.71299999999999997</v>
      </c>
      <c r="N156" s="3">
        <v>15</v>
      </c>
      <c r="O156" s="3">
        <v>7.3</v>
      </c>
      <c r="P156" s="3">
        <v>5.8</v>
      </c>
      <c r="Q156" s="3">
        <v>1.1000000000000001</v>
      </c>
      <c r="R156" s="3">
        <v>16.3</v>
      </c>
      <c r="S156">
        <f t="shared" si="4"/>
        <v>2.3285714285714287</v>
      </c>
    </row>
    <row r="157" spans="1:19">
      <c r="A157" s="3">
        <v>42</v>
      </c>
      <c r="B157" s="3" t="s">
        <v>41</v>
      </c>
      <c r="C157" s="82" t="s">
        <v>214</v>
      </c>
      <c r="D157" s="2"/>
      <c r="E157" s="3">
        <v>8</v>
      </c>
      <c r="F157" s="3">
        <v>475</v>
      </c>
      <c r="G157" s="3">
        <v>8545</v>
      </c>
      <c r="H157" s="3">
        <v>3661</v>
      </c>
      <c r="I157" s="3">
        <v>1159</v>
      </c>
      <c r="J157" s="3">
        <v>448</v>
      </c>
      <c r="K157" s="3">
        <v>0.42199999999999999</v>
      </c>
      <c r="L157" s="3">
        <v>0.39600000000000002</v>
      </c>
      <c r="M157" s="3">
        <v>0.86299999999999999</v>
      </c>
      <c r="N157" s="3">
        <v>18</v>
      </c>
      <c r="O157" s="3">
        <v>7.7</v>
      </c>
      <c r="P157" s="3">
        <v>2.4</v>
      </c>
      <c r="Q157" s="3">
        <v>0.9</v>
      </c>
      <c r="R157" s="92">
        <v>18.600000000000001</v>
      </c>
      <c r="S157">
        <f t="shared" si="4"/>
        <v>2.3250000000000002</v>
      </c>
    </row>
    <row r="158" spans="1:19">
      <c r="A158" s="51">
        <v>35</v>
      </c>
      <c r="B158" s="51" t="s">
        <v>141</v>
      </c>
      <c r="C158" s="114" t="s">
        <v>144</v>
      </c>
      <c r="D158" s="51" t="s">
        <v>145</v>
      </c>
      <c r="E158" s="51">
        <v>8</v>
      </c>
      <c r="F158" s="51">
        <v>514</v>
      </c>
      <c r="G158" s="51">
        <v>10865</v>
      </c>
      <c r="H158" s="51">
        <v>4111</v>
      </c>
      <c r="I158" s="51">
        <v>2236</v>
      </c>
      <c r="J158" s="51">
        <v>457</v>
      </c>
      <c r="K158" s="51">
        <v>0.44700000000000001</v>
      </c>
      <c r="L158" s="51">
        <v>0.182</v>
      </c>
      <c r="M158" s="51">
        <v>0.7</v>
      </c>
      <c r="N158" s="51">
        <v>21.1</v>
      </c>
      <c r="O158" s="51">
        <v>8</v>
      </c>
      <c r="P158" s="51">
        <v>4.4000000000000004</v>
      </c>
      <c r="Q158" s="51">
        <v>0.9</v>
      </c>
      <c r="R158" s="92">
        <v>18.600000000000001</v>
      </c>
      <c r="S158">
        <f t="shared" si="4"/>
        <v>2.3250000000000002</v>
      </c>
    </row>
    <row r="159" spans="1:19">
      <c r="A159" s="3">
        <v>33</v>
      </c>
      <c r="B159" s="3" t="s">
        <v>76</v>
      </c>
      <c r="C159" s="80" t="s">
        <v>118</v>
      </c>
      <c r="D159" s="3" t="s">
        <v>59</v>
      </c>
      <c r="E159" s="3">
        <v>10</v>
      </c>
      <c r="F159" s="3">
        <v>504</v>
      </c>
      <c r="G159" s="3">
        <v>12298</v>
      </c>
      <c r="H159" s="3">
        <v>5185</v>
      </c>
      <c r="I159" s="3">
        <v>1521</v>
      </c>
      <c r="J159" s="3">
        <v>790</v>
      </c>
      <c r="K159" s="3">
        <v>0.47899999999999998</v>
      </c>
      <c r="L159" s="3">
        <v>0.436</v>
      </c>
      <c r="M159" s="3">
        <v>0.77100000000000002</v>
      </c>
      <c r="N159" s="3">
        <v>24.4</v>
      </c>
      <c r="O159" s="3">
        <v>10.3</v>
      </c>
      <c r="P159" s="3">
        <v>3</v>
      </c>
      <c r="Q159" s="3">
        <v>1.6</v>
      </c>
      <c r="R159" s="3">
        <v>23.1</v>
      </c>
      <c r="S159">
        <f t="shared" si="4"/>
        <v>2.31</v>
      </c>
    </row>
    <row r="160" spans="1:19">
      <c r="A160" s="3">
        <v>50</v>
      </c>
      <c r="B160" s="3" t="s">
        <v>66</v>
      </c>
      <c r="C160" s="88" t="s">
        <v>1280</v>
      </c>
      <c r="D160" s="3" t="s">
        <v>1281</v>
      </c>
      <c r="E160" s="3">
        <v>6</v>
      </c>
      <c r="F160" s="3">
        <v>388</v>
      </c>
      <c r="G160" s="3">
        <v>6905</v>
      </c>
      <c r="H160" s="3">
        <v>1847</v>
      </c>
      <c r="I160" s="3">
        <v>1843</v>
      </c>
      <c r="J160" s="3">
        <v>384</v>
      </c>
      <c r="K160" s="3">
        <v>0.47099999999999997</v>
      </c>
      <c r="L160" s="3">
        <v>0.13300000000000001</v>
      </c>
      <c r="M160" s="3">
        <v>0.68200000000000005</v>
      </c>
      <c r="N160" s="3">
        <v>17.8</v>
      </c>
      <c r="O160" s="3">
        <v>4.8</v>
      </c>
      <c r="P160" s="3">
        <v>4.8</v>
      </c>
      <c r="Q160" s="3">
        <v>1</v>
      </c>
      <c r="R160" s="92">
        <v>13.8</v>
      </c>
      <c r="S160">
        <f t="shared" si="4"/>
        <v>2.3000000000000003</v>
      </c>
    </row>
    <row r="161" spans="1:19">
      <c r="A161" s="3">
        <v>49</v>
      </c>
      <c r="B161" s="3" t="s">
        <v>66</v>
      </c>
      <c r="C161" s="80" t="s">
        <v>90</v>
      </c>
      <c r="D161" s="3" t="s">
        <v>84</v>
      </c>
      <c r="E161" s="3">
        <v>5</v>
      </c>
      <c r="F161" s="3">
        <v>294</v>
      </c>
      <c r="G161" s="3">
        <v>4827</v>
      </c>
      <c r="H161" s="3">
        <v>2134</v>
      </c>
      <c r="I161" s="3">
        <v>567</v>
      </c>
      <c r="J161" s="3">
        <v>306</v>
      </c>
      <c r="K161" s="3">
        <v>0.42899999999999999</v>
      </c>
      <c r="L161" s="3">
        <v>0.39800000000000002</v>
      </c>
      <c r="M161" s="3">
        <v>0.82799999999999996</v>
      </c>
      <c r="N161" s="3">
        <v>16.399999999999999</v>
      </c>
      <c r="O161" s="3">
        <v>7.3</v>
      </c>
      <c r="P161" s="3">
        <v>1.9</v>
      </c>
      <c r="Q161" s="3">
        <v>1</v>
      </c>
      <c r="R161" s="3">
        <v>11.5</v>
      </c>
      <c r="S161">
        <f t="shared" si="4"/>
        <v>2.2999999999999998</v>
      </c>
    </row>
    <row r="162" spans="1:19" ht="30">
      <c r="A162" s="3">
        <v>41</v>
      </c>
      <c r="B162" s="3" t="s">
        <v>179</v>
      </c>
      <c r="C162" s="82" t="s">
        <v>187</v>
      </c>
      <c r="D162" s="3" t="s">
        <v>173</v>
      </c>
      <c r="E162" s="3">
        <v>7</v>
      </c>
      <c r="F162" s="3">
        <v>280</v>
      </c>
      <c r="G162" s="3">
        <v>5708</v>
      </c>
      <c r="H162" s="3">
        <v>1686</v>
      </c>
      <c r="I162" s="3">
        <v>1791</v>
      </c>
      <c r="J162" s="3">
        <v>405</v>
      </c>
      <c r="K162" s="3">
        <v>0.56599999999999995</v>
      </c>
      <c r="L162" s="3">
        <v>0.28499999999999998</v>
      </c>
      <c r="M162" s="3">
        <v>0.64400000000000002</v>
      </c>
      <c r="N162" s="3">
        <v>20.399999999999999</v>
      </c>
      <c r="O162" s="3">
        <v>6</v>
      </c>
      <c r="P162" s="3">
        <v>6.4</v>
      </c>
      <c r="Q162" s="3">
        <v>1.4</v>
      </c>
      <c r="R162" s="3">
        <v>15.8</v>
      </c>
      <c r="S162">
        <f t="shared" si="4"/>
        <v>2.2571428571428571</v>
      </c>
    </row>
    <row r="163" spans="1:19">
      <c r="A163" s="3">
        <v>58</v>
      </c>
      <c r="B163" s="3" t="s">
        <v>66</v>
      </c>
      <c r="C163" s="82" t="s">
        <v>175</v>
      </c>
      <c r="D163" s="3" t="s">
        <v>176</v>
      </c>
      <c r="E163" s="3">
        <v>5</v>
      </c>
      <c r="F163" s="3">
        <v>244</v>
      </c>
      <c r="G163" s="3">
        <v>3110</v>
      </c>
      <c r="H163" s="3">
        <v>1216</v>
      </c>
      <c r="I163" s="3">
        <v>976</v>
      </c>
      <c r="J163" s="3">
        <v>193</v>
      </c>
      <c r="K163" s="3">
        <v>0.55300000000000005</v>
      </c>
      <c r="L163" s="3">
        <v>0.316</v>
      </c>
      <c r="M163" s="3">
        <v>0.71</v>
      </c>
      <c r="N163" s="3">
        <v>12.7</v>
      </c>
      <c r="O163" s="3">
        <v>5</v>
      </c>
      <c r="P163" s="3">
        <v>4</v>
      </c>
      <c r="Q163" s="3">
        <v>0.8</v>
      </c>
      <c r="R163" s="3">
        <v>11.2</v>
      </c>
      <c r="S163">
        <f t="shared" si="4"/>
        <v>2.2399999999999998</v>
      </c>
    </row>
    <row r="164" spans="1:19" ht="30">
      <c r="A164" s="3">
        <v>46</v>
      </c>
      <c r="B164" s="3" t="s">
        <v>69</v>
      </c>
      <c r="C164" s="89" t="s">
        <v>70</v>
      </c>
      <c r="D164" s="3" t="s">
        <v>71</v>
      </c>
      <c r="E164" s="3">
        <v>11</v>
      </c>
      <c r="F164" s="3">
        <v>744</v>
      </c>
      <c r="G164" s="3">
        <v>20594</v>
      </c>
      <c r="H164" s="3">
        <v>11902</v>
      </c>
      <c r="I164" s="3">
        <v>2494</v>
      </c>
      <c r="J164" s="3">
        <v>2178</v>
      </c>
      <c r="K164" s="3">
        <v>0.437</v>
      </c>
      <c r="L164" s="3">
        <v>0.33700000000000002</v>
      </c>
      <c r="M164" s="3">
        <v>0.83199999999999996</v>
      </c>
      <c r="N164" s="3">
        <v>27.7</v>
      </c>
      <c r="O164" s="3">
        <v>16</v>
      </c>
      <c r="P164" s="3">
        <v>3.4</v>
      </c>
      <c r="Q164" s="3">
        <v>2.9</v>
      </c>
      <c r="R164" s="3">
        <v>24.5</v>
      </c>
      <c r="S164">
        <f t="shared" si="4"/>
        <v>2.2272727272727271</v>
      </c>
    </row>
    <row r="165" spans="1:19">
      <c r="A165" s="3">
        <v>49</v>
      </c>
      <c r="B165" s="3" t="s">
        <v>179</v>
      </c>
      <c r="C165" s="83" t="s">
        <v>210</v>
      </c>
      <c r="D165" s="3" t="s">
        <v>211</v>
      </c>
      <c r="E165" s="3">
        <v>8</v>
      </c>
      <c r="F165" s="3">
        <v>472</v>
      </c>
      <c r="G165" s="3">
        <v>6714</v>
      </c>
      <c r="H165" s="3">
        <v>2568</v>
      </c>
      <c r="I165" s="3">
        <v>2166</v>
      </c>
      <c r="J165" s="3">
        <v>643</v>
      </c>
      <c r="K165" s="3">
        <v>0.51700000000000002</v>
      </c>
      <c r="L165" s="3">
        <v>0.218</v>
      </c>
      <c r="M165" s="3">
        <v>0.74</v>
      </c>
      <c r="N165" s="3">
        <v>14.2</v>
      </c>
      <c r="O165" s="3">
        <v>5.4</v>
      </c>
      <c r="P165" s="3">
        <v>4.5999999999999996</v>
      </c>
      <c r="Q165" s="3">
        <v>1.4</v>
      </c>
      <c r="R165" s="3">
        <v>17.8</v>
      </c>
      <c r="S165">
        <f t="shared" si="4"/>
        <v>2.2250000000000001</v>
      </c>
    </row>
    <row r="166" spans="1:19">
      <c r="A166" s="3">
        <v>55</v>
      </c>
      <c r="B166" s="3" t="s">
        <v>124</v>
      </c>
      <c r="C166" s="81" t="s">
        <v>133</v>
      </c>
      <c r="D166" s="3" t="s">
        <v>134</v>
      </c>
      <c r="E166" s="3">
        <v>16</v>
      </c>
      <c r="F166" s="3">
        <v>911</v>
      </c>
      <c r="G166" s="3">
        <v>18264</v>
      </c>
      <c r="H166" s="3">
        <v>7967</v>
      </c>
      <c r="I166" s="3">
        <v>1490</v>
      </c>
      <c r="J166" s="3">
        <v>2007</v>
      </c>
      <c r="K166" s="3">
        <v>0.42299999999999999</v>
      </c>
      <c r="L166" s="3">
        <v>0.38500000000000001</v>
      </c>
      <c r="M166" s="3">
        <v>0.85599999999999998</v>
      </c>
      <c r="N166" s="3">
        <v>20</v>
      </c>
      <c r="O166" s="3">
        <v>8.6999999999999993</v>
      </c>
      <c r="P166" s="3">
        <v>1.6</v>
      </c>
      <c r="Q166" s="3">
        <v>2.2000000000000002</v>
      </c>
      <c r="R166" s="90">
        <v>35.6</v>
      </c>
      <c r="S166">
        <f t="shared" si="4"/>
        <v>2.2250000000000001</v>
      </c>
    </row>
    <row r="167" spans="1:19" ht="30">
      <c r="A167" s="61">
        <v>37</v>
      </c>
      <c r="B167" s="61" t="s">
        <v>57</v>
      </c>
      <c r="C167" s="62" t="s">
        <v>140</v>
      </c>
      <c r="D167" s="61" t="s">
        <v>63</v>
      </c>
      <c r="E167" s="61">
        <v>12</v>
      </c>
      <c r="F167" s="61">
        <v>689</v>
      </c>
      <c r="G167" s="61">
        <v>16038</v>
      </c>
      <c r="H167" s="61">
        <v>4380</v>
      </c>
      <c r="I167" s="61">
        <v>2800</v>
      </c>
      <c r="J167" s="61">
        <v>588</v>
      </c>
      <c r="K167" s="61">
        <v>0.45400000000000001</v>
      </c>
      <c r="L167" s="61">
        <v>0.33400000000000002</v>
      </c>
      <c r="M167" s="61">
        <v>0.65900000000000003</v>
      </c>
      <c r="N167" s="50">
        <v>23.3</v>
      </c>
      <c r="O167" s="61">
        <v>6.4</v>
      </c>
      <c r="P167" s="61">
        <v>4.0999999999999996</v>
      </c>
      <c r="Q167" s="61">
        <v>0.9</v>
      </c>
      <c r="R167" s="92">
        <v>26</v>
      </c>
      <c r="S167">
        <f t="shared" si="4"/>
        <v>2.1666666666666665</v>
      </c>
    </row>
    <row r="168" spans="1:19" ht="30">
      <c r="A168" s="3">
        <v>34</v>
      </c>
      <c r="B168" s="3" t="s">
        <v>184</v>
      </c>
      <c r="C168" s="82" t="s">
        <v>185</v>
      </c>
      <c r="D168" s="3" t="s">
        <v>138</v>
      </c>
      <c r="E168" s="3">
        <v>6</v>
      </c>
      <c r="F168" s="3">
        <v>336</v>
      </c>
      <c r="G168" s="3">
        <v>8359</v>
      </c>
      <c r="H168" s="3">
        <v>3733</v>
      </c>
      <c r="I168" s="3">
        <v>758</v>
      </c>
      <c r="J168" s="3">
        <v>1448</v>
      </c>
      <c r="K168" s="3">
        <v>0.371</v>
      </c>
      <c r="L168" s="3">
        <v>0.35399999999999998</v>
      </c>
      <c r="M168" s="3">
        <v>0.81200000000000006</v>
      </c>
      <c r="N168" s="3">
        <v>24.9</v>
      </c>
      <c r="O168" s="3">
        <v>11.1</v>
      </c>
      <c r="P168" s="3">
        <v>2.2999999999999998</v>
      </c>
      <c r="Q168" s="3">
        <v>4.3</v>
      </c>
      <c r="R168" s="3">
        <v>12.7</v>
      </c>
      <c r="S168">
        <f t="shared" si="4"/>
        <v>2.1166666666666667</v>
      </c>
    </row>
    <row r="169" spans="1:19">
      <c r="A169" s="3">
        <v>39</v>
      </c>
      <c r="B169" s="3" t="s">
        <v>50</v>
      </c>
      <c r="C169" s="83" t="s">
        <v>216</v>
      </c>
      <c r="D169" s="3" t="s">
        <v>121</v>
      </c>
      <c r="E169" s="3">
        <v>5</v>
      </c>
      <c r="F169" s="3">
        <v>255</v>
      </c>
      <c r="G169" s="3">
        <v>6010</v>
      </c>
      <c r="H169" s="3">
        <v>1731</v>
      </c>
      <c r="I169" s="3">
        <v>1092</v>
      </c>
      <c r="J169" s="3">
        <v>419</v>
      </c>
      <c r="K169" s="3">
        <v>0.47299999999999998</v>
      </c>
      <c r="L169" s="3">
        <v>0.33200000000000002</v>
      </c>
      <c r="M169" s="3">
        <v>0.66600000000000004</v>
      </c>
      <c r="N169" s="3">
        <v>23.6</v>
      </c>
      <c r="O169" s="3">
        <v>6.8</v>
      </c>
      <c r="P169" s="3">
        <v>4.3</v>
      </c>
      <c r="Q169" s="3">
        <v>1.6</v>
      </c>
      <c r="R169" s="92">
        <v>10.5</v>
      </c>
      <c r="S169">
        <f t="shared" ref="S169:S232" si="5">R169/E169</f>
        <v>2.1</v>
      </c>
    </row>
    <row r="170" spans="1:19" ht="30">
      <c r="A170" s="3">
        <v>46</v>
      </c>
      <c r="B170" s="3" t="s">
        <v>52</v>
      </c>
      <c r="C170" s="80" t="s">
        <v>104</v>
      </c>
      <c r="D170" s="3" t="s">
        <v>105</v>
      </c>
      <c r="E170" s="3">
        <v>7</v>
      </c>
      <c r="F170" s="3">
        <v>356</v>
      </c>
      <c r="G170" s="3">
        <v>8147</v>
      </c>
      <c r="H170" s="3">
        <v>3231</v>
      </c>
      <c r="I170" s="3">
        <v>1316</v>
      </c>
      <c r="J170" s="3">
        <v>988</v>
      </c>
      <c r="K170" s="3">
        <v>0.41</v>
      </c>
      <c r="L170" s="3">
        <v>0.36899999999999999</v>
      </c>
      <c r="M170" s="3">
        <v>0.77900000000000003</v>
      </c>
      <c r="N170" s="3">
        <v>22.9</v>
      </c>
      <c r="O170" s="3">
        <v>9.1</v>
      </c>
      <c r="P170" s="3">
        <v>3.7</v>
      </c>
      <c r="Q170" s="3">
        <v>2.8</v>
      </c>
      <c r="R170" s="3">
        <v>14.2</v>
      </c>
      <c r="S170">
        <f t="shared" si="5"/>
        <v>2.0285714285714285</v>
      </c>
    </row>
    <row r="171" spans="1:19" ht="30">
      <c r="A171" s="3">
        <v>50</v>
      </c>
      <c r="B171" s="3" t="s">
        <v>184</v>
      </c>
      <c r="C171" s="82" t="s">
        <v>204</v>
      </c>
      <c r="D171" s="3" t="s">
        <v>205</v>
      </c>
      <c r="E171" s="3">
        <v>8</v>
      </c>
      <c r="F171" s="3">
        <v>395</v>
      </c>
      <c r="G171" s="3">
        <v>8022</v>
      </c>
      <c r="H171" s="3">
        <v>2629</v>
      </c>
      <c r="I171" s="3">
        <v>1306</v>
      </c>
      <c r="J171" s="3">
        <v>373</v>
      </c>
      <c r="K171" s="3">
        <v>0.45700000000000002</v>
      </c>
      <c r="L171" s="3">
        <v>0.36</v>
      </c>
      <c r="M171" s="3">
        <v>0.79700000000000004</v>
      </c>
      <c r="N171" s="3">
        <v>20.3</v>
      </c>
      <c r="O171" s="3">
        <v>6.7</v>
      </c>
      <c r="P171" s="3">
        <v>3.3</v>
      </c>
      <c r="Q171" s="3">
        <v>0.9</v>
      </c>
      <c r="R171" s="3">
        <v>16.2</v>
      </c>
      <c r="S171">
        <f t="shared" si="5"/>
        <v>2.0249999999999999</v>
      </c>
    </row>
    <row r="172" spans="1:19" ht="30">
      <c r="A172" s="3">
        <v>35</v>
      </c>
      <c r="B172" s="3" t="s">
        <v>36</v>
      </c>
      <c r="C172" s="82" t="s">
        <v>168</v>
      </c>
      <c r="D172" s="3" t="s">
        <v>27</v>
      </c>
      <c r="E172" s="3">
        <v>5</v>
      </c>
      <c r="F172" s="3">
        <v>254</v>
      </c>
      <c r="G172" s="3">
        <v>4136</v>
      </c>
      <c r="H172" s="3">
        <v>1380</v>
      </c>
      <c r="I172" s="3">
        <v>971</v>
      </c>
      <c r="J172" s="3">
        <v>317</v>
      </c>
      <c r="K172" s="3">
        <v>0.51200000000000001</v>
      </c>
      <c r="L172" s="3">
        <v>0.25800000000000001</v>
      </c>
      <c r="M172" s="3">
        <v>0.57399999999999995</v>
      </c>
      <c r="N172" s="3">
        <v>16.3</v>
      </c>
      <c r="O172" s="3">
        <v>5.4</v>
      </c>
      <c r="P172" s="3">
        <v>3.8</v>
      </c>
      <c r="Q172" s="3">
        <v>1.2</v>
      </c>
      <c r="R172" s="3">
        <v>10.1</v>
      </c>
      <c r="S172">
        <f t="shared" si="5"/>
        <v>2.02</v>
      </c>
    </row>
    <row r="173" spans="1:19" ht="30">
      <c r="A173" s="3">
        <v>44</v>
      </c>
      <c r="B173" s="3" t="s">
        <v>34</v>
      </c>
      <c r="C173" s="83" t="s">
        <v>223</v>
      </c>
      <c r="D173" s="3" t="s">
        <v>224</v>
      </c>
      <c r="E173" s="3">
        <v>7</v>
      </c>
      <c r="F173" s="3">
        <v>407</v>
      </c>
      <c r="G173" s="3">
        <v>7998</v>
      </c>
      <c r="H173" s="3">
        <v>3198</v>
      </c>
      <c r="I173" s="3">
        <v>1240</v>
      </c>
      <c r="J173" s="3">
        <v>473</v>
      </c>
      <c r="K173" s="3">
        <v>0.43</v>
      </c>
      <c r="L173" s="3">
        <v>0.35199999999999998</v>
      </c>
      <c r="M173" s="3">
        <v>0.79700000000000004</v>
      </c>
      <c r="N173" s="3">
        <v>19.7</v>
      </c>
      <c r="O173" s="3">
        <v>7.9</v>
      </c>
      <c r="P173" s="3">
        <v>3</v>
      </c>
      <c r="Q173" s="3">
        <v>1.2</v>
      </c>
      <c r="R173" s="90">
        <v>13.9</v>
      </c>
      <c r="S173">
        <f t="shared" si="5"/>
        <v>1.9857142857142858</v>
      </c>
    </row>
    <row r="174" spans="1:19">
      <c r="A174" s="3">
        <v>31</v>
      </c>
      <c r="B174" s="3" t="s">
        <v>76</v>
      </c>
      <c r="C174" s="82" t="s">
        <v>199</v>
      </c>
      <c r="D174" s="3" t="s">
        <v>200</v>
      </c>
      <c r="E174" s="3">
        <v>7</v>
      </c>
      <c r="F174" s="3">
        <v>381</v>
      </c>
      <c r="G174" s="3">
        <v>9125</v>
      </c>
      <c r="H174" s="3">
        <v>3453</v>
      </c>
      <c r="I174" s="3">
        <v>1073</v>
      </c>
      <c r="J174" s="3">
        <v>434</v>
      </c>
      <c r="K174" s="3">
        <v>0.42499999999999999</v>
      </c>
      <c r="L174" s="3">
        <v>0.38700000000000001</v>
      </c>
      <c r="M174" s="3">
        <v>0.83099999999999996</v>
      </c>
      <c r="N174" s="3">
        <v>24</v>
      </c>
      <c r="O174" s="3">
        <v>9.1</v>
      </c>
      <c r="P174" s="3">
        <v>2.8</v>
      </c>
      <c r="Q174" s="3">
        <v>1.1000000000000001</v>
      </c>
      <c r="R174" s="3">
        <v>13.7</v>
      </c>
      <c r="S174">
        <f t="shared" si="5"/>
        <v>1.9571428571428571</v>
      </c>
    </row>
    <row r="175" spans="1:19">
      <c r="A175" s="154">
        <v>34</v>
      </c>
      <c r="B175" s="154" t="s">
        <v>82</v>
      </c>
      <c r="C175" s="158" t="s">
        <v>83</v>
      </c>
      <c r="D175" s="154" t="s">
        <v>84</v>
      </c>
      <c r="E175" s="154">
        <v>3</v>
      </c>
      <c r="F175" s="156">
        <v>142</v>
      </c>
      <c r="G175" s="154">
        <v>2218</v>
      </c>
      <c r="H175" s="154">
        <v>704</v>
      </c>
      <c r="I175" s="154">
        <v>613</v>
      </c>
      <c r="J175" s="154">
        <v>245</v>
      </c>
      <c r="K175" s="154">
        <v>0.41899999999999998</v>
      </c>
      <c r="L175" s="154">
        <v>0.36699999999999999</v>
      </c>
      <c r="M175" s="154">
        <v>0.77100000000000002</v>
      </c>
      <c r="N175" s="154">
        <v>15.6</v>
      </c>
      <c r="O175" s="154">
        <v>5</v>
      </c>
      <c r="P175" s="154">
        <v>4.3</v>
      </c>
      <c r="Q175" s="154">
        <v>1.7</v>
      </c>
      <c r="R175" s="154">
        <v>5.8</v>
      </c>
      <c r="S175">
        <f t="shared" si="5"/>
        <v>1.9333333333333333</v>
      </c>
    </row>
    <row r="176" spans="1:19">
      <c r="A176" s="3">
        <v>43</v>
      </c>
      <c r="B176" s="3" t="s">
        <v>184</v>
      </c>
      <c r="C176" s="82" t="s">
        <v>209</v>
      </c>
      <c r="D176" s="3" t="s">
        <v>59</v>
      </c>
      <c r="E176" s="3">
        <v>9</v>
      </c>
      <c r="F176" s="3">
        <v>555</v>
      </c>
      <c r="G176" s="3">
        <v>9182</v>
      </c>
      <c r="H176" s="3">
        <v>3736</v>
      </c>
      <c r="I176" s="3">
        <v>1727</v>
      </c>
      <c r="J176" s="3">
        <v>499</v>
      </c>
      <c r="K176" s="3">
        <v>0.45300000000000001</v>
      </c>
      <c r="L176" s="3">
        <v>0.36199999999999999</v>
      </c>
      <c r="M176" s="3">
        <v>0.75700000000000001</v>
      </c>
      <c r="N176" s="3">
        <v>16.5</v>
      </c>
      <c r="O176" s="3">
        <v>6.7</v>
      </c>
      <c r="P176" s="3">
        <v>3.1</v>
      </c>
      <c r="Q176" s="3">
        <v>0.9</v>
      </c>
      <c r="R176" s="3">
        <v>16.8</v>
      </c>
      <c r="S176">
        <f t="shared" si="5"/>
        <v>1.8666666666666667</v>
      </c>
    </row>
    <row r="177" spans="1:19">
      <c r="A177" s="3">
        <v>31</v>
      </c>
      <c r="B177" s="3" t="s">
        <v>135</v>
      </c>
      <c r="C177" s="82" t="s">
        <v>196</v>
      </c>
      <c r="D177" s="2"/>
      <c r="E177" s="3">
        <v>7</v>
      </c>
      <c r="F177" s="3">
        <v>476</v>
      </c>
      <c r="G177" s="3">
        <v>10815</v>
      </c>
      <c r="H177" s="3">
        <v>4427</v>
      </c>
      <c r="I177" s="3">
        <v>1411</v>
      </c>
      <c r="J177" s="3">
        <v>933</v>
      </c>
      <c r="K177" s="3">
        <v>0.432</v>
      </c>
      <c r="L177" s="3">
        <v>0.35699999999999998</v>
      </c>
      <c r="M177" s="3">
        <v>0.71099999999999997</v>
      </c>
      <c r="N177" s="3">
        <v>22.7</v>
      </c>
      <c r="O177" s="3">
        <v>9.3000000000000007</v>
      </c>
      <c r="P177" s="3">
        <v>3</v>
      </c>
      <c r="Q177" s="3">
        <v>2</v>
      </c>
      <c r="R177" s="3">
        <v>12.5</v>
      </c>
      <c r="S177">
        <f t="shared" si="5"/>
        <v>1.7857142857142858</v>
      </c>
    </row>
    <row r="178" spans="1:19" ht="30">
      <c r="A178" s="3">
        <v>40</v>
      </c>
      <c r="B178" s="3" t="s">
        <v>41</v>
      </c>
      <c r="C178" s="81" t="s">
        <v>130</v>
      </c>
      <c r="D178" s="3" t="s">
        <v>131</v>
      </c>
      <c r="E178" s="3">
        <v>10</v>
      </c>
      <c r="F178" s="3">
        <v>554</v>
      </c>
      <c r="G178" s="3">
        <v>12680</v>
      </c>
      <c r="H178" s="3">
        <v>4738</v>
      </c>
      <c r="I178" s="3">
        <v>2251</v>
      </c>
      <c r="J178" s="3">
        <v>1621</v>
      </c>
      <c r="K178" s="3">
        <v>0.44500000000000001</v>
      </c>
      <c r="L178" s="3">
        <v>0.314</v>
      </c>
      <c r="M178" s="3">
        <v>0.69399999999999995</v>
      </c>
      <c r="N178" s="3">
        <v>22.9</v>
      </c>
      <c r="O178" s="3">
        <v>8.6</v>
      </c>
      <c r="P178" s="3">
        <v>4.0999999999999996</v>
      </c>
      <c r="Q178" s="3">
        <v>2.9</v>
      </c>
      <c r="R178" s="92">
        <v>17.5</v>
      </c>
      <c r="S178">
        <f t="shared" si="5"/>
        <v>1.75</v>
      </c>
    </row>
    <row r="179" spans="1:19">
      <c r="A179" s="3">
        <v>44</v>
      </c>
      <c r="B179" s="3" t="s">
        <v>20</v>
      </c>
      <c r="C179" s="82" t="s">
        <v>201</v>
      </c>
      <c r="D179" s="3" t="s">
        <v>202</v>
      </c>
      <c r="E179" s="3">
        <v>11</v>
      </c>
      <c r="F179" s="3">
        <v>548</v>
      </c>
      <c r="G179" s="3">
        <v>8239</v>
      </c>
      <c r="H179" s="3">
        <v>3206</v>
      </c>
      <c r="I179" s="3">
        <v>1699</v>
      </c>
      <c r="J179" s="3">
        <v>464</v>
      </c>
      <c r="K179" s="3">
        <v>0.45100000000000001</v>
      </c>
      <c r="L179" s="3">
        <v>0.373</v>
      </c>
      <c r="M179" s="3">
        <v>0.83</v>
      </c>
      <c r="N179" s="3">
        <v>15</v>
      </c>
      <c r="O179" s="3">
        <v>5.9</v>
      </c>
      <c r="P179" s="3">
        <v>3.1</v>
      </c>
      <c r="Q179" s="3">
        <v>0.8</v>
      </c>
      <c r="R179" s="3">
        <v>19.2</v>
      </c>
      <c r="S179">
        <f t="shared" si="5"/>
        <v>1.7454545454545454</v>
      </c>
    </row>
    <row r="180" spans="1:19">
      <c r="A180" s="3">
        <v>50</v>
      </c>
      <c r="B180" s="3" t="s">
        <v>41</v>
      </c>
      <c r="C180" s="80" t="s">
        <v>110</v>
      </c>
      <c r="D180" s="3" t="s">
        <v>108</v>
      </c>
      <c r="E180" s="3">
        <v>9</v>
      </c>
      <c r="F180" s="3">
        <v>517</v>
      </c>
      <c r="G180" s="3">
        <v>8876</v>
      </c>
      <c r="H180" s="3">
        <v>3723</v>
      </c>
      <c r="I180" s="3">
        <v>1277</v>
      </c>
      <c r="J180" s="3">
        <v>493</v>
      </c>
      <c r="K180" s="3">
        <v>0.44600000000000001</v>
      </c>
      <c r="L180" s="3">
        <v>0.39800000000000002</v>
      </c>
      <c r="M180" s="3">
        <v>0.85799999999999998</v>
      </c>
      <c r="N180" s="3">
        <v>17.2</v>
      </c>
      <c r="O180" s="3">
        <v>7.2</v>
      </c>
      <c r="P180" s="3">
        <v>2.5</v>
      </c>
      <c r="Q180" s="3">
        <v>1</v>
      </c>
      <c r="R180" s="3">
        <v>15.3</v>
      </c>
      <c r="S180">
        <f t="shared" si="5"/>
        <v>1.7000000000000002</v>
      </c>
    </row>
    <row r="181" spans="1:19" ht="30">
      <c r="A181" s="51">
        <v>37</v>
      </c>
      <c r="B181" s="51" t="s">
        <v>124</v>
      </c>
      <c r="C181" s="125" t="s">
        <v>226</v>
      </c>
      <c r="D181" s="51" t="s">
        <v>171</v>
      </c>
      <c r="E181" s="51">
        <v>11</v>
      </c>
      <c r="F181" s="51">
        <v>433</v>
      </c>
      <c r="G181" s="51">
        <v>8271</v>
      </c>
      <c r="H181" s="51">
        <v>2333</v>
      </c>
      <c r="I181" s="51">
        <v>1686</v>
      </c>
      <c r="J181" s="51">
        <v>901</v>
      </c>
      <c r="K181" s="51">
        <v>0.46300000000000002</v>
      </c>
      <c r="L181" s="51">
        <v>0.34</v>
      </c>
      <c r="M181" s="51">
        <v>0.70499999999999996</v>
      </c>
      <c r="N181" s="51">
        <v>19.100000000000001</v>
      </c>
      <c r="O181" s="51">
        <v>5.4</v>
      </c>
      <c r="P181" s="51">
        <v>3.9</v>
      </c>
      <c r="Q181" s="51">
        <v>2.1</v>
      </c>
      <c r="R181" s="92">
        <v>18.5</v>
      </c>
      <c r="S181">
        <f t="shared" si="5"/>
        <v>1.6818181818181819</v>
      </c>
    </row>
    <row r="182" spans="1:19">
      <c r="A182" s="3">
        <v>36</v>
      </c>
      <c r="B182" s="3" t="s">
        <v>82</v>
      </c>
      <c r="C182" s="80" t="s">
        <v>86</v>
      </c>
      <c r="D182" s="3" t="s">
        <v>87</v>
      </c>
      <c r="E182" s="3">
        <v>4</v>
      </c>
      <c r="F182" s="3">
        <v>214</v>
      </c>
      <c r="G182" s="3">
        <v>3449</v>
      </c>
      <c r="H182" s="3">
        <v>1256</v>
      </c>
      <c r="I182" s="3">
        <v>291</v>
      </c>
      <c r="J182" s="3">
        <v>340</v>
      </c>
      <c r="K182" s="3">
        <v>0.40699999999999997</v>
      </c>
      <c r="L182" s="3">
        <v>0.35699999999999998</v>
      </c>
      <c r="M182" s="3">
        <v>0.78700000000000003</v>
      </c>
      <c r="N182" s="3">
        <v>16.100000000000001</v>
      </c>
      <c r="O182" s="3">
        <v>5.9</v>
      </c>
      <c r="P182" s="3">
        <v>1.4</v>
      </c>
      <c r="Q182" s="3">
        <v>1.6</v>
      </c>
      <c r="R182" s="3">
        <v>6.7</v>
      </c>
      <c r="S182">
        <f t="shared" si="5"/>
        <v>1.675</v>
      </c>
    </row>
    <row r="183" spans="1:19">
      <c r="A183" s="3">
        <v>41</v>
      </c>
      <c r="B183" s="3" t="s">
        <v>25</v>
      </c>
      <c r="C183" s="88" t="s">
        <v>684</v>
      </c>
      <c r="D183" s="3" t="s">
        <v>22</v>
      </c>
      <c r="E183" s="3">
        <v>3</v>
      </c>
      <c r="F183" s="3">
        <v>158</v>
      </c>
      <c r="G183" s="3">
        <v>3086</v>
      </c>
      <c r="H183" s="3">
        <v>1552</v>
      </c>
      <c r="I183" s="3">
        <v>509</v>
      </c>
      <c r="J183" s="3">
        <v>214</v>
      </c>
      <c r="K183" s="3">
        <v>0.49399999999999999</v>
      </c>
      <c r="L183" s="3">
        <v>0.32600000000000001</v>
      </c>
      <c r="M183" s="3">
        <v>0.75800000000000001</v>
      </c>
      <c r="N183" s="3">
        <v>19.5</v>
      </c>
      <c r="O183" s="3">
        <v>9.8000000000000007</v>
      </c>
      <c r="P183" s="3">
        <v>3.2</v>
      </c>
      <c r="Q183" s="3">
        <v>1.4</v>
      </c>
      <c r="R183" s="3">
        <v>5</v>
      </c>
      <c r="S183">
        <f t="shared" si="5"/>
        <v>1.6666666666666667</v>
      </c>
    </row>
    <row r="184" spans="1:19">
      <c r="A184" s="3">
        <v>32</v>
      </c>
      <c r="B184" s="3" t="s">
        <v>82</v>
      </c>
      <c r="C184" s="88" t="s">
        <v>1125</v>
      </c>
      <c r="D184" s="2"/>
      <c r="E184" s="3">
        <v>3</v>
      </c>
      <c r="F184" s="3">
        <v>174</v>
      </c>
      <c r="G184" s="3">
        <v>2777</v>
      </c>
      <c r="H184" s="3">
        <v>924</v>
      </c>
      <c r="I184" s="3">
        <v>248</v>
      </c>
      <c r="J184" s="3">
        <v>88</v>
      </c>
      <c r="K184" s="3">
        <v>0.38700000000000001</v>
      </c>
      <c r="L184" s="3">
        <v>0.36799999999999999</v>
      </c>
      <c r="M184" s="3">
        <v>0.88</v>
      </c>
      <c r="N184" s="3">
        <v>16</v>
      </c>
      <c r="O184" s="3">
        <v>5.3</v>
      </c>
      <c r="P184" s="3">
        <v>1.4</v>
      </c>
      <c r="Q184" s="3">
        <v>0.5</v>
      </c>
      <c r="R184" s="3">
        <v>5</v>
      </c>
      <c r="S184">
        <f t="shared" si="5"/>
        <v>1.6666666666666667</v>
      </c>
    </row>
    <row r="185" spans="1:19">
      <c r="A185" s="3">
        <v>33</v>
      </c>
      <c r="B185" s="3" t="s">
        <v>34</v>
      </c>
      <c r="C185" s="88" t="s">
        <v>1266</v>
      </c>
      <c r="D185" s="3" t="s">
        <v>171</v>
      </c>
      <c r="E185" s="3">
        <v>6</v>
      </c>
      <c r="F185" s="3">
        <v>356</v>
      </c>
      <c r="G185" s="3">
        <v>7794</v>
      </c>
      <c r="H185" s="3">
        <v>2326</v>
      </c>
      <c r="I185" s="3">
        <v>1026</v>
      </c>
      <c r="J185" s="3">
        <v>272</v>
      </c>
      <c r="K185" s="3">
        <v>0.41799999999999998</v>
      </c>
      <c r="L185" s="3">
        <v>0.36199999999999999</v>
      </c>
      <c r="M185" s="3">
        <v>0.78600000000000003</v>
      </c>
      <c r="N185" s="3">
        <v>21.9</v>
      </c>
      <c r="O185" s="3">
        <v>6.5</v>
      </c>
      <c r="P185" s="3">
        <v>2.9</v>
      </c>
      <c r="Q185" s="3">
        <v>0.8</v>
      </c>
      <c r="R185" s="92">
        <v>10</v>
      </c>
      <c r="S185">
        <f t="shared" si="5"/>
        <v>1.6666666666666667</v>
      </c>
    </row>
    <row r="186" spans="1:19">
      <c r="A186" s="3">
        <v>40</v>
      </c>
      <c r="B186" s="3" t="s">
        <v>57</v>
      </c>
      <c r="C186" s="88" t="s">
        <v>1271</v>
      </c>
      <c r="D186" s="3" t="s">
        <v>453</v>
      </c>
      <c r="E186" s="3">
        <v>8</v>
      </c>
      <c r="F186" s="3">
        <v>377</v>
      </c>
      <c r="G186" s="3">
        <v>5945</v>
      </c>
      <c r="H186" s="3">
        <v>2395</v>
      </c>
      <c r="I186" s="3">
        <v>1426</v>
      </c>
      <c r="J186" s="3">
        <v>301</v>
      </c>
      <c r="K186" s="3">
        <v>0.48399999999999999</v>
      </c>
      <c r="L186" s="3">
        <v>0.32800000000000001</v>
      </c>
      <c r="M186" s="3">
        <v>0.76700000000000002</v>
      </c>
      <c r="N186" s="3">
        <v>15.8</v>
      </c>
      <c r="O186" s="3">
        <v>6.4</v>
      </c>
      <c r="P186" s="3">
        <v>3.8</v>
      </c>
      <c r="Q186" s="3">
        <v>0.8</v>
      </c>
      <c r="R186" s="92">
        <v>13.2</v>
      </c>
      <c r="S186">
        <f t="shared" si="5"/>
        <v>1.65</v>
      </c>
    </row>
    <row r="187" spans="1:19">
      <c r="A187" s="3">
        <v>54</v>
      </c>
      <c r="B187" s="3" t="s">
        <v>20</v>
      </c>
      <c r="C187" s="82" t="s">
        <v>188</v>
      </c>
      <c r="D187" s="3" t="s">
        <v>189</v>
      </c>
      <c r="E187" s="3">
        <v>7</v>
      </c>
      <c r="F187" s="3">
        <v>342</v>
      </c>
      <c r="G187" s="3">
        <v>6511</v>
      </c>
      <c r="H187" s="3">
        <v>2827</v>
      </c>
      <c r="I187" s="3">
        <v>754</v>
      </c>
      <c r="J187" s="3">
        <v>840</v>
      </c>
      <c r="K187" s="3">
        <v>0.45100000000000001</v>
      </c>
      <c r="L187" s="3">
        <v>0.35799999999999998</v>
      </c>
      <c r="M187" s="3">
        <v>0.82299999999999995</v>
      </c>
      <c r="N187" s="3">
        <v>19</v>
      </c>
      <c r="O187" s="3">
        <v>8.3000000000000007</v>
      </c>
      <c r="P187" s="3">
        <v>2.2000000000000002</v>
      </c>
      <c r="Q187" s="3">
        <v>2.5</v>
      </c>
      <c r="R187" s="3">
        <v>11.5</v>
      </c>
      <c r="S187">
        <f t="shared" si="5"/>
        <v>1.6428571428571428</v>
      </c>
    </row>
    <row r="188" spans="1:19">
      <c r="A188" s="3">
        <v>58</v>
      </c>
      <c r="B188" s="3" t="s">
        <v>50</v>
      </c>
      <c r="C188" s="88" t="s">
        <v>564</v>
      </c>
      <c r="D188" s="3" t="s">
        <v>530</v>
      </c>
      <c r="E188" s="3">
        <v>4</v>
      </c>
      <c r="F188" s="3">
        <v>177</v>
      </c>
      <c r="G188" s="3">
        <v>2374</v>
      </c>
      <c r="H188" s="3">
        <v>424</v>
      </c>
      <c r="I188" s="3">
        <v>687</v>
      </c>
      <c r="J188" s="3">
        <v>93</v>
      </c>
      <c r="K188" s="3">
        <v>0.71799999999999997</v>
      </c>
      <c r="L188" s="3">
        <v>0</v>
      </c>
      <c r="M188" s="3">
        <v>0.58499999999999996</v>
      </c>
      <c r="N188" s="3">
        <v>13.4</v>
      </c>
      <c r="O188" s="3">
        <v>2.4</v>
      </c>
      <c r="P188" s="3">
        <v>3.9</v>
      </c>
      <c r="Q188" s="3">
        <v>0.5</v>
      </c>
      <c r="R188" s="3">
        <v>6.4</v>
      </c>
      <c r="S188">
        <f t="shared" si="5"/>
        <v>1.6</v>
      </c>
    </row>
    <row r="189" spans="1:19">
      <c r="A189" s="3">
        <v>35</v>
      </c>
      <c r="B189" s="3" t="s">
        <v>179</v>
      </c>
      <c r="C189" s="67" t="s">
        <v>824</v>
      </c>
      <c r="D189" s="3" t="s">
        <v>200</v>
      </c>
      <c r="E189" s="3">
        <v>2</v>
      </c>
      <c r="F189" s="3">
        <v>85</v>
      </c>
      <c r="G189" s="3">
        <v>1237</v>
      </c>
      <c r="H189" s="3">
        <v>485</v>
      </c>
      <c r="I189" s="3">
        <v>364</v>
      </c>
      <c r="J189" s="3">
        <v>86</v>
      </c>
      <c r="K189" s="3">
        <v>0.55500000000000005</v>
      </c>
      <c r="L189" s="3">
        <v>0.2</v>
      </c>
      <c r="M189" s="3">
        <v>0.74299999999999999</v>
      </c>
      <c r="N189" s="3">
        <v>14.6</v>
      </c>
      <c r="O189" s="3">
        <v>5.7</v>
      </c>
      <c r="P189" s="3">
        <v>4.3</v>
      </c>
      <c r="Q189" s="3">
        <v>1</v>
      </c>
      <c r="R189" s="3">
        <v>3.2</v>
      </c>
      <c r="S189">
        <f t="shared" si="5"/>
        <v>1.6</v>
      </c>
    </row>
    <row r="190" spans="1:19" ht="30">
      <c r="A190" s="154">
        <v>31</v>
      </c>
      <c r="B190" s="154" t="s">
        <v>41</v>
      </c>
      <c r="C190" s="155" t="s">
        <v>42</v>
      </c>
      <c r="D190" s="154" t="s">
        <v>43</v>
      </c>
      <c r="E190" s="154">
        <v>3</v>
      </c>
      <c r="F190" s="156">
        <v>178</v>
      </c>
      <c r="G190" s="154">
        <v>4761</v>
      </c>
      <c r="H190" s="154">
        <v>1706</v>
      </c>
      <c r="I190" s="154">
        <v>457</v>
      </c>
      <c r="J190" s="154">
        <v>797</v>
      </c>
      <c r="K190" s="154">
        <v>0.46800000000000003</v>
      </c>
      <c r="L190" s="154">
        <v>0.34799999999999998</v>
      </c>
      <c r="M190" s="154">
        <v>0.78400000000000003</v>
      </c>
      <c r="N190" s="154">
        <v>26.7</v>
      </c>
      <c r="O190" s="154">
        <v>9.6</v>
      </c>
      <c r="P190" s="154">
        <v>2.6</v>
      </c>
      <c r="Q190" s="154">
        <v>4.5</v>
      </c>
      <c r="R190" s="154">
        <v>4.8</v>
      </c>
      <c r="S190">
        <f t="shared" si="5"/>
        <v>1.5999999999999999</v>
      </c>
    </row>
    <row r="191" spans="1:19">
      <c r="A191" s="3">
        <v>45</v>
      </c>
      <c r="B191" s="3" t="s">
        <v>52</v>
      </c>
      <c r="C191" s="89" t="s">
        <v>54</v>
      </c>
      <c r="D191" s="3" t="s">
        <v>55</v>
      </c>
      <c r="E191" s="3">
        <v>8</v>
      </c>
      <c r="F191" s="3">
        <v>467</v>
      </c>
      <c r="G191" s="3">
        <v>13740</v>
      </c>
      <c r="H191" s="3">
        <v>6597</v>
      </c>
      <c r="I191" s="3">
        <v>1512</v>
      </c>
      <c r="J191" s="3">
        <v>930</v>
      </c>
      <c r="K191" s="3">
        <v>0.41699999999999998</v>
      </c>
      <c r="L191" s="3">
        <v>0.35</v>
      </c>
      <c r="M191" s="3">
        <v>0.80500000000000005</v>
      </c>
      <c r="N191" s="3">
        <v>29.4</v>
      </c>
      <c r="O191" s="3">
        <v>14.1</v>
      </c>
      <c r="P191" s="3">
        <v>3.2</v>
      </c>
      <c r="Q191" s="3">
        <v>2</v>
      </c>
      <c r="R191" s="3">
        <v>12.7</v>
      </c>
      <c r="S191">
        <f t="shared" si="5"/>
        <v>1.5874999999999999</v>
      </c>
    </row>
    <row r="192" spans="1:19">
      <c r="A192" s="3">
        <v>40</v>
      </c>
      <c r="B192" s="3" t="s">
        <v>1095</v>
      </c>
      <c r="C192" s="67" t="s">
        <v>1404</v>
      </c>
      <c r="D192" s="3" t="s">
        <v>412</v>
      </c>
      <c r="E192" s="3">
        <v>3</v>
      </c>
      <c r="F192" s="3">
        <v>171</v>
      </c>
      <c r="G192" s="3">
        <v>2554</v>
      </c>
      <c r="H192" s="3">
        <v>895</v>
      </c>
      <c r="I192" s="3">
        <v>413</v>
      </c>
      <c r="J192" s="3">
        <v>119</v>
      </c>
      <c r="K192" s="3">
        <v>0.51500000000000001</v>
      </c>
      <c r="L192" s="3">
        <v>0.317</v>
      </c>
      <c r="M192" s="3">
        <v>0.63700000000000001</v>
      </c>
      <c r="N192" s="3">
        <v>14.9</v>
      </c>
      <c r="O192" s="3">
        <v>5.2</v>
      </c>
      <c r="P192" s="3">
        <v>2.4</v>
      </c>
      <c r="Q192" s="3">
        <v>0.7</v>
      </c>
      <c r="R192" s="90">
        <v>4.5</v>
      </c>
      <c r="S192">
        <f t="shared" si="5"/>
        <v>1.5</v>
      </c>
    </row>
    <row r="193" spans="1:19" ht="30">
      <c r="A193" s="3">
        <v>55</v>
      </c>
      <c r="B193" s="3" t="s">
        <v>190</v>
      </c>
      <c r="C193" s="82" t="s">
        <v>215</v>
      </c>
      <c r="D193" s="3" t="s">
        <v>143</v>
      </c>
      <c r="E193" s="3">
        <v>10</v>
      </c>
      <c r="F193" s="3">
        <v>598</v>
      </c>
      <c r="G193" s="3">
        <v>12564</v>
      </c>
      <c r="H193" s="3">
        <v>4743</v>
      </c>
      <c r="I193" s="3">
        <v>1208</v>
      </c>
      <c r="J193" s="3">
        <v>1055</v>
      </c>
      <c r="K193" s="3">
        <v>0.45500000000000002</v>
      </c>
      <c r="L193" s="3">
        <v>0.38800000000000001</v>
      </c>
      <c r="M193" s="3">
        <v>0.74199999999999999</v>
      </c>
      <c r="N193" s="3">
        <v>21</v>
      </c>
      <c r="O193" s="3">
        <v>7.9</v>
      </c>
      <c r="P193" s="3">
        <v>2</v>
      </c>
      <c r="Q193" s="3">
        <v>1.8</v>
      </c>
      <c r="R193" s="92">
        <v>14.8</v>
      </c>
      <c r="S193">
        <f t="shared" si="5"/>
        <v>1.48</v>
      </c>
    </row>
    <row r="194" spans="1:19">
      <c r="A194" s="3">
        <v>47</v>
      </c>
      <c r="B194" s="3" t="s">
        <v>184</v>
      </c>
      <c r="C194" s="82" t="s">
        <v>203</v>
      </c>
      <c r="D194" s="2"/>
      <c r="E194" s="3">
        <v>8</v>
      </c>
      <c r="F194" s="3">
        <v>435</v>
      </c>
      <c r="G194" s="3">
        <v>6765</v>
      </c>
      <c r="H194" s="3">
        <v>2470</v>
      </c>
      <c r="I194" s="3">
        <v>658</v>
      </c>
      <c r="J194" s="3">
        <v>913</v>
      </c>
      <c r="K194" s="3">
        <v>0.45800000000000002</v>
      </c>
      <c r="L194" s="3">
        <v>0.36099999999999999</v>
      </c>
      <c r="M194" s="3">
        <v>0.81200000000000006</v>
      </c>
      <c r="N194" s="3">
        <v>15.6</v>
      </c>
      <c r="O194" s="3">
        <v>5.7</v>
      </c>
      <c r="P194" s="3">
        <v>1.5</v>
      </c>
      <c r="Q194" s="3">
        <v>2.1</v>
      </c>
      <c r="R194" s="3">
        <v>11.6</v>
      </c>
      <c r="S194">
        <f t="shared" si="5"/>
        <v>1.45</v>
      </c>
    </row>
    <row r="195" spans="1:19" ht="30">
      <c r="A195" s="3">
        <v>53</v>
      </c>
      <c r="B195" s="3" t="s">
        <v>28</v>
      </c>
      <c r="C195" s="67" t="s">
        <v>1210</v>
      </c>
      <c r="D195" s="2"/>
      <c r="E195" s="3">
        <v>1</v>
      </c>
      <c r="F195" s="3">
        <v>41</v>
      </c>
      <c r="G195" s="3">
        <v>540</v>
      </c>
      <c r="H195" s="3">
        <v>93</v>
      </c>
      <c r="I195" s="3">
        <v>176</v>
      </c>
      <c r="J195" s="3">
        <v>28</v>
      </c>
      <c r="K195" s="3">
        <v>0.51300000000000001</v>
      </c>
      <c r="L195" s="3">
        <v>0</v>
      </c>
      <c r="M195" s="3">
        <v>0.48099999999999998</v>
      </c>
      <c r="N195" s="3">
        <v>13.2</v>
      </c>
      <c r="O195" s="3">
        <v>2.2999999999999998</v>
      </c>
      <c r="P195" s="3">
        <v>4.3</v>
      </c>
      <c r="Q195" s="3">
        <v>0.7</v>
      </c>
      <c r="R195" s="3">
        <v>1.4</v>
      </c>
      <c r="S195">
        <f t="shared" si="5"/>
        <v>1.4</v>
      </c>
    </row>
    <row r="196" spans="1:19">
      <c r="A196" s="3">
        <v>39</v>
      </c>
      <c r="B196" s="3" t="s">
        <v>124</v>
      </c>
      <c r="C196" s="88" t="s">
        <v>1135</v>
      </c>
      <c r="D196" s="3" t="s">
        <v>138</v>
      </c>
      <c r="E196" s="3">
        <v>5</v>
      </c>
      <c r="F196" s="3">
        <v>207</v>
      </c>
      <c r="G196" s="3">
        <v>2072</v>
      </c>
      <c r="H196" s="3">
        <v>666</v>
      </c>
      <c r="I196" s="3">
        <v>518</v>
      </c>
      <c r="J196" s="3">
        <v>64</v>
      </c>
      <c r="K196" s="3">
        <v>0.52500000000000002</v>
      </c>
      <c r="L196" s="3">
        <v>0.14299999999999999</v>
      </c>
      <c r="M196" s="3">
        <v>0.71599999999999997</v>
      </c>
      <c r="N196" s="3">
        <v>10</v>
      </c>
      <c r="O196" s="3">
        <v>3.2</v>
      </c>
      <c r="P196" s="3">
        <v>2.5</v>
      </c>
      <c r="Q196" s="3">
        <v>0.3</v>
      </c>
      <c r="R196" s="3">
        <v>6.8</v>
      </c>
      <c r="S196">
        <f t="shared" si="5"/>
        <v>1.3599999999999999</v>
      </c>
    </row>
    <row r="197" spans="1:19" ht="30">
      <c r="A197" s="3">
        <v>55</v>
      </c>
      <c r="B197" s="3" t="s">
        <v>152</v>
      </c>
      <c r="C197" s="88" t="s">
        <v>1148</v>
      </c>
      <c r="D197" s="2"/>
      <c r="E197" s="3">
        <v>4</v>
      </c>
      <c r="F197" s="3">
        <v>208</v>
      </c>
      <c r="G197" s="3">
        <v>2823</v>
      </c>
      <c r="H197" s="3">
        <v>1159</v>
      </c>
      <c r="I197" s="3">
        <v>789</v>
      </c>
      <c r="J197" s="3">
        <v>180</v>
      </c>
      <c r="K197" s="3">
        <v>0.47899999999999998</v>
      </c>
      <c r="L197" s="3">
        <v>0.28499999999999998</v>
      </c>
      <c r="M197" s="3">
        <v>0.71899999999999997</v>
      </c>
      <c r="N197" s="3">
        <v>13.6</v>
      </c>
      <c r="O197" s="3">
        <v>5.6</v>
      </c>
      <c r="P197" s="3">
        <v>3.8</v>
      </c>
      <c r="Q197" s="3">
        <v>0.9</v>
      </c>
      <c r="R197" s="3">
        <v>5.2</v>
      </c>
      <c r="S197">
        <f t="shared" si="5"/>
        <v>1.3</v>
      </c>
    </row>
    <row r="198" spans="1:19" ht="30">
      <c r="A198" s="3">
        <v>36</v>
      </c>
      <c r="B198" s="3" t="s">
        <v>1214</v>
      </c>
      <c r="C198" s="67" t="s">
        <v>1268</v>
      </c>
      <c r="D198" s="3" t="s">
        <v>89</v>
      </c>
      <c r="E198" s="3">
        <v>1</v>
      </c>
      <c r="F198" s="3">
        <v>43</v>
      </c>
      <c r="G198" s="3">
        <v>635</v>
      </c>
      <c r="H198" s="3">
        <v>197</v>
      </c>
      <c r="I198" s="3">
        <v>156</v>
      </c>
      <c r="J198" s="3">
        <v>11</v>
      </c>
      <c r="K198" s="3">
        <v>0.50700000000000001</v>
      </c>
      <c r="L198" s="2"/>
      <c r="M198" s="3">
        <v>0.65200000000000002</v>
      </c>
      <c r="N198" s="3">
        <v>14.8</v>
      </c>
      <c r="O198" s="3">
        <v>4.5999999999999996</v>
      </c>
      <c r="P198" s="3">
        <v>3.6</v>
      </c>
      <c r="Q198" s="3">
        <v>0.3</v>
      </c>
      <c r="R198" s="92">
        <v>1.3</v>
      </c>
      <c r="S198">
        <f t="shared" si="5"/>
        <v>1.3</v>
      </c>
    </row>
    <row r="199" spans="1:19">
      <c r="A199" s="3">
        <v>36</v>
      </c>
      <c r="B199" s="3" t="s">
        <v>152</v>
      </c>
      <c r="C199" s="87" t="s">
        <v>1402</v>
      </c>
      <c r="D199" s="3" t="s">
        <v>219</v>
      </c>
      <c r="E199" s="3">
        <v>4</v>
      </c>
      <c r="F199" s="3">
        <v>249</v>
      </c>
      <c r="G199" s="3">
        <v>3966</v>
      </c>
      <c r="H199" s="3">
        <v>1436</v>
      </c>
      <c r="I199" s="3">
        <v>573</v>
      </c>
      <c r="J199" s="3">
        <v>180</v>
      </c>
      <c r="K199" s="3">
        <v>0.442</v>
      </c>
      <c r="L199" s="3">
        <v>0.28000000000000003</v>
      </c>
      <c r="M199" s="3">
        <v>0.74199999999999999</v>
      </c>
      <c r="N199" s="3">
        <v>15.9</v>
      </c>
      <c r="O199" s="3">
        <v>5.8</v>
      </c>
      <c r="P199" s="3">
        <v>2.2999999999999998</v>
      </c>
      <c r="Q199" s="3">
        <v>0.7</v>
      </c>
      <c r="R199" s="90">
        <v>5.2</v>
      </c>
      <c r="S199">
        <f t="shared" si="5"/>
        <v>1.3</v>
      </c>
    </row>
    <row r="200" spans="1:19">
      <c r="A200" s="3">
        <v>45</v>
      </c>
      <c r="B200" s="3" t="s">
        <v>135</v>
      </c>
      <c r="C200" s="67" t="s">
        <v>1405</v>
      </c>
      <c r="D200" s="3" t="s">
        <v>128</v>
      </c>
      <c r="E200" s="3">
        <v>2</v>
      </c>
      <c r="F200" s="3">
        <v>129</v>
      </c>
      <c r="G200" s="3">
        <v>2011</v>
      </c>
      <c r="H200" s="3">
        <v>590</v>
      </c>
      <c r="I200" s="3">
        <v>243</v>
      </c>
      <c r="J200" s="3">
        <v>353</v>
      </c>
      <c r="K200" s="3">
        <v>0.441</v>
      </c>
      <c r="L200" s="3">
        <v>0.28799999999999998</v>
      </c>
      <c r="M200" s="3">
        <v>0.58099999999999996</v>
      </c>
      <c r="N200" s="3">
        <v>15.6</v>
      </c>
      <c r="O200" s="3">
        <v>4.5999999999999996</v>
      </c>
      <c r="P200" s="3">
        <v>1.9</v>
      </c>
      <c r="Q200" s="3">
        <v>2.7</v>
      </c>
      <c r="R200" s="90">
        <v>2.6</v>
      </c>
      <c r="S200">
        <f t="shared" si="5"/>
        <v>1.3</v>
      </c>
    </row>
    <row r="201" spans="1:19">
      <c r="A201" s="3">
        <v>34</v>
      </c>
      <c r="B201" s="3" t="s">
        <v>69</v>
      </c>
      <c r="C201" s="82" t="s">
        <v>212</v>
      </c>
      <c r="D201" s="3" t="s">
        <v>213</v>
      </c>
      <c r="E201" s="3">
        <v>8</v>
      </c>
      <c r="F201" s="3">
        <v>456</v>
      </c>
      <c r="G201" s="3">
        <v>8392</v>
      </c>
      <c r="H201" s="3">
        <v>2997</v>
      </c>
      <c r="I201" s="3">
        <v>894</v>
      </c>
      <c r="J201" s="3">
        <v>1421</v>
      </c>
      <c r="K201" s="3">
        <v>0.42299999999999999</v>
      </c>
      <c r="L201" s="3">
        <v>0.33</v>
      </c>
      <c r="M201" s="3">
        <v>0.73099999999999998</v>
      </c>
      <c r="N201" s="3">
        <v>18.399999999999999</v>
      </c>
      <c r="O201" s="3">
        <v>6.6</v>
      </c>
      <c r="P201" s="3">
        <v>2</v>
      </c>
      <c r="Q201" s="3">
        <v>3.1</v>
      </c>
      <c r="R201" s="92">
        <v>10.3</v>
      </c>
      <c r="S201">
        <f t="shared" si="5"/>
        <v>1.2875000000000001</v>
      </c>
    </row>
    <row r="202" spans="1:19">
      <c r="A202" s="3">
        <v>33</v>
      </c>
      <c r="B202" s="3" t="s">
        <v>28</v>
      </c>
      <c r="C202" s="88" t="s">
        <v>896</v>
      </c>
      <c r="D202" s="3" t="s">
        <v>138</v>
      </c>
      <c r="E202" s="3">
        <v>5</v>
      </c>
      <c r="F202" s="3">
        <v>183</v>
      </c>
      <c r="G202" s="3">
        <v>2186</v>
      </c>
      <c r="H202" s="3">
        <v>958</v>
      </c>
      <c r="I202" s="3">
        <v>759</v>
      </c>
      <c r="J202" s="3">
        <v>78</v>
      </c>
      <c r="K202" s="3">
        <v>0.59599999999999997</v>
      </c>
      <c r="L202" s="3">
        <v>0.28599999999999998</v>
      </c>
      <c r="M202" s="3">
        <v>0.77400000000000002</v>
      </c>
      <c r="N202" s="3">
        <v>11.9</v>
      </c>
      <c r="O202" s="3">
        <v>5.2</v>
      </c>
      <c r="P202" s="3">
        <v>4.0999999999999996</v>
      </c>
      <c r="Q202" s="3">
        <v>0.4</v>
      </c>
      <c r="R202" s="3">
        <v>6.3</v>
      </c>
      <c r="S202">
        <f t="shared" si="5"/>
        <v>1.26</v>
      </c>
    </row>
    <row r="203" spans="1:19" ht="30">
      <c r="A203" s="3">
        <v>32</v>
      </c>
      <c r="B203" s="3" t="s">
        <v>50</v>
      </c>
      <c r="C203" s="82" t="s">
        <v>156</v>
      </c>
      <c r="D203" s="3" t="s">
        <v>22</v>
      </c>
      <c r="E203" s="3">
        <v>4</v>
      </c>
      <c r="F203" s="3">
        <v>173</v>
      </c>
      <c r="G203" s="3">
        <v>2985</v>
      </c>
      <c r="H203" s="3">
        <v>1004</v>
      </c>
      <c r="I203" s="3">
        <v>728</v>
      </c>
      <c r="J203" s="3">
        <v>164</v>
      </c>
      <c r="K203" s="3">
        <v>0.435</v>
      </c>
      <c r="L203" s="3">
        <v>0.33300000000000002</v>
      </c>
      <c r="M203" s="3">
        <v>0.79400000000000004</v>
      </c>
      <c r="N203" s="3">
        <v>17.3</v>
      </c>
      <c r="O203" s="3">
        <v>5.8</v>
      </c>
      <c r="P203" s="3">
        <v>4.2</v>
      </c>
      <c r="Q203" s="3">
        <v>0.9</v>
      </c>
      <c r="R203" s="3">
        <v>5</v>
      </c>
      <c r="S203">
        <f t="shared" si="5"/>
        <v>1.25</v>
      </c>
    </row>
    <row r="204" spans="1:19">
      <c r="A204" s="3">
        <v>36</v>
      </c>
      <c r="B204" s="3" t="s">
        <v>119</v>
      </c>
      <c r="C204" s="82" t="s">
        <v>178</v>
      </c>
      <c r="D204" s="3" t="s">
        <v>147</v>
      </c>
      <c r="E204" s="3">
        <v>6</v>
      </c>
      <c r="F204" s="3">
        <v>245</v>
      </c>
      <c r="G204" s="3">
        <v>5472</v>
      </c>
      <c r="H204" s="3">
        <v>1541</v>
      </c>
      <c r="I204" s="3">
        <v>913</v>
      </c>
      <c r="J204" s="3">
        <v>564</v>
      </c>
      <c r="K204" s="3">
        <v>0.44</v>
      </c>
      <c r="L204" s="3">
        <v>0.31900000000000001</v>
      </c>
      <c r="M204" s="3">
        <v>0.65800000000000003</v>
      </c>
      <c r="N204" s="3">
        <v>22.3</v>
      </c>
      <c r="O204" s="3">
        <v>6.3</v>
      </c>
      <c r="P204" s="3">
        <v>3.7</v>
      </c>
      <c r="Q204" s="3">
        <v>2.2999999999999998</v>
      </c>
      <c r="R204" s="3">
        <v>7.5</v>
      </c>
      <c r="S204">
        <f t="shared" si="5"/>
        <v>1.25</v>
      </c>
    </row>
    <row r="205" spans="1:19">
      <c r="A205" s="3">
        <v>37</v>
      </c>
      <c r="B205" s="3" t="s">
        <v>163</v>
      </c>
      <c r="C205" s="82" t="s">
        <v>207</v>
      </c>
      <c r="D205" s="3" t="s">
        <v>208</v>
      </c>
      <c r="E205" s="3">
        <v>7</v>
      </c>
      <c r="F205" s="3">
        <v>337</v>
      </c>
      <c r="G205" s="3">
        <v>5392</v>
      </c>
      <c r="H205" s="3">
        <v>1642</v>
      </c>
      <c r="I205" s="3">
        <v>1179</v>
      </c>
      <c r="J205" s="3">
        <v>217</v>
      </c>
      <c r="K205" s="3">
        <v>0.44400000000000001</v>
      </c>
      <c r="L205" s="3">
        <v>0.35</v>
      </c>
      <c r="M205" s="3">
        <v>0.75900000000000001</v>
      </c>
      <c r="N205" s="3">
        <v>16</v>
      </c>
      <c r="O205" s="3">
        <v>4.9000000000000004</v>
      </c>
      <c r="P205" s="3">
        <v>3.5</v>
      </c>
      <c r="Q205" s="3">
        <v>0.6</v>
      </c>
      <c r="R205" s="3">
        <v>8.6999999999999993</v>
      </c>
      <c r="S205">
        <f t="shared" si="5"/>
        <v>1.2428571428571427</v>
      </c>
    </row>
    <row r="206" spans="1:19" ht="30">
      <c r="A206" s="3">
        <v>48</v>
      </c>
      <c r="B206" s="3" t="s">
        <v>135</v>
      </c>
      <c r="C206" s="88" t="s">
        <v>768</v>
      </c>
      <c r="D206" s="3" t="s">
        <v>404</v>
      </c>
      <c r="E206" s="3">
        <v>6</v>
      </c>
      <c r="F206" s="3">
        <v>283</v>
      </c>
      <c r="G206" s="3">
        <v>4566</v>
      </c>
      <c r="H206" s="3">
        <v>1697</v>
      </c>
      <c r="I206" s="3">
        <v>848</v>
      </c>
      <c r="J206" s="3">
        <v>241</v>
      </c>
      <c r="K206" s="3">
        <v>0.47399999999999998</v>
      </c>
      <c r="L206" s="3">
        <v>0.33300000000000002</v>
      </c>
      <c r="M206" s="3">
        <v>0.751</v>
      </c>
      <c r="N206" s="3">
        <v>16.100000000000001</v>
      </c>
      <c r="O206" s="3">
        <v>6</v>
      </c>
      <c r="P206" s="3">
        <v>3</v>
      </c>
      <c r="Q206" s="3">
        <v>0.9</v>
      </c>
      <c r="R206" s="3">
        <v>7.4</v>
      </c>
      <c r="S206">
        <f t="shared" si="5"/>
        <v>1.2333333333333334</v>
      </c>
    </row>
    <row r="207" spans="1:19" ht="30">
      <c r="A207" s="3">
        <v>45</v>
      </c>
      <c r="B207" s="3" t="s">
        <v>66</v>
      </c>
      <c r="C207" s="67" t="s">
        <v>1202</v>
      </c>
      <c r="D207" s="3" t="s">
        <v>145</v>
      </c>
      <c r="E207" s="3">
        <v>3</v>
      </c>
      <c r="F207" s="3">
        <v>113</v>
      </c>
      <c r="G207" s="3">
        <v>1961</v>
      </c>
      <c r="H207" s="3">
        <v>687</v>
      </c>
      <c r="I207" s="3">
        <v>403</v>
      </c>
      <c r="J207" s="3">
        <v>91</v>
      </c>
      <c r="K207" s="3">
        <v>0.46400000000000002</v>
      </c>
      <c r="L207" s="3">
        <v>0.309</v>
      </c>
      <c r="M207" s="3">
        <v>0.79800000000000004</v>
      </c>
      <c r="N207" s="3">
        <v>17.399999999999999</v>
      </c>
      <c r="O207" s="3">
        <v>6.1</v>
      </c>
      <c r="P207" s="3">
        <v>3.6</v>
      </c>
      <c r="Q207" s="3">
        <v>0.8</v>
      </c>
      <c r="R207" s="3">
        <v>3.7</v>
      </c>
      <c r="S207">
        <f t="shared" si="5"/>
        <v>1.2333333333333334</v>
      </c>
    </row>
    <row r="208" spans="1:19">
      <c r="A208" s="3">
        <v>38</v>
      </c>
      <c r="B208" s="3" t="s">
        <v>124</v>
      </c>
      <c r="C208" s="67" t="s">
        <v>1403</v>
      </c>
      <c r="D208" s="3" t="s">
        <v>38</v>
      </c>
      <c r="E208" s="3">
        <v>3</v>
      </c>
      <c r="F208" s="3">
        <v>150</v>
      </c>
      <c r="G208" s="3">
        <v>1570</v>
      </c>
      <c r="H208" s="3">
        <v>320</v>
      </c>
      <c r="I208" s="3">
        <v>472</v>
      </c>
      <c r="J208" s="3">
        <v>49</v>
      </c>
      <c r="K208" s="3">
        <v>0.48799999999999999</v>
      </c>
      <c r="L208" s="3">
        <v>0</v>
      </c>
      <c r="M208" s="3">
        <v>0.61799999999999999</v>
      </c>
      <c r="N208" s="3">
        <v>10.5</v>
      </c>
      <c r="O208" s="3">
        <v>2.1</v>
      </c>
      <c r="P208" s="3">
        <v>3.1</v>
      </c>
      <c r="Q208" s="3">
        <v>0.3</v>
      </c>
      <c r="R208" s="90">
        <v>3.7</v>
      </c>
      <c r="S208">
        <f t="shared" si="5"/>
        <v>1.2333333333333334</v>
      </c>
    </row>
    <row r="209" spans="1:19" ht="30">
      <c r="A209" s="154">
        <v>33</v>
      </c>
      <c r="B209" s="154" t="s">
        <v>163</v>
      </c>
      <c r="C209" s="157" t="s">
        <v>478</v>
      </c>
      <c r="D209" s="154" t="s">
        <v>224</v>
      </c>
      <c r="E209" s="154">
        <v>2</v>
      </c>
      <c r="F209" s="156">
        <v>86</v>
      </c>
      <c r="G209" s="154">
        <v>1039</v>
      </c>
      <c r="H209" s="154">
        <v>241</v>
      </c>
      <c r="I209" s="154">
        <v>231</v>
      </c>
      <c r="J209" s="154">
        <v>43</v>
      </c>
      <c r="K209" s="154">
        <v>0.51600000000000001</v>
      </c>
      <c r="L209" s="154">
        <v>7.0999999999999994E-2</v>
      </c>
      <c r="M209" s="154">
        <v>0.64600000000000002</v>
      </c>
      <c r="N209" s="154">
        <v>12.1</v>
      </c>
      <c r="O209" s="154">
        <v>2.8</v>
      </c>
      <c r="P209" s="154">
        <v>2.7</v>
      </c>
      <c r="Q209" s="154">
        <v>0.5</v>
      </c>
      <c r="R209" s="154">
        <v>2.4</v>
      </c>
      <c r="S209">
        <f t="shared" si="5"/>
        <v>1.2</v>
      </c>
    </row>
    <row r="210" spans="1:19">
      <c r="A210" s="154">
        <v>35</v>
      </c>
      <c r="B210" s="154" t="s">
        <v>31</v>
      </c>
      <c r="C210" s="158" t="s">
        <v>85</v>
      </c>
      <c r="D210" s="154" t="s">
        <v>27</v>
      </c>
      <c r="E210" s="154">
        <v>3</v>
      </c>
      <c r="F210" s="156">
        <v>157</v>
      </c>
      <c r="G210" s="154">
        <v>2704</v>
      </c>
      <c r="H210" s="154">
        <v>855</v>
      </c>
      <c r="I210" s="154">
        <v>357</v>
      </c>
      <c r="J210" s="154">
        <v>156</v>
      </c>
      <c r="K210" s="154">
        <v>0.437</v>
      </c>
      <c r="L210" s="154">
        <v>0.38300000000000001</v>
      </c>
      <c r="M210" s="154">
        <v>0.82499999999999996</v>
      </c>
      <c r="N210" s="154">
        <v>17.2</v>
      </c>
      <c r="O210" s="154">
        <v>5.4</v>
      </c>
      <c r="P210" s="154">
        <v>2.2999999999999998</v>
      </c>
      <c r="Q210" s="154">
        <v>1</v>
      </c>
      <c r="R210" s="154">
        <v>3.6</v>
      </c>
      <c r="S210">
        <f t="shared" si="5"/>
        <v>1.2</v>
      </c>
    </row>
    <row r="211" spans="1:19">
      <c r="A211" s="3">
        <v>32</v>
      </c>
      <c r="B211" s="3" t="s">
        <v>152</v>
      </c>
      <c r="C211" s="82" t="s">
        <v>183</v>
      </c>
      <c r="D211" s="3" t="s">
        <v>87</v>
      </c>
      <c r="E211" s="3">
        <v>7</v>
      </c>
      <c r="F211" s="3">
        <v>401</v>
      </c>
      <c r="G211" s="3">
        <v>6135</v>
      </c>
      <c r="H211" s="3">
        <v>2082</v>
      </c>
      <c r="I211" s="3">
        <v>671</v>
      </c>
      <c r="J211" s="3">
        <v>633</v>
      </c>
      <c r="K211" s="3">
        <v>0.39700000000000002</v>
      </c>
      <c r="L211" s="3">
        <v>0.38200000000000001</v>
      </c>
      <c r="M211" s="3">
        <v>0.79600000000000004</v>
      </c>
      <c r="N211" s="3">
        <v>15.3</v>
      </c>
      <c r="O211" s="3">
        <v>5.2</v>
      </c>
      <c r="P211" s="3">
        <v>1.7</v>
      </c>
      <c r="Q211" s="3">
        <v>1.6</v>
      </c>
      <c r="R211" s="3">
        <v>8.4</v>
      </c>
      <c r="S211">
        <f t="shared" si="5"/>
        <v>1.2</v>
      </c>
    </row>
    <row r="212" spans="1:19">
      <c r="A212" s="3">
        <v>31</v>
      </c>
      <c r="B212" s="3" t="s">
        <v>190</v>
      </c>
      <c r="C212" s="67" t="s">
        <v>895</v>
      </c>
      <c r="D212" s="3" t="s">
        <v>27</v>
      </c>
      <c r="E212" s="3">
        <v>3</v>
      </c>
      <c r="F212" s="3">
        <v>107</v>
      </c>
      <c r="G212" s="3">
        <v>1299</v>
      </c>
      <c r="H212" s="3">
        <v>454</v>
      </c>
      <c r="I212" s="3">
        <v>346</v>
      </c>
      <c r="J212" s="3">
        <v>47</v>
      </c>
      <c r="K212" s="3">
        <v>0.59899999999999998</v>
      </c>
      <c r="L212" s="3">
        <v>0</v>
      </c>
      <c r="M212" s="3">
        <v>0.63500000000000001</v>
      </c>
      <c r="N212" s="3">
        <v>12.1</v>
      </c>
      <c r="O212" s="3">
        <v>4.2</v>
      </c>
      <c r="P212" s="3">
        <v>3.2</v>
      </c>
      <c r="Q212" s="3">
        <v>0.4</v>
      </c>
      <c r="R212" s="3">
        <v>3.6</v>
      </c>
      <c r="S212">
        <f t="shared" si="5"/>
        <v>1.2</v>
      </c>
    </row>
    <row r="213" spans="1:19" ht="30">
      <c r="A213" s="3">
        <v>53</v>
      </c>
      <c r="B213" s="3" t="s">
        <v>79</v>
      </c>
      <c r="C213" s="67" t="s">
        <v>1412</v>
      </c>
      <c r="D213" s="2"/>
      <c r="E213" s="3">
        <v>2</v>
      </c>
      <c r="F213" s="3">
        <v>119</v>
      </c>
      <c r="G213" s="3">
        <v>1414</v>
      </c>
      <c r="H213" s="3">
        <v>453</v>
      </c>
      <c r="I213" s="3">
        <v>211</v>
      </c>
      <c r="J213" s="3">
        <v>203</v>
      </c>
      <c r="K213" s="3">
        <v>0.42899999999999999</v>
      </c>
      <c r="L213" s="3">
        <v>0.36299999999999999</v>
      </c>
      <c r="M213" s="3">
        <v>0.83499999999999996</v>
      </c>
      <c r="N213" s="3">
        <v>11.9</v>
      </c>
      <c r="O213" s="3">
        <v>3.8</v>
      </c>
      <c r="P213" s="3">
        <v>1.8</v>
      </c>
      <c r="Q213" s="3">
        <v>1.7</v>
      </c>
      <c r="R213" s="90">
        <v>2.4</v>
      </c>
      <c r="S213">
        <f t="shared" si="5"/>
        <v>1.2</v>
      </c>
    </row>
    <row r="214" spans="1:19" ht="30">
      <c r="A214" s="3">
        <v>55</v>
      </c>
      <c r="B214" s="3" t="s">
        <v>193</v>
      </c>
      <c r="C214" s="87" t="s">
        <v>1351</v>
      </c>
      <c r="D214" s="3" t="s">
        <v>561</v>
      </c>
      <c r="E214" s="3">
        <v>7</v>
      </c>
      <c r="F214" s="3">
        <v>250</v>
      </c>
      <c r="G214" s="3">
        <v>2626</v>
      </c>
      <c r="H214" s="3">
        <v>879</v>
      </c>
      <c r="I214" s="3">
        <v>641</v>
      </c>
      <c r="J214" s="3">
        <v>107</v>
      </c>
      <c r="K214" s="3">
        <v>0.56899999999999995</v>
      </c>
      <c r="L214" s="3">
        <v>0.23100000000000001</v>
      </c>
      <c r="M214" s="3">
        <v>0.68700000000000006</v>
      </c>
      <c r="N214" s="3">
        <v>10.5</v>
      </c>
      <c r="O214" s="3">
        <v>3.5</v>
      </c>
      <c r="P214" s="3">
        <v>2.6</v>
      </c>
      <c r="Q214" s="3">
        <v>0.4</v>
      </c>
      <c r="R214" s="92">
        <v>8.1999999999999993</v>
      </c>
      <c r="S214">
        <f t="shared" si="5"/>
        <v>1.1714285714285713</v>
      </c>
    </row>
    <row r="215" spans="1:19">
      <c r="A215" s="154">
        <v>57</v>
      </c>
      <c r="B215" s="154" t="s">
        <v>124</v>
      </c>
      <c r="C215" s="157" t="s">
        <v>497</v>
      </c>
      <c r="D215" s="154" t="s">
        <v>65</v>
      </c>
      <c r="E215" s="154">
        <v>3</v>
      </c>
      <c r="F215" s="156">
        <v>165</v>
      </c>
      <c r="G215" s="154">
        <v>2694</v>
      </c>
      <c r="H215" s="154">
        <v>973</v>
      </c>
      <c r="I215" s="154">
        <v>743</v>
      </c>
      <c r="J215" s="154">
        <v>122</v>
      </c>
      <c r="K215" s="154">
        <v>0.44900000000000001</v>
      </c>
      <c r="L215" s="154">
        <v>0.27900000000000003</v>
      </c>
      <c r="M215" s="154">
        <v>0.74</v>
      </c>
      <c r="N215" s="154">
        <v>16.3</v>
      </c>
      <c r="O215" s="154">
        <v>5.9</v>
      </c>
      <c r="P215" s="154">
        <v>4.5</v>
      </c>
      <c r="Q215" s="154">
        <v>0.7</v>
      </c>
      <c r="R215" s="154">
        <v>3.5</v>
      </c>
      <c r="S215">
        <f t="shared" si="5"/>
        <v>1.1666666666666667</v>
      </c>
    </row>
    <row r="216" spans="1:19" ht="30">
      <c r="A216" s="3">
        <v>40</v>
      </c>
      <c r="B216" s="3" t="s">
        <v>135</v>
      </c>
      <c r="C216" s="82" t="s">
        <v>198</v>
      </c>
      <c r="D216" s="3" t="s">
        <v>151</v>
      </c>
      <c r="E216" s="3">
        <v>7</v>
      </c>
      <c r="F216" s="3">
        <v>304</v>
      </c>
      <c r="G216" s="3">
        <v>5299</v>
      </c>
      <c r="H216" s="3">
        <v>1804</v>
      </c>
      <c r="I216" s="3">
        <v>776</v>
      </c>
      <c r="J216" s="3">
        <v>238</v>
      </c>
      <c r="K216" s="3">
        <v>0.45700000000000002</v>
      </c>
      <c r="L216" s="3">
        <v>0.373</v>
      </c>
      <c r="M216" s="3">
        <v>0.77900000000000003</v>
      </c>
      <c r="N216" s="3">
        <v>17.399999999999999</v>
      </c>
      <c r="O216" s="3">
        <v>5.9</v>
      </c>
      <c r="P216" s="3">
        <v>2.6</v>
      </c>
      <c r="Q216" s="3">
        <v>0.8</v>
      </c>
      <c r="R216" s="3">
        <v>7.9</v>
      </c>
      <c r="S216">
        <f t="shared" si="5"/>
        <v>1.1285714285714286</v>
      </c>
    </row>
    <row r="217" spans="1:19">
      <c r="A217" s="3">
        <v>46</v>
      </c>
      <c r="B217" s="3" t="s">
        <v>66</v>
      </c>
      <c r="C217" s="88" t="s">
        <v>830</v>
      </c>
      <c r="D217" s="3" t="s">
        <v>189</v>
      </c>
      <c r="E217" s="3">
        <v>6</v>
      </c>
      <c r="F217" s="3">
        <v>268</v>
      </c>
      <c r="G217" s="3">
        <v>4458</v>
      </c>
      <c r="H217" s="3">
        <v>1431</v>
      </c>
      <c r="I217" s="3">
        <v>891</v>
      </c>
      <c r="J217" s="3">
        <v>268</v>
      </c>
      <c r="K217" s="3">
        <v>0.41899999999999998</v>
      </c>
      <c r="L217" s="3">
        <v>0.36299999999999999</v>
      </c>
      <c r="M217" s="3">
        <v>0.79600000000000004</v>
      </c>
      <c r="N217" s="3">
        <v>16.600000000000001</v>
      </c>
      <c r="O217" s="3">
        <v>5.3</v>
      </c>
      <c r="P217" s="3">
        <v>3.3</v>
      </c>
      <c r="Q217" s="3">
        <v>1</v>
      </c>
      <c r="R217" s="3">
        <v>6.6</v>
      </c>
      <c r="S217">
        <f t="shared" si="5"/>
        <v>1.0999999999999999</v>
      </c>
    </row>
    <row r="218" spans="1:19">
      <c r="A218" s="3">
        <v>46</v>
      </c>
      <c r="B218" s="3" t="s">
        <v>1098</v>
      </c>
      <c r="C218" s="88" t="s">
        <v>1203</v>
      </c>
      <c r="D218" s="3" t="s">
        <v>173</v>
      </c>
      <c r="E218" s="3">
        <v>6</v>
      </c>
      <c r="F218" s="3">
        <v>271</v>
      </c>
      <c r="G218" s="3">
        <v>5358</v>
      </c>
      <c r="H218" s="3">
        <v>1597</v>
      </c>
      <c r="I218" s="3">
        <v>447</v>
      </c>
      <c r="J218" s="3">
        <v>367</v>
      </c>
      <c r="K218" s="3">
        <v>0.41899999999999998</v>
      </c>
      <c r="L218" s="3">
        <v>0.38300000000000001</v>
      </c>
      <c r="M218" s="3">
        <v>0.84</v>
      </c>
      <c r="N218" s="3">
        <v>19.8</v>
      </c>
      <c r="O218" s="3">
        <v>5.9</v>
      </c>
      <c r="P218" s="3">
        <v>1.6</v>
      </c>
      <c r="Q218" s="3">
        <v>1.4</v>
      </c>
      <c r="R218" s="3">
        <v>6.5</v>
      </c>
      <c r="S218">
        <f t="shared" si="5"/>
        <v>1.0833333333333333</v>
      </c>
    </row>
    <row r="219" spans="1:19" ht="30">
      <c r="A219" s="3">
        <v>44</v>
      </c>
      <c r="B219" s="3" t="s">
        <v>323</v>
      </c>
      <c r="C219" s="67" t="s">
        <v>979</v>
      </c>
      <c r="D219" s="3" t="s">
        <v>173</v>
      </c>
      <c r="E219" s="3">
        <v>3</v>
      </c>
      <c r="F219" s="3">
        <v>145</v>
      </c>
      <c r="G219" s="3">
        <v>2987</v>
      </c>
      <c r="H219" s="3">
        <v>1012</v>
      </c>
      <c r="I219" s="3">
        <v>287</v>
      </c>
      <c r="J219" s="3">
        <v>399</v>
      </c>
      <c r="K219" s="3">
        <v>0.373</v>
      </c>
      <c r="L219" s="3">
        <v>0.29399999999999998</v>
      </c>
      <c r="M219" s="3">
        <v>0.77900000000000003</v>
      </c>
      <c r="N219" s="3">
        <v>20.6</v>
      </c>
      <c r="O219" s="3">
        <v>7</v>
      </c>
      <c r="P219" s="3">
        <v>2</v>
      </c>
      <c r="Q219" s="3">
        <v>2.8</v>
      </c>
      <c r="R219" s="3">
        <v>3.2</v>
      </c>
      <c r="S219">
        <f t="shared" si="5"/>
        <v>1.0666666666666667</v>
      </c>
    </row>
    <row r="220" spans="1:19" ht="30">
      <c r="A220" s="3">
        <v>60</v>
      </c>
      <c r="B220" s="3" t="s">
        <v>44</v>
      </c>
      <c r="C220" s="82" t="s">
        <v>177</v>
      </c>
      <c r="D220" s="3" t="s">
        <v>160</v>
      </c>
      <c r="E220" s="3">
        <v>5</v>
      </c>
      <c r="F220" s="3">
        <v>145</v>
      </c>
      <c r="G220" s="3">
        <v>2231</v>
      </c>
      <c r="H220" s="3">
        <v>931</v>
      </c>
      <c r="I220" s="3">
        <v>248</v>
      </c>
      <c r="J220" s="3">
        <v>206</v>
      </c>
      <c r="K220" s="3">
        <v>0.40100000000000002</v>
      </c>
      <c r="L220" s="3">
        <v>0.38500000000000001</v>
      </c>
      <c r="M220" s="3">
        <v>0.92200000000000004</v>
      </c>
      <c r="N220" s="3">
        <v>15.4</v>
      </c>
      <c r="O220" s="3">
        <v>6.4</v>
      </c>
      <c r="P220" s="3">
        <v>1.7</v>
      </c>
      <c r="Q220" s="3">
        <v>1.4</v>
      </c>
      <c r="R220" s="3">
        <v>5.3</v>
      </c>
      <c r="S220">
        <f t="shared" si="5"/>
        <v>1.06</v>
      </c>
    </row>
    <row r="221" spans="1:19" ht="30">
      <c r="A221" s="3">
        <v>52</v>
      </c>
      <c r="B221" s="3" t="s">
        <v>119</v>
      </c>
      <c r="C221" s="88" t="s">
        <v>693</v>
      </c>
      <c r="D221" s="3" t="s">
        <v>608</v>
      </c>
      <c r="E221" s="3">
        <v>5</v>
      </c>
      <c r="F221" s="3">
        <v>248</v>
      </c>
      <c r="G221" s="3">
        <v>4543</v>
      </c>
      <c r="H221" s="3">
        <v>1699</v>
      </c>
      <c r="I221" s="3">
        <v>829</v>
      </c>
      <c r="J221" s="3">
        <v>291</v>
      </c>
      <c r="K221" s="3">
        <v>0.44900000000000001</v>
      </c>
      <c r="L221" s="3">
        <v>0.32200000000000001</v>
      </c>
      <c r="M221" s="3">
        <v>0.77700000000000002</v>
      </c>
      <c r="N221" s="3">
        <v>18.3</v>
      </c>
      <c r="O221" s="3">
        <v>6.9</v>
      </c>
      <c r="P221" s="3">
        <v>3.3</v>
      </c>
      <c r="Q221" s="3">
        <v>1.2</v>
      </c>
      <c r="R221" s="3">
        <v>5.3</v>
      </c>
      <c r="S221">
        <f t="shared" si="5"/>
        <v>1.06</v>
      </c>
    </row>
    <row r="222" spans="1:19" ht="30">
      <c r="A222" s="3">
        <v>39</v>
      </c>
      <c r="B222" s="3" t="s">
        <v>36</v>
      </c>
      <c r="C222" s="82" t="s">
        <v>159</v>
      </c>
      <c r="D222" s="3" t="s">
        <v>160</v>
      </c>
      <c r="E222" s="3">
        <v>4</v>
      </c>
      <c r="F222" s="3">
        <v>89</v>
      </c>
      <c r="G222" s="3">
        <v>1088</v>
      </c>
      <c r="H222" s="3">
        <v>428</v>
      </c>
      <c r="I222" s="3">
        <v>320</v>
      </c>
      <c r="J222" s="3">
        <v>54</v>
      </c>
      <c r="K222" s="3">
        <v>0.624</v>
      </c>
      <c r="L222" s="3">
        <v>0</v>
      </c>
      <c r="M222" s="3">
        <v>0.69499999999999995</v>
      </c>
      <c r="N222" s="3">
        <v>12.2</v>
      </c>
      <c r="O222" s="3">
        <v>4.8</v>
      </c>
      <c r="P222" s="3">
        <v>3.6</v>
      </c>
      <c r="Q222" s="3">
        <v>0.6</v>
      </c>
      <c r="R222" s="3">
        <v>4.2</v>
      </c>
      <c r="S222">
        <f t="shared" si="5"/>
        <v>1.05</v>
      </c>
    </row>
    <row r="223" spans="1:19">
      <c r="A223" s="3">
        <v>31</v>
      </c>
      <c r="B223" s="3" t="s">
        <v>36</v>
      </c>
      <c r="C223" s="87" t="s">
        <v>1398</v>
      </c>
      <c r="D223" s="3" t="s">
        <v>536</v>
      </c>
      <c r="E223" s="3">
        <v>6</v>
      </c>
      <c r="F223" s="3">
        <v>237</v>
      </c>
      <c r="G223" s="3">
        <v>2322</v>
      </c>
      <c r="H223" s="3">
        <v>690</v>
      </c>
      <c r="I223" s="3">
        <v>632</v>
      </c>
      <c r="J223" s="3">
        <v>99</v>
      </c>
      <c r="K223" s="3">
        <v>0.55300000000000005</v>
      </c>
      <c r="L223" s="3">
        <v>0.4</v>
      </c>
      <c r="M223" s="3">
        <v>0.77600000000000002</v>
      </c>
      <c r="N223" s="3">
        <v>9.8000000000000007</v>
      </c>
      <c r="O223" s="3">
        <v>2.9</v>
      </c>
      <c r="P223" s="3">
        <v>2.7</v>
      </c>
      <c r="Q223" s="3">
        <v>0.4</v>
      </c>
      <c r="R223" s="90">
        <v>6.3</v>
      </c>
      <c r="S223">
        <f t="shared" si="5"/>
        <v>1.05</v>
      </c>
    </row>
    <row r="224" spans="1:19">
      <c r="A224" s="3">
        <v>37</v>
      </c>
      <c r="B224" s="3" t="s">
        <v>190</v>
      </c>
      <c r="C224" s="82" t="s">
        <v>191</v>
      </c>
      <c r="D224" s="3" t="s">
        <v>189</v>
      </c>
      <c r="E224" s="3">
        <v>5</v>
      </c>
      <c r="F224" s="3">
        <v>284</v>
      </c>
      <c r="G224" s="3">
        <v>4111</v>
      </c>
      <c r="H224" s="3">
        <v>975</v>
      </c>
      <c r="I224" s="3">
        <v>613</v>
      </c>
      <c r="J224" s="3">
        <v>126</v>
      </c>
      <c r="K224" s="3">
        <v>0.38400000000000001</v>
      </c>
      <c r="L224" s="3">
        <v>0.34399999999999997</v>
      </c>
      <c r="M224" s="3">
        <v>0.71699999999999997</v>
      </c>
      <c r="N224" s="3">
        <v>14.5</v>
      </c>
      <c r="O224" s="3">
        <v>3.4</v>
      </c>
      <c r="P224" s="3">
        <v>2.2000000000000002</v>
      </c>
      <c r="Q224" s="3">
        <v>0.4</v>
      </c>
      <c r="R224" s="3">
        <v>5.2</v>
      </c>
      <c r="S224">
        <f t="shared" si="5"/>
        <v>1.04</v>
      </c>
    </row>
    <row r="225" spans="1:19" ht="30">
      <c r="A225" s="3">
        <v>45</v>
      </c>
      <c r="B225" s="3" t="s">
        <v>47</v>
      </c>
      <c r="C225" s="88" t="s">
        <v>766</v>
      </c>
      <c r="D225" s="3" t="s">
        <v>173</v>
      </c>
      <c r="E225" s="3">
        <v>6</v>
      </c>
      <c r="F225" s="3">
        <v>265</v>
      </c>
      <c r="G225" s="3">
        <v>4918</v>
      </c>
      <c r="H225" s="3">
        <v>2272</v>
      </c>
      <c r="I225" s="3">
        <v>1009</v>
      </c>
      <c r="J225" s="3">
        <v>283</v>
      </c>
      <c r="K225" s="3">
        <v>0.495</v>
      </c>
      <c r="L225" s="3">
        <v>0.27400000000000002</v>
      </c>
      <c r="M225" s="3">
        <v>0.623</v>
      </c>
      <c r="N225" s="3">
        <v>18.600000000000001</v>
      </c>
      <c r="O225" s="3">
        <v>8.6</v>
      </c>
      <c r="P225" s="3">
        <v>3.8</v>
      </c>
      <c r="Q225" s="3">
        <v>1.1000000000000001</v>
      </c>
      <c r="R225" s="3">
        <v>6.2</v>
      </c>
      <c r="S225">
        <f t="shared" si="5"/>
        <v>1.0333333333333334</v>
      </c>
    </row>
    <row r="226" spans="1:19" ht="30">
      <c r="A226" s="154">
        <v>43</v>
      </c>
      <c r="B226" s="154" t="s">
        <v>28</v>
      </c>
      <c r="C226" s="159" t="s">
        <v>150</v>
      </c>
      <c r="D226" s="154" t="s">
        <v>151</v>
      </c>
      <c r="E226" s="154">
        <v>3</v>
      </c>
      <c r="F226" s="154">
        <v>76</v>
      </c>
      <c r="G226" s="154">
        <v>1065</v>
      </c>
      <c r="H226" s="154">
        <v>290</v>
      </c>
      <c r="I226" s="154">
        <v>374</v>
      </c>
      <c r="J226" s="154">
        <v>45</v>
      </c>
      <c r="K226" s="154">
        <v>0.57299999999999995</v>
      </c>
      <c r="L226" s="154">
        <v>0.25</v>
      </c>
      <c r="M226" s="154">
        <v>0.58199999999999996</v>
      </c>
      <c r="N226" s="154">
        <v>14</v>
      </c>
      <c r="O226" s="154">
        <v>3.8</v>
      </c>
      <c r="P226" s="154">
        <v>4.9000000000000004</v>
      </c>
      <c r="Q226" s="154">
        <v>0.6</v>
      </c>
      <c r="R226" s="154">
        <v>3</v>
      </c>
      <c r="S226">
        <f t="shared" si="5"/>
        <v>1</v>
      </c>
    </row>
    <row r="227" spans="1:19" ht="45">
      <c r="A227" s="3">
        <v>54</v>
      </c>
      <c r="B227" s="3" t="s">
        <v>41</v>
      </c>
      <c r="C227" s="82" t="s">
        <v>166</v>
      </c>
      <c r="D227" s="3" t="s">
        <v>167</v>
      </c>
      <c r="E227" s="3">
        <v>4</v>
      </c>
      <c r="F227" s="3">
        <v>161</v>
      </c>
      <c r="G227" s="3">
        <v>1776</v>
      </c>
      <c r="H227" s="3">
        <v>753</v>
      </c>
      <c r="I227" s="3">
        <v>489</v>
      </c>
      <c r="J227" s="3">
        <v>148</v>
      </c>
      <c r="K227" s="3">
        <v>0.47099999999999997</v>
      </c>
      <c r="L227" s="3">
        <v>0.34899999999999998</v>
      </c>
      <c r="M227" s="3">
        <v>0.72099999999999997</v>
      </c>
      <c r="N227" s="3">
        <v>11</v>
      </c>
      <c r="O227" s="3">
        <v>4.7</v>
      </c>
      <c r="P227" s="3">
        <v>3</v>
      </c>
      <c r="Q227" s="3">
        <v>0.9</v>
      </c>
      <c r="R227" s="3">
        <v>4</v>
      </c>
      <c r="S227">
        <f t="shared" si="5"/>
        <v>1</v>
      </c>
    </row>
    <row r="228" spans="1:19">
      <c r="A228" s="3">
        <v>45</v>
      </c>
      <c r="B228" s="3" t="s">
        <v>34</v>
      </c>
      <c r="C228" s="88" t="s">
        <v>688</v>
      </c>
      <c r="D228" s="3" t="s">
        <v>165</v>
      </c>
      <c r="E228" s="3">
        <v>4</v>
      </c>
      <c r="F228" s="3">
        <v>151</v>
      </c>
      <c r="G228" s="3">
        <v>2858</v>
      </c>
      <c r="H228" s="3">
        <v>1159</v>
      </c>
      <c r="I228" s="3">
        <v>667</v>
      </c>
      <c r="J228" s="3">
        <v>216</v>
      </c>
      <c r="K228" s="3">
        <v>0.48499999999999999</v>
      </c>
      <c r="L228" s="3">
        <v>0.35099999999999998</v>
      </c>
      <c r="M228" s="3">
        <v>0.67500000000000004</v>
      </c>
      <c r="N228" s="3">
        <v>18.899999999999999</v>
      </c>
      <c r="O228" s="3">
        <v>7.7</v>
      </c>
      <c r="P228" s="3">
        <v>4.4000000000000004</v>
      </c>
      <c r="Q228" s="3">
        <v>1.4</v>
      </c>
      <c r="R228" s="3">
        <v>4</v>
      </c>
      <c r="S228">
        <f t="shared" si="5"/>
        <v>1</v>
      </c>
    </row>
    <row r="229" spans="1:19" ht="30">
      <c r="A229" s="3">
        <v>57</v>
      </c>
      <c r="B229" s="3" t="s">
        <v>47</v>
      </c>
      <c r="C229" s="67" t="s">
        <v>841</v>
      </c>
      <c r="D229" s="2"/>
      <c r="E229" s="3">
        <v>1</v>
      </c>
      <c r="F229" s="3">
        <v>42</v>
      </c>
      <c r="G229" s="3">
        <v>511</v>
      </c>
      <c r="H229" s="3">
        <v>225</v>
      </c>
      <c r="I229" s="3">
        <v>96</v>
      </c>
      <c r="J229" s="3">
        <v>19</v>
      </c>
      <c r="K229" s="3">
        <v>0.44</v>
      </c>
      <c r="L229" s="3">
        <v>0.375</v>
      </c>
      <c r="M229" s="3">
        <v>0.8</v>
      </c>
      <c r="N229" s="3">
        <v>12.2</v>
      </c>
      <c r="O229" s="3">
        <v>5.4</v>
      </c>
      <c r="P229" s="3">
        <v>2.2999999999999998</v>
      </c>
      <c r="Q229" s="3">
        <v>0.5</v>
      </c>
      <c r="R229" s="3">
        <v>1</v>
      </c>
      <c r="S229">
        <f t="shared" si="5"/>
        <v>1</v>
      </c>
    </row>
    <row r="230" spans="1:19">
      <c r="A230" s="61">
        <v>47</v>
      </c>
      <c r="B230" s="61" t="s">
        <v>69</v>
      </c>
      <c r="C230" s="122" t="s">
        <v>1449</v>
      </c>
      <c r="D230" s="61" t="s">
        <v>432</v>
      </c>
      <c r="E230" s="61">
        <v>5</v>
      </c>
      <c r="F230" s="61">
        <v>181</v>
      </c>
      <c r="G230" s="61">
        <v>3016</v>
      </c>
      <c r="H230" s="61">
        <v>1079</v>
      </c>
      <c r="I230" s="61">
        <v>401</v>
      </c>
      <c r="J230" s="61">
        <v>153</v>
      </c>
      <c r="K230" s="61">
        <v>0.44600000000000001</v>
      </c>
      <c r="L230" s="61">
        <v>0.36899999999999999</v>
      </c>
      <c r="M230" s="61">
        <v>0.76</v>
      </c>
      <c r="N230" s="50">
        <v>16.7</v>
      </c>
      <c r="O230" s="61">
        <v>6</v>
      </c>
      <c r="P230" s="61">
        <v>2.2000000000000002</v>
      </c>
      <c r="Q230" s="61">
        <v>0.8</v>
      </c>
      <c r="R230" s="92">
        <v>5</v>
      </c>
      <c r="S230">
        <f t="shared" si="5"/>
        <v>1</v>
      </c>
    </row>
    <row r="231" spans="1:19">
      <c r="A231" s="3">
        <v>38</v>
      </c>
      <c r="B231" s="3" t="s">
        <v>99</v>
      </c>
      <c r="C231" s="82" t="s">
        <v>192</v>
      </c>
      <c r="D231" s="3" t="s">
        <v>55</v>
      </c>
      <c r="E231" s="3">
        <v>5</v>
      </c>
      <c r="F231" s="3">
        <v>161</v>
      </c>
      <c r="G231" s="3">
        <v>1937</v>
      </c>
      <c r="H231" s="3">
        <v>593</v>
      </c>
      <c r="I231" s="3">
        <v>497</v>
      </c>
      <c r="J231" s="3">
        <v>201</v>
      </c>
      <c r="K231" s="3">
        <v>0.55200000000000005</v>
      </c>
      <c r="L231" s="3">
        <v>0.2</v>
      </c>
      <c r="M231" s="3">
        <v>0.63600000000000001</v>
      </c>
      <c r="N231" s="3">
        <v>12</v>
      </c>
      <c r="O231" s="3">
        <v>3.7</v>
      </c>
      <c r="P231" s="3">
        <v>3.1</v>
      </c>
      <c r="Q231" s="3">
        <v>1.2</v>
      </c>
      <c r="R231" s="3">
        <v>4.9000000000000004</v>
      </c>
      <c r="S231">
        <f t="shared" si="5"/>
        <v>0.98000000000000009</v>
      </c>
    </row>
    <row r="232" spans="1:19" ht="30">
      <c r="A232" s="3">
        <v>49</v>
      </c>
      <c r="B232" s="3" t="s">
        <v>79</v>
      </c>
      <c r="C232" s="88" t="s">
        <v>769</v>
      </c>
      <c r="D232" s="3" t="s">
        <v>105</v>
      </c>
      <c r="E232" s="3">
        <v>6</v>
      </c>
      <c r="F232" s="3">
        <v>260</v>
      </c>
      <c r="G232" s="3">
        <v>3565</v>
      </c>
      <c r="H232" s="3">
        <v>1522</v>
      </c>
      <c r="I232" s="3">
        <v>908</v>
      </c>
      <c r="J232" s="3">
        <v>197</v>
      </c>
      <c r="K232" s="3">
        <v>0.495</v>
      </c>
      <c r="L232" s="3">
        <v>0.29799999999999999</v>
      </c>
      <c r="M232" s="3">
        <v>0.78700000000000003</v>
      </c>
      <c r="N232" s="3">
        <v>13.7</v>
      </c>
      <c r="O232" s="3">
        <v>5.9</v>
      </c>
      <c r="P232" s="3">
        <v>3.5</v>
      </c>
      <c r="Q232" s="3">
        <v>0.8</v>
      </c>
      <c r="R232" s="3">
        <v>5.7</v>
      </c>
      <c r="S232">
        <f t="shared" si="5"/>
        <v>0.95000000000000007</v>
      </c>
    </row>
    <row r="233" spans="1:19" ht="30">
      <c r="A233" s="3">
        <v>53</v>
      </c>
      <c r="B233" s="3" t="s">
        <v>66</v>
      </c>
      <c r="C233" s="88" t="s">
        <v>560</v>
      </c>
      <c r="D233" s="3" t="s">
        <v>561</v>
      </c>
      <c r="E233" s="3">
        <v>4</v>
      </c>
      <c r="F233" s="3">
        <v>109</v>
      </c>
      <c r="G233" s="3">
        <v>1227</v>
      </c>
      <c r="H233" s="3">
        <v>478</v>
      </c>
      <c r="I233" s="3">
        <v>477</v>
      </c>
      <c r="J233" s="3">
        <v>90</v>
      </c>
      <c r="K233" s="3">
        <v>0.63</v>
      </c>
      <c r="L233" s="3">
        <v>0.23100000000000001</v>
      </c>
      <c r="M233" s="3">
        <v>0.64800000000000002</v>
      </c>
      <c r="N233" s="3">
        <v>11.3</v>
      </c>
      <c r="O233" s="3">
        <v>4.4000000000000004</v>
      </c>
      <c r="P233" s="3">
        <v>4.4000000000000004</v>
      </c>
      <c r="Q233" s="3">
        <v>0.8</v>
      </c>
      <c r="R233" s="3">
        <v>3.8</v>
      </c>
      <c r="S233">
        <f t="shared" ref="S233:S296" si="6">R233/E233</f>
        <v>0.95</v>
      </c>
    </row>
    <row r="234" spans="1:19" ht="30">
      <c r="A234" s="3">
        <v>58</v>
      </c>
      <c r="B234" s="3" t="s">
        <v>135</v>
      </c>
      <c r="C234" s="67" t="s">
        <v>1216</v>
      </c>
      <c r="D234" s="3" t="s">
        <v>143</v>
      </c>
      <c r="E234" s="3">
        <v>2</v>
      </c>
      <c r="F234" s="3">
        <v>98</v>
      </c>
      <c r="G234" s="3">
        <v>1397</v>
      </c>
      <c r="H234" s="3">
        <v>379</v>
      </c>
      <c r="I234" s="3">
        <v>266</v>
      </c>
      <c r="J234" s="3">
        <v>50</v>
      </c>
      <c r="K234" s="3">
        <v>0.41799999999999998</v>
      </c>
      <c r="L234" s="3">
        <v>0.34300000000000003</v>
      </c>
      <c r="M234" s="3">
        <v>0.86699999999999999</v>
      </c>
      <c r="N234" s="3">
        <v>14.3</v>
      </c>
      <c r="O234" s="3">
        <v>3.9</v>
      </c>
      <c r="P234" s="3">
        <v>2.7</v>
      </c>
      <c r="Q234" s="3">
        <v>0.5</v>
      </c>
      <c r="R234" s="3">
        <v>1.9</v>
      </c>
      <c r="S234">
        <f t="shared" si="6"/>
        <v>0.95</v>
      </c>
    </row>
    <row r="235" spans="1:19" ht="30">
      <c r="A235" s="3">
        <v>46</v>
      </c>
      <c r="B235" s="3" t="s">
        <v>179</v>
      </c>
      <c r="C235" s="82" t="s">
        <v>180</v>
      </c>
      <c r="D235" s="3" t="s">
        <v>108</v>
      </c>
      <c r="E235" s="3">
        <v>6</v>
      </c>
      <c r="F235" s="3">
        <v>287</v>
      </c>
      <c r="G235" s="3">
        <v>5679</v>
      </c>
      <c r="H235" s="3">
        <v>2664</v>
      </c>
      <c r="I235" s="3">
        <v>768</v>
      </c>
      <c r="J235" s="3">
        <v>822</v>
      </c>
      <c r="K235" s="3">
        <v>0.42599999999999999</v>
      </c>
      <c r="L235" s="3">
        <v>0.30199999999999999</v>
      </c>
      <c r="M235" s="3">
        <v>0.77400000000000002</v>
      </c>
      <c r="N235" s="3">
        <v>19.8</v>
      </c>
      <c r="O235" s="3">
        <v>9.3000000000000007</v>
      </c>
      <c r="P235" s="3">
        <v>2.7</v>
      </c>
      <c r="Q235" s="3">
        <v>2.9</v>
      </c>
      <c r="R235" s="3">
        <v>5.6</v>
      </c>
      <c r="S235">
        <f t="shared" si="6"/>
        <v>0.93333333333333324</v>
      </c>
    </row>
    <row r="236" spans="1:19" ht="30">
      <c r="A236" s="154">
        <v>47</v>
      </c>
      <c r="B236" s="154" t="s">
        <v>152</v>
      </c>
      <c r="C236" s="159" t="s">
        <v>153</v>
      </c>
      <c r="D236" s="154" t="s">
        <v>154</v>
      </c>
      <c r="E236" s="154">
        <v>3</v>
      </c>
      <c r="F236" s="154">
        <v>72</v>
      </c>
      <c r="G236" s="154">
        <v>1613</v>
      </c>
      <c r="H236" s="154">
        <v>578</v>
      </c>
      <c r="I236" s="154">
        <v>320</v>
      </c>
      <c r="J236" s="154">
        <v>191</v>
      </c>
      <c r="K236" s="154">
        <v>0.42799999999999999</v>
      </c>
      <c r="L236" s="154">
        <v>0.34399999999999997</v>
      </c>
      <c r="M236" s="154">
        <v>0.78200000000000003</v>
      </c>
      <c r="N236" s="154">
        <v>22.4</v>
      </c>
      <c r="O236" s="154">
        <v>8</v>
      </c>
      <c r="P236" s="154">
        <v>4.4000000000000004</v>
      </c>
      <c r="Q236" s="154">
        <v>2.7</v>
      </c>
      <c r="R236" s="154">
        <v>2.7</v>
      </c>
      <c r="S236">
        <f t="shared" si="6"/>
        <v>0.9</v>
      </c>
    </row>
    <row r="237" spans="1:19" ht="30">
      <c r="A237" s="61">
        <v>40</v>
      </c>
      <c r="B237" s="61" t="s">
        <v>1214</v>
      </c>
      <c r="C237" s="122" t="s">
        <v>1450</v>
      </c>
      <c r="D237" s="61" t="s">
        <v>126</v>
      </c>
      <c r="E237" s="61">
        <v>6</v>
      </c>
      <c r="F237" s="61">
        <v>222</v>
      </c>
      <c r="G237" s="61">
        <v>4381</v>
      </c>
      <c r="H237" s="61">
        <v>1571</v>
      </c>
      <c r="I237" s="61">
        <v>472</v>
      </c>
      <c r="J237" s="61">
        <v>254</v>
      </c>
      <c r="K237" s="61">
        <v>0.439</v>
      </c>
      <c r="L237" s="61">
        <v>0.32900000000000001</v>
      </c>
      <c r="M237" s="61">
        <v>0.83099999999999996</v>
      </c>
      <c r="N237" s="50">
        <v>19.7</v>
      </c>
      <c r="O237" s="61">
        <v>7.1</v>
      </c>
      <c r="P237" s="61">
        <v>2.1</v>
      </c>
      <c r="Q237" s="61">
        <v>1.1000000000000001</v>
      </c>
      <c r="R237" s="92">
        <v>5.4</v>
      </c>
      <c r="S237">
        <f t="shared" si="6"/>
        <v>0.9</v>
      </c>
    </row>
    <row r="238" spans="1:19">
      <c r="A238" s="61">
        <v>60</v>
      </c>
      <c r="B238" s="61" t="s">
        <v>190</v>
      </c>
      <c r="C238" s="66" t="s">
        <v>1451</v>
      </c>
      <c r="D238" s="65"/>
      <c r="E238" s="61">
        <v>2</v>
      </c>
      <c r="F238" s="61">
        <v>69</v>
      </c>
      <c r="G238" s="61">
        <v>928</v>
      </c>
      <c r="H238" s="61">
        <v>262</v>
      </c>
      <c r="I238" s="61">
        <v>190</v>
      </c>
      <c r="J238" s="61">
        <v>29</v>
      </c>
      <c r="K238" s="61">
        <v>0.54600000000000004</v>
      </c>
      <c r="L238" s="65"/>
      <c r="M238" s="61">
        <v>0.59399999999999997</v>
      </c>
      <c r="N238" s="50">
        <v>13.4</v>
      </c>
      <c r="O238" s="61">
        <v>3.8</v>
      </c>
      <c r="P238" s="61">
        <v>2.8</v>
      </c>
      <c r="Q238" s="61">
        <v>0.4</v>
      </c>
      <c r="R238" s="92">
        <v>1.8</v>
      </c>
      <c r="S238">
        <f t="shared" si="6"/>
        <v>0.9</v>
      </c>
    </row>
    <row r="239" spans="1:19">
      <c r="A239" s="51">
        <v>49</v>
      </c>
      <c r="B239" s="51" t="s">
        <v>99</v>
      </c>
      <c r="C239" s="128" t="s">
        <v>1452</v>
      </c>
      <c r="D239" s="51" t="s">
        <v>219</v>
      </c>
      <c r="E239" s="51">
        <v>7</v>
      </c>
      <c r="F239" s="51">
        <v>318</v>
      </c>
      <c r="G239" s="51">
        <v>3851</v>
      </c>
      <c r="H239" s="51">
        <v>1066</v>
      </c>
      <c r="I239" s="51">
        <v>1190</v>
      </c>
      <c r="J239" s="51">
        <v>207</v>
      </c>
      <c r="K239" s="51">
        <v>0.50900000000000001</v>
      </c>
      <c r="L239" s="51">
        <v>0</v>
      </c>
      <c r="M239" s="51">
        <v>0.56200000000000006</v>
      </c>
      <c r="N239" s="51">
        <v>12.1</v>
      </c>
      <c r="O239" s="51">
        <v>3.4</v>
      </c>
      <c r="P239" s="51">
        <v>3.7</v>
      </c>
      <c r="Q239" s="51">
        <v>0.7</v>
      </c>
      <c r="R239" s="92">
        <v>6.2</v>
      </c>
      <c r="S239">
        <f t="shared" si="6"/>
        <v>0.88571428571428579</v>
      </c>
    </row>
    <row r="240" spans="1:19" ht="30">
      <c r="A240" s="3">
        <v>38</v>
      </c>
      <c r="B240" s="3" t="s">
        <v>57</v>
      </c>
      <c r="C240" s="88" t="s">
        <v>900</v>
      </c>
      <c r="D240" s="3" t="s">
        <v>901</v>
      </c>
      <c r="E240" s="3">
        <v>5</v>
      </c>
      <c r="F240" s="3">
        <v>199</v>
      </c>
      <c r="G240" s="3">
        <v>3373</v>
      </c>
      <c r="H240" s="3">
        <v>760</v>
      </c>
      <c r="I240" s="3">
        <v>319</v>
      </c>
      <c r="J240" s="3">
        <v>270</v>
      </c>
      <c r="K240" s="3">
        <v>0.42</v>
      </c>
      <c r="L240" s="3">
        <v>0.30499999999999999</v>
      </c>
      <c r="M240" s="3">
        <v>0.78500000000000003</v>
      </c>
      <c r="N240" s="3">
        <v>16.899999999999999</v>
      </c>
      <c r="O240" s="3">
        <v>3.8</v>
      </c>
      <c r="P240" s="3">
        <v>1.6</v>
      </c>
      <c r="Q240" s="3">
        <v>1.4</v>
      </c>
      <c r="R240" s="3">
        <v>4.4000000000000004</v>
      </c>
      <c r="S240">
        <f t="shared" si="6"/>
        <v>0.88000000000000012</v>
      </c>
    </row>
    <row r="241" spans="1:19">
      <c r="A241" s="3">
        <v>38</v>
      </c>
      <c r="B241" s="3" t="s">
        <v>193</v>
      </c>
      <c r="C241" s="88" t="s">
        <v>616</v>
      </c>
      <c r="D241" s="3" t="s">
        <v>592</v>
      </c>
      <c r="E241" s="3">
        <v>4</v>
      </c>
      <c r="F241" s="3">
        <v>134</v>
      </c>
      <c r="G241" s="3">
        <v>1943</v>
      </c>
      <c r="H241" s="3">
        <v>697</v>
      </c>
      <c r="I241" s="3">
        <v>260</v>
      </c>
      <c r="J241" s="3">
        <v>378</v>
      </c>
      <c r="K241" s="3">
        <v>0.42099999999999999</v>
      </c>
      <c r="L241" s="3">
        <v>0.27100000000000002</v>
      </c>
      <c r="M241" s="3">
        <v>0.73399999999999999</v>
      </c>
      <c r="N241" s="3">
        <v>14.5</v>
      </c>
      <c r="O241" s="3">
        <v>5.2</v>
      </c>
      <c r="P241" s="3">
        <v>1.9</v>
      </c>
      <c r="Q241" s="3">
        <v>2.8</v>
      </c>
      <c r="R241" s="3">
        <v>3.5</v>
      </c>
      <c r="S241">
        <f t="shared" si="6"/>
        <v>0.875</v>
      </c>
    </row>
    <row r="242" spans="1:19">
      <c r="A242" s="154">
        <v>32</v>
      </c>
      <c r="B242" s="154" t="s">
        <v>179</v>
      </c>
      <c r="C242" s="157" t="s">
        <v>477</v>
      </c>
      <c r="D242" s="154" t="s">
        <v>151</v>
      </c>
      <c r="E242" s="154">
        <v>3</v>
      </c>
      <c r="F242" s="156">
        <v>146</v>
      </c>
      <c r="G242" s="154">
        <v>2052</v>
      </c>
      <c r="H242" s="154">
        <v>547</v>
      </c>
      <c r="I242" s="154">
        <v>219</v>
      </c>
      <c r="J242" s="154">
        <v>74</v>
      </c>
      <c r="K242" s="154">
        <v>0.36299999999999999</v>
      </c>
      <c r="L242" s="154">
        <v>0.34799999999999998</v>
      </c>
      <c r="M242" s="154">
        <v>0.83599999999999997</v>
      </c>
      <c r="N242" s="154">
        <v>14.1</v>
      </c>
      <c r="O242" s="154">
        <v>3.7</v>
      </c>
      <c r="P242" s="154">
        <v>1.5</v>
      </c>
      <c r="Q242" s="154">
        <v>0.5</v>
      </c>
      <c r="R242" s="154">
        <v>2.6</v>
      </c>
      <c r="S242">
        <f t="shared" si="6"/>
        <v>0.8666666666666667</v>
      </c>
    </row>
    <row r="243" spans="1:19">
      <c r="A243" s="3">
        <v>44</v>
      </c>
      <c r="B243" s="3" t="s">
        <v>57</v>
      </c>
      <c r="C243" s="67" t="s">
        <v>1338</v>
      </c>
      <c r="D243" s="3" t="s">
        <v>1339</v>
      </c>
      <c r="E243" s="3">
        <v>2</v>
      </c>
      <c r="F243" s="3">
        <v>65</v>
      </c>
      <c r="G243" s="3">
        <v>491</v>
      </c>
      <c r="H243" s="3">
        <v>180</v>
      </c>
      <c r="I243" s="3">
        <v>132</v>
      </c>
      <c r="J243" s="3">
        <v>17</v>
      </c>
      <c r="K243" s="3">
        <v>0.52800000000000002</v>
      </c>
      <c r="L243" s="2"/>
      <c r="M243" s="3">
        <v>0.85199999999999998</v>
      </c>
      <c r="N243" s="3">
        <v>7.6</v>
      </c>
      <c r="O243" s="3">
        <v>2.8</v>
      </c>
      <c r="P243" s="3">
        <v>2</v>
      </c>
      <c r="Q243" s="3">
        <v>0.3</v>
      </c>
      <c r="R243" s="92">
        <v>1.7</v>
      </c>
      <c r="S243">
        <f t="shared" si="6"/>
        <v>0.85</v>
      </c>
    </row>
    <row r="244" spans="1:19">
      <c r="A244" s="3">
        <v>33</v>
      </c>
      <c r="B244" s="3" t="s">
        <v>179</v>
      </c>
      <c r="C244" s="88" t="s">
        <v>822</v>
      </c>
      <c r="D244" s="3" t="s">
        <v>432</v>
      </c>
      <c r="E244" s="3">
        <v>5</v>
      </c>
      <c r="F244" s="3">
        <v>226</v>
      </c>
      <c r="G244" s="3">
        <v>3827</v>
      </c>
      <c r="H244" s="3">
        <v>989</v>
      </c>
      <c r="I244" s="3">
        <v>555</v>
      </c>
      <c r="J244" s="3">
        <v>208</v>
      </c>
      <c r="K244" s="3">
        <v>0.40799999999999997</v>
      </c>
      <c r="L244" s="3">
        <v>0.29199999999999998</v>
      </c>
      <c r="M244" s="3">
        <v>0.79800000000000004</v>
      </c>
      <c r="N244" s="3">
        <v>16.899999999999999</v>
      </c>
      <c r="O244" s="3">
        <v>4.4000000000000004</v>
      </c>
      <c r="P244" s="3">
        <v>2.5</v>
      </c>
      <c r="Q244" s="3">
        <v>0.9</v>
      </c>
      <c r="R244" s="3">
        <v>4.2</v>
      </c>
      <c r="S244">
        <f t="shared" si="6"/>
        <v>0.84000000000000008</v>
      </c>
    </row>
    <row r="245" spans="1:19">
      <c r="A245" s="51">
        <v>34</v>
      </c>
      <c r="B245" s="51" t="s">
        <v>20</v>
      </c>
      <c r="C245" s="112" t="s">
        <v>1453</v>
      </c>
      <c r="D245" s="51" t="s">
        <v>147</v>
      </c>
      <c r="E245" s="51">
        <v>1</v>
      </c>
      <c r="F245" s="51">
        <v>26</v>
      </c>
      <c r="G245" s="51">
        <v>269</v>
      </c>
      <c r="H245" s="51">
        <v>107</v>
      </c>
      <c r="I245" s="51">
        <v>89</v>
      </c>
      <c r="J245" s="51">
        <v>11</v>
      </c>
      <c r="K245" s="51">
        <v>0.56100000000000005</v>
      </c>
      <c r="L245" s="51">
        <v>0</v>
      </c>
      <c r="M245" s="51">
        <v>0.68200000000000005</v>
      </c>
      <c r="N245" s="51">
        <v>10.3</v>
      </c>
      <c r="O245" s="51">
        <v>4.0999999999999996</v>
      </c>
      <c r="P245" s="51">
        <v>3.4</v>
      </c>
      <c r="Q245" s="51">
        <v>0.4</v>
      </c>
      <c r="R245" s="92">
        <v>0.8</v>
      </c>
      <c r="S245">
        <f t="shared" si="6"/>
        <v>0.8</v>
      </c>
    </row>
    <row r="246" spans="1:19">
      <c r="A246" s="3">
        <v>43</v>
      </c>
      <c r="B246" s="3" t="s">
        <v>135</v>
      </c>
      <c r="C246" s="88" t="s">
        <v>686</v>
      </c>
      <c r="D246" s="3" t="s">
        <v>38</v>
      </c>
      <c r="E246" s="3">
        <v>6</v>
      </c>
      <c r="F246" s="3">
        <v>205</v>
      </c>
      <c r="G246" s="3">
        <v>3519</v>
      </c>
      <c r="H246" s="3">
        <v>1815</v>
      </c>
      <c r="I246" s="3">
        <v>445</v>
      </c>
      <c r="J246" s="3">
        <v>380</v>
      </c>
      <c r="K246" s="3">
        <v>0.442</v>
      </c>
      <c r="L246" s="3">
        <v>0.316</v>
      </c>
      <c r="M246" s="3">
        <v>0.79200000000000004</v>
      </c>
      <c r="N246" s="3">
        <v>17.2</v>
      </c>
      <c r="O246" s="3">
        <v>8.9</v>
      </c>
      <c r="P246" s="3">
        <v>2.2000000000000002</v>
      </c>
      <c r="Q246" s="3">
        <v>1.9</v>
      </c>
      <c r="R246" s="3">
        <v>4.7</v>
      </c>
      <c r="S246">
        <f t="shared" si="6"/>
        <v>0.78333333333333333</v>
      </c>
    </row>
    <row r="247" spans="1:19">
      <c r="A247" s="3">
        <v>52</v>
      </c>
      <c r="B247" s="3" t="s">
        <v>41</v>
      </c>
      <c r="C247" s="87" t="s">
        <v>1411</v>
      </c>
      <c r="D247" s="3" t="s">
        <v>300</v>
      </c>
      <c r="E247" s="3">
        <v>6</v>
      </c>
      <c r="F247" s="3">
        <v>261</v>
      </c>
      <c r="G247" s="3">
        <v>3929</v>
      </c>
      <c r="H247" s="3">
        <v>1523</v>
      </c>
      <c r="I247" s="3">
        <v>377</v>
      </c>
      <c r="J247" s="3">
        <v>567</v>
      </c>
      <c r="K247" s="3">
        <v>0.38</v>
      </c>
      <c r="L247" s="3">
        <v>0.316</v>
      </c>
      <c r="M247" s="3">
        <v>0.74199999999999999</v>
      </c>
      <c r="N247" s="3">
        <v>15.1</v>
      </c>
      <c r="O247" s="3">
        <v>5.8</v>
      </c>
      <c r="P247" s="3">
        <v>1.4</v>
      </c>
      <c r="Q247" s="3">
        <v>2.2000000000000002</v>
      </c>
      <c r="R247" s="90">
        <v>4.7</v>
      </c>
      <c r="S247">
        <f t="shared" si="6"/>
        <v>0.78333333333333333</v>
      </c>
    </row>
    <row r="248" spans="1:19" ht="30">
      <c r="A248" s="3">
        <v>40</v>
      </c>
      <c r="B248" s="3" t="s">
        <v>47</v>
      </c>
      <c r="C248" s="67" t="s">
        <v>763</v>
      </c>
      <c r="D248" s="2"/>
      <c r="E248" s="3">
        <v>3</v>
      </c>
      <c r="F248" s="3">
        <v>131</v>
      </c>
      <c r="G248" s="3">
        <v>2103</v>
      </c>
      <c r="H248" s="3">
        <v>780</v>
      </c>
      <c r="I248" s="3">
        <v>406</v>
      </c>
      <c r="J248" s="3">
        <v>113</v>
      </c>
      <c r="K248" s="3">
        <v>0.44400000000000001</v>
      </c>
      <c r="L248" s="3">
        <v>0.32900000000000001</v>
      </c>
      <c r="M248" s="3">
        <v>0.73899999999999999</v>
      </c>
      <c r="N248" s="3">
        <v>16.100000000000001</v>
      </c>
      <c r="O248" s="3">
        <v>6</v>
      </c>
      <c r="P248" s="3">
        <v>3.1</v>
      </c>
      <c r="Q248" s="3">
        <v>0.9</v>
      </c>
      <c r="R248" s="3">
        <v>2.2999999999999998</v>
      </c>
      <c r="S248">
        <f t="shared" si="6"/>
        <v>0.76666666666666661</v>
      </c>
    </row>
    <row r="249" spans="1:19">
      <c r="A249" s="154">
        <v>55</v>
      </c>
      <c r="B249" s="154" t="s">
        <v>25</v>
      </c>
      <c r="C249" s="159" t="s">
        <v>155</v>
      </c>
      <c r="D249" s="43"/>
      <c r="E249" s="154">
        <v>2</v>
      </c>
      <c r="F249" s="154">
        <v>50</v>
      </c>
      <c r="G249" s="154">
        <v>532</v>
      </c>
      <c r="H249" s="154">
        <v>193</v>
      </c>
      <c r="I249" s="154">
        <v>124</v>
      </c>
      <c r="J249" s="154">
        <v>44</v>
      </c>
      <c r="K249" s="154">
        <v>0.496</v>
      </c>
      <c r="L249" s="154">
        <v>0.40300000000000002</v>
      </c>
      <c r="M249" s="154">
        <v>0.78900000000000003</v>
      </c>
      <c r="N249" s="154">
        <v>10.6</v>
      </c>
      <c r="O249" s="154">
        <v>3.9</v>
      </c>
      <c r="P249" s="154">
        <v>2.5</v>
      </c>
      <c r="Q249" s="154">
        <v>0.9</v>
      </c>
      <c r="R249" s="154">
        <v>1.5</v>
      </c>
      <c r="S249">
        <f t="shared" si="6"/>
        <v>0.75</v>
      </c>
    </row>
    <row r="250" spans="1:19">
      <c r="A250" s="3">
        <v>45</v>
      </c>
      <c r="B250" s="3" t="s">
        <v>57</v>
      </c>
      <c r="C250" s="88" t="s">
        <v>623</v>
      </c>
      <c r="D250" s="3" t="s">
        <v>61</v>
      </c>
      <c r="E250" s="3">
        <v>4</v>
      </c>
      <c r="F250" s="3">
        <v>206</v>
      </c>
      <c r="G250" s="3">
        <v>3359</v>
      </c>
      <c r="H250" s="3">
        <v>1564</v>
      </c>
      <c r="I250" s="3">
        <v>659</v>
      </c>
      <c r="J250" s="3">
        <v>216</v>
      </c>
      <c r="K250" s="3">
        <v>0.433</v>
      </c>
      <c r="L250" s="3">
        <v>0.376</v>
      </c>
      <c r="M250" s="3">
        <v>0.80700000000000005</v>
      </c>
      <c r="N250" s="3">
        <v>16.3</v>
      </c>
      <c r="O250" s="3">
        <v>7.6</v>
      </c>
      <c r="P250" s="3">
        <v>3.2</v>
      </c>
      <c r="Q250" s="3">
        <v>1</v>
      </c>
      <c r="R250" s="3">
        <v>3</v>
      </c>
      <c r="S250">
        <f t="shared" si="6"/>
        <v>0.75</v>
      </c>
    </row>
    <row r="251" spans="1:19">
      <c r="A251" s="3">
        <v>48</v>
      </c>
      <c r="B251" s="3" t="s">
        <v>31</v>
      </c>
      <c r="C251" s="88" t="s">
        <v>1142</v>
      </c>
      <c r="D251" s="3" t="s">
        <v>171</v>
      </c>
      <c r="E251" s="3">
        <v>4</v>
      </c>
      <c r="F251" s="3">
        <v>163</v>
      </c>
      <c r="G251" s="3">
        <v>3125</v>
      </c>
      <c r="H251" s="3">
        <v>981</v>
      </c>
      <c r="I251" s="3">
        <v>504</v>
      </c>
      <c r="J251" s="3">
        <v>215</v>
      </c>
      <c r="K251" s="3">
        <v>0.378</v>
      </c>
      <c r="L251" s="3">
        <v>0.316</v>
      </c>
      <c r="M251" s="3">
        <v>0.79700000000000004</v>
      </c>
      <c r="N251" s="3">
        <v>19.2</v>
      </c>
      <c r="O251" s="3">
        <v>6</v>
      </c>
      <c r="P251" s="3">
        <v>3.1</v>
      </c>
      <c r="Q251" s="3">
        <v>1.3</v>
      </c>
      <c r="R251" s="3">
        <v>3</v>
      </c>
      <c r="S251">
        <f t="shared" si="6"/>
        <v>0.75</v>
      </c>
    </row>
    <row r="252" spans="1:19">
      <c r="A252" s="3">
        <v>44</v>
      </c>
      <c r="B252" s="3" t="s">
        <v>72</v>
      </c>
      <c r="C252" s="88" t="s">
        <v>687</v>
      </c>
      <c r="D252" s="3" t="s">
        <v>55</v>
      </c>
      <c r="E252" s="3">
        <v>6</v>
      </c>
      <c r="F252" s="3">
        <v>182</v>
      </c>
      <c r="G252" s="3">
        <v>2443</v>
      </c>
      <c r="H252" s="3">
        <v>1074</v>
      </c>
      <c r="I252" s="3">
        <v>636</v>
      </c>
      <c r="J252" s="3">
        <v>110</v>
      </c>
      <c r="K252" s="3">
        <v>0.54700000000000004</v>
      </c>
      <c r="L252" s="3">
        <v>0.32200000000000001</v>
      </c>
      <c r="M252" s="3">
        <v>0.74</v>
      </c>
      <c r="N252" s="3">
        <v>13.4</v>
      </c>
      <c r="O252" s="3">
        <v>5.9</v>
      </c>
      <c r="P252" s="3">
        <v>3.5</v>
      </c>
      <c r="Q252" s="3">
        <v>0.6</v>
      </c>
      <c r="R252" s="3">
        <v>4.4000000000000004</v>
      </c>
      <c r="S252">
        <f t="shared" si="6"/>
        <v>0.73333333333333339</v>
      </c>
    </row>
    <row r="253" spans="1:19">
      <c r="A253" s="61">
        <v>33</v>
      </c>
      <c r="B253" s="61" t="s">
        <v>124</v>
      </c>
      <c r="C253" s="122" t="s">
        <v>1454</v>
      </c>
      <c r="D253" s="61" t="s">
        <v>126</v>
      </c>
      <c r="E253" s="61">
        <v>4</v>
      </c>
      <c r="F253" s="61">
        <v>130</v>
      </c>
      <c r="G253" s="61">
        <v>1488</v>
      </c>
      <c r="H253" s="61">
        <v>344</v>
      </c>
      <c r="I253" s="61">
        <v>513</v>
      </c>
      <c r="J253" s="61">
        <v>55</v>
      </c>
      <c r="K253" s="61">
        <v>0.53400000000000003</v>
      </c>
      <c r="L253" s="61">
        <v>0</v>
      </c>
      <c r="M253" s="61">
        <v>0.375</v>
      </c>
      <c r="N253" s="50">
        <v>11.4</v>
      </c>
      <c r="O253" s="61">
        <v>2.6</v>
      </c>
      <c r="P253" s="61">
        <v>3.9</v>
      </c>
      <c r="Q253" s="61">
        <v>0.4</v>
      </c>
      <c r="R253" s="92">
        <v>2.9</v>
      </c>
      <c r="S253">
        <f t="shared" si="6"/>
        <v>0.72499999999999998</v>
      </c>
    </row>
    <row r="254" spans="1:19">
      <c r="A254" s="3">
        <v>34</v>
      </c>
      <c r="B254" s="3" t="s">
        <v>52</v>
      </c>
      <c r="C254" s="88" t="s">
        <v>1127</v>
      </c>
      <c r="D254" s="3" t="s">
        <v>644</v>
      </c>
      <c r="E254" s="3">
        <v>6</v>
      </c>
      <c r="F254" s="3">
        <v>235</v>
      </c>
      <c r="G254" s="3">
        <v>4799</v>
      </c>
      <c r="H254" s="3">
        <v>1913</v>
      </c>
      <c r="I254" s="3">
        <v>438</v>
      </c>
      <c r="J254" s="3">
        <v>454</v>
      </c>
      <c r="K254" s="3">
        <v>0.371</v>
      </c>
      <c r="L254" s="3">
        <v>0.35099999999999998</v>
      </c>
      <c r="M254" s="3">
        <v>0.83599999999999997</v>
      </c>
      <c r="N254" s="3">
        <v>20.399999999999999</v>
      </c>
      <c r="O254" s="3">
        <v>8.1</v>
      </c>
      <c r="P254" s="3">
        <v>1.9</v>
      </c>
      <c r="Q254" s="3">
        <v>1.9</v>
      </c>
      <c r="R254" s="3">
        <v>4.3</v>
      </c>
      <c r="S254">
        <f t="shared" si="6"/>
        <v>0.71666666666666667</v>
      </c>
    </row>
    <row r="255" spans="1:19">
      <c r="A255" s="3">
        <v>36</v>
      </c>
      <c r="B255" s="3" t="s">
        <v>36</v>
      </c>
      <c r="C255" s="88" t="s">
        <v>1129</v>
      </c>
      <c r="D255" s="3" t="s">
        <v>1130</v>
      </c>
      <c r="E255" s="3">
        <v>3</v>
      </c>
      <c r="F255" s="3">
        <v>154</v>
      </c>
      <c r="G255" s="3">
        <v>2808</v>
      </c>
      <c r="H255" s="3">
        <v>920</v>
      </c>
      <c r="I255" s="3">
        <v>306</v>
      </c>
      <c r="J255" s="3">
        <v>368</v>
      </c>
      <c r="K255" s="3">
        <v>0.40799999999999997</v>
      </c>
      <c r="L255" s="3">
        <v>0.33500000000000002</v>
      </c>
      <c r="M255" s="3">
        <v>0.71099999999999997</v>
      </c>
      <c r="N255" s="3">
        <v>18.2</v>
      </c>
      <c r="O255" s="3">
        <v>6</v>
      </c>
      <c r="P255" s="3">
        <v>2</v>
      </c>
      <c r="Q255" s="3">
        <v>2.4</v>
      </c>
      <c r="R255" s="3">
        <v>2.1</v>
      </c>
      <c r="S255">
        <f t="shared" si="6"/>
        <v>0.70000000000000007</v>
      </c>
    </row>
    <row r="256" spans="1:19" ht="30">
      <c r="A256" s="3">
        <v>45</v>
      </c>
      <c r="B256" s="3" t="s">
        <v>1098</v>
      </c>
      <c r="C256" s="67" t="s">
        <v>1275</v>
      </c>
      <c r="D256" s="3" t="s">
        <v>173</v>
      </c>
      <c r="E256" s="3">
        <v>3</v>
      </c>
      <c r="F256" s="3">
        <v>75</v>
      </c>
      <c r="G256" s="3">
        <v>888</v>
      </c>
      <c r="H256" s="3">
        <v>265</v>
      </c>
      <c r="I256" s="3">
        <v>227</v>
      </c>
      <c r="J256" s="3">
        <v>26</v>
      </c>
      <c r="K256" s="3">
        <v>0.438</v>
      </c>
      <c r="L256" s="3">
        <v>0.34699999999999998</v>
      </c>
      <c r="M256" s="3">
        <v>0.629</v>
      </c>
      <c r="N256" s="3">
        <v>11.8</v>
      </c>
      <c r="O256" s="3">
        <v>3.5</v>
      </c>
      <c r="P256" s="3">
        <v>3</v>
      </c>
      <c r="Q256" s="3">
        <v>0.3</v>
      </c>
      <c r="R256" s="92">
        <v>2.1</v>
      </c>
      <c r="S256">
        <f t="shared" si="6"/>
        <v>0.70000000000000007</v>
      </c>
    </row>
    <row r="257" spans="1:19">
      <c r="A257" s="3">
        <v>36</v>
      </c>
      <c r="B257" s="3" t="s">
        <v>66</v>
      </c>
      <c r="C257" s="67" t="s">
        <v>825</v>
      </c>
      <c r="D257" s="2"/>
      <c r="E257" s="3">
        <v>2</v>
      </c>
      <c r="F257" s="3">
        <v>51</v>
      </c>
      <c r="G257" s="3">
        <v>686</v>
      </c>
      <c r="H257" s="3">
        <v>217</v>
      </c>
      <c r="I257" s="3">
        <v>174</v>
      </c>
      <c r="J257" s="3">
        <v>40</v>
      </c>
      <c r="K257" s="3">
        <v>0.48599999999999999</v>
      </c>
      <c r="L257" s="3">
        <v>0.34</v>
      </c>
      <c r="M257" s="3">
        <v>0.48399999999999999</v>
      </c>
      <c r="N257" s="3">
        <v>13.5</v>
      </c>
      <c r="O257" s="3">
        <v>4.3</v>
      </c>
      <c r="P257" s="3">
        <v>3.4</v>
      </c>
      <c r="Q257" s="3">
        <v>0.8</v>
      </c>
      <c r="R257" s="3">
        <v>1.4</v>
      </c>
      <c r="S257">
        <f t="shared" si="6"/>
        <v>0.7</v>
      </c>
    </row>
    <row r="258" spans="1:19" ht="30">
      <c r="A258" s="51">
        <v>47</v>
      </c>
      <c r="B258" s="51" t="s">
        <v>69</v>
      </c>
      <c r="C258" s="128" t="s">
        <v>1455</v>
      </c>
      <c r="D258" s="51" t="s">
        <v>1306</v>
      </c>
      <c r="E258" s="51">
        <v>6</v>
      </c>
      <c r="F258" s="51">
        <v>342</v>
      </c>
      <c r="G258" s="51">
        <v>5348</v>
      </c>
      <c r="H258" s="51">
        <v>939</v>
      </c>
      <c r="I258" s="51">
        <v>1169</v>
      </c>
      <c r="J258" s="51">
        <v>422</v>
      </c>
      <c r="K258" s="51">
        <v>0.41899999999999998</v>
      </c>
      <c r="L258" s="51">
        <v>0.188</v>
      </c>
      <c r="M258" s="51">
        <v>0.65800000000000003</v>
      </c>
      <c r="N258" s="51">
        <v>15.6</v>
      </c>
      <c r="O258" s="51">
        <v>2.7</v>
      </c>
      <c r="P258" s="51">
        <v>3.4</v>
      </c>
      <c r="Q258" s="51">
        <v>1.2</v>
      </c>
      <c r="R258" s="92">
        <v>4.0999999999999996</v>
      </c>
      <c r="S258">
        <f t="shared" si="6"/>
        <v>0.68333333333333324</v>
      </c>
    </row>
    <row r="259" spans="1:19">
      <c r="A259" s="3">
        <v>37</v>
      </c>
      <c r="B259" s="3" t="s">
        <v>69</v>
      </c>
      <c r="C259" s="82" t="s">
        <v>169</v>
      </c>
      <c r="D259" s="2"/>
      <c r="E259" s="3">
        <v>4</v>
      </c>
      <c r="F259" s="3">
        <v>119</v>
      </c>
      <c r="G259" s="3">
        <v>2189</v>
      </c>
      <c r="H259" s="3">
        <v>618</v>
      </c>
      <c r="I259" s="3">
        <v>285</v>
      </c>
      <c r="J259" s="3">
        <v>225</v>
      </c>
      <c r="K259" s="3">
        <v>0.438</v>
      </c>
      <c r="L259" s="3">
        <v>0.36399999999999999</v>
      </c>
      <c r="M259" s="3">
        <v>0.746</v>
      </c>
      <c r="N259" s="3">
        <v>18.399999999999999</v>
      </c>
      <c r="O259" s="3">
        <v>5.2</v>
      </c>
      <c r="P259" s="3">
        <v>2.4</v>
      </c>
      <c r="Q259" s="3">
        <v>1.9</v>
      </c>
      <c r="R259" s="3">
        <v>2.7</v>
      </c>
      <c r="S259">
        <f t="shared" si="6"/>
        <v>0.67500000000000004</v>
      </c>
    </row>
    <row r="260" spans="1:19" ht="30">
      <c r="A260" s="3">
        <v>52</v>
      </c>
      <c r="B260" s="3" t="s">
        <v>44</v>
      </c>
      <c r="C260" s="88" t="s">
        <v>835</v>
      </c>
      <c r="D260" s="3" t="s">
        <v>412</v>
      </c>
      <c r="E260" s="3">
        <v>5</v>
      </c>
      <c r="F260" s="3">
        <v>161</v>
      </c>
      <c r="G260" s="3">
        <v>2256</v>
      </c>
      <c r="H260" s="3">
        <v>997</v>
      </c>
      <c r="I260" s="3">
        <v>244</v>
      </c>
      <c r="J260" s="3">
        <v>182</v>
      </c>
      <c r="K260" s="3">
        <v>0.47</v>
      </c>
      <c r="L260" s="3">
        <v>0.34100000000000003</v>
      </c>
      <c r="M260" s="3">
        <v>0.81100000000000005</v>
      </c>
      <c r="N260" s="3">
        <v>14</v>
      </c>
      <c r="O260" s="3">
        <v>6.2</v>
      </c>
      <c r="P260" s="3">
        <v>1.5</v>
      </c>
      <c r="Q260" s="3">
        <v>1.1000000000000001</v>
      </c>
      <c r="R260" s="3">
        <v>3.2</v>
      </c>
      <c r="S260">
        <f t="shared" si="6"/>
        <v>0.64</v>
      </c>
    </row>
    <row r="261" spans="1:19" ht="30">
      <c r="A261" s="3">
        <v>34</v>
      </c>
      <c r="B261" s="3" t="s">
        <v>66</v>
      </c>
      <c r="C261" s="88" t="s">
        <v>676</v>
      </c>
      <c r="D261" s="3" t="s">
        <v>89</v>
      </c>
      <c r="E261" s="3">
        <v>6</v>
      </c>
      <c r="F261" s="3">
        <v>220</v>
      </c>
      <c r="G261" s="3">
        <v>2326</v>
      </c>
      <c r="H261" s="3">
        <v>872</v>
      </c>
      <c r="I261" s="3">
        <v>712</v>
      </c>
      <c r="J261" s="3">
        <v>161</v>
      </c>
      <c r="K261" s="3">
        <v>0.54300000000000004</v>
      </c>
      <c r="L261" s="3">
        <v>0.122</v>
      </c>
      <c r="M261" s="3">
        <v>0.65300000000000002</v>
      </c>
      <c r="N261" s="3">
        <v>10.6</v>
      </c>
      <c r="O261" s="3">
        <v>4</v>
      </c>
      <c r="P261" s="3">
        <v>3.2</v>
      </c>
      <c r="Q261" s="3">
        <v>0.7</v>
      </c>
      <c r="R261" s="3">
        <v>3.8</v>
      </c>
      <c r="S261">
        <f t="shared" si="6"/>
        <v>0.6333333333333333</v>
      </c>
    </row>
    <row r="262" spans="1:19">
      <c r="A262" s="3">
        <v>47</v>
      </c>
      <c r="B262" s="3" t="s">
        <v>179</v>
      </c>
      <c r="C262" s="88" t="s">
        <v>910</v>
      </c>
      <c r="D262" s="3" t="s">
        <v>89</v>
      </c>
      <c r="E262" s="3">
        <v>6</v>
      </c>
      <c r="F262" s="3">
        <v>243</v>
      </c>
      <c r="G262" s="3">
        <v>3099</v>
      </c>
      <c r="H262" s="3">
        <v>1175</v>
      </c>
      <c r="I262" s="3">
        <v>417</v>
      </c>
      <c r="J262" s="3">
        <v>127</v>
      </c>
      <c r="K262" s="3">
        <v>0.46</v>
      </c>
      <c r="L262" s="3">
        <v>0.3</v>
      </c>
      <c r="M262" s="3">
        <v>0.71899999999999997</v>
      </c>
      <c r="N262" s="3">
        <v>12.8</v>
      </c>
      <c r="O262" s="3">
        <v>4.8</v>
      </c>
      <c r="P262" s="3">
        <v>1.7</v>
      </c>
      <c r="Q262" s="3">
        <v>0.5</v>
      </c>
      <c r="R262" s="3">
        <v>3.8</v>
      </c>
      <c r="S262">
        <f t="shared" si="6"/>
        <v>0.6333333333333333</v>
      </c>
    </row>
    <row r="263" spans="1:19" ht="30">
      <c r="A263" s="3">
        <v>33</v>
      </c>
      <c r="B263" s="3" t="s">
        <v>76</v>
      </c>
      <c r="C263" s="67" t="s">
        <v>1196</v>
      </c>
      <c r="D263" s="3" t="s">
        <v>182</v>
      </c>
      <c r="E263" s="3">
        <v>3</v>
      </c>
      <c r="F263" s="3">
        <v>92</v>
      </c>
      <c r="G263" s="3">
        <v>761</v>
      </c>
      <c r="H263" s="3">
        <v>203</v>
      </c>
      <c r="I263" s="3">
        <v>212</v>
      </c>
      <c r="J263" s="3">
        <v>13</v>
      </c>
      <c r="K263" s="3">
        <v>0.497</v>
      </c>
      <c r="L263" s="3">
        <v>0</v>
      </c>
      <c r="M263" s="3">
        <v>0.68</v>
      </c>
      <c r="N263" s="3">
        <v>8.3000000000000007</v>
      </c>
      <c r="O263" s="3">
        <v>2.2000000000000002</v>
      </c>
      <c r="P263" s="3">
        <v>2.2999999999999998</v>
      </c>
      <c r="Q263" s="3">
        <v>0.1</v>
      </c>
      <c r="R263" s="3">
        <v>1.9</v>
      </c>
      <c r="S263">
        <f t="shared" si="6"/>
        <v>0.6333333333333333</v>
      </c>
    </row>
    <row r="264" spans="1:19">
      <c r="A264" s="3">
        <v>47</v>
      </c>
      <c r="B264" s="3" t="s">
        <v>31</v>
      </c>
      <c r="C264" s="88" t="s">
        <v>767</v>
      </c>
      <c r="D264" s="3" t="s">
        <v>138</v>
      </c>
      <c r="E264" s="3">
        <v>7</v>
      </c>
      <c r="F264" s="3">
        <v>314</v>
      </c>
      <c r="G264" s="3">
        <v>5039</v>
      </c>
      <c r="H264" s="3">
        <v>2044</v>
      </c>
      <c r="I264" s="3">
        <v>551</v>
      </c>
      <c r="J264" s="3">
        <v>423</v>
      </c>
      <c r="K264" s="3">
        <v>0.40400000000000003</v>
      </c>
      <c r="L264" s="3">
        <v>0.36199999999999999</v>
      </c>
      <c r="M264" s="3">
        <v>0.76</v>
      </c>
      <c r="N264" s="3">
        <v>16</v>
      </c>
      <c r="O264" s="3">
        <v>6.5</v>
      </c>
      <c r="P264" s="3">
        <v>1.8</v>
      </c>
      <c r="Q264" s="3">
        <v>1.3</v>
      </c>
      <c r="R264" s="3">
        <v>4.3</v>
      </c>
      <c r="S264">
        <f t="shared" si="6"/>
        <v>0.61428571428571421</v>
      </c>
    </row>
    <row r="265" spans="1:19">
      <c r="A265" s="3">
        <v>52</v>
      </c>
      <c r="B265" s="3" t="s">
        <v>34</v>
      </c>
      <c r="C265" s="88" t="s">
        <v>559</v>
      </c>
      <c r="D265" s="3" t="s">
        <v>397</v>
      </c>
      <c r="E265" s="3">
        <v>4</v>
      </c>
      <c r="F265" s="3">
        <v>106</v>
      </c>
      <c r="G265" s="3">
        <v>865</v>
      </c>
      <c r="H265" s="3">
        <v>534</v>
      </c>
      <c r="I265" s="3">
        <v>224</v>
      </c>
      <c r="J265" s="3">
        <v>46</v>
      </c>
      <c r="K265" s="3">
        <v>0.48399999999999999</v>
      </c>
      <c r="L265" s="3">
        <v>0.312</v>
      </c>
      <c r="M265" s="3">
        <v>0.70699999999999996</v>
      </c>
      <c r="N265" s="3">
        <v>8.1999999999999993</v>
      </c>
      <c r="O265" s="3">
        <v>5</v>
      </c>
      <c r="P265" s="3">
        <v>2.1</v>
      </c>
      <c r="Q265" s="3">
        <v>0.4</v>
      </c>
      <c r="R265" s="3">
        <v>2.4</v>
      </c>
      <c r="S265">
        <f t="shared" si="6"/>
        <v>0.6</v>
      </c>
    </row>
    <row r="266" spans="1:19" ht="30">
      <c r="A266" s="3">
        <v>44</v>
      </c>
      <c r="B266" s="3" t="s">
        <v>50</v>
      </c>
      <c r="C266" s="88" t="s">
        <v>829</v>
      </c>
      <c r="D266" s="3" t="s">
        <v>55</v>
      </c>
      <c r="E266" s="3">
        <v>5</v>
      </c>
      <c r="F266" s="3">
        <v>213</v>
      </c>
      <c r="G266" s="3">
        <v>4242</v>
      </c>
      <c r="H266" s="3">
        <v>1594</v>
      </c>
      <c r="I266" s="3">
        <v>532</v>
      </c>
      <c r="J266" s="3">
        <v>315</v>
      </c>
      <c r="K266" s="3">
        <v>0.41699999999999998</v>
      </c>
      <c r="L266" s="3">
        <v>0.34499999999999997</v>
      </c>
      <c r="M266" s="3">
        <v>0.71099999999999997</v>
      </c>
      <c r="N266" s="3">
        <v>19.899999999999999</v>
      </c>
      <c r="O266" s="3">
        <v>7.5</v>
      </c>
      <c r="P266" s="3">
        <v>2.5</v>
      </c>
      <c r="Q266" s="3">
        <v>1.5</v>
      </c>
      <c r="R266" s="3">
        <v>3</v>
      </c>
      <c r="S266">
        <f t="shared" si="6"/>
        <v>0.6</v>
      </c>
    </row>
    <row r="267" spans="1:19" ht="30">
      <c r="A267" s="3">
        <v>48</v>
      </c>
      <c r="B267" s="3" t="s">
        <v>82</v>
      </c>
      <c r="C267" s="67" t="s">
        <v>982</v>
      </c>
      <c r="D267" s="3" t="s">
        <v>173</v>
      </c>
      <c r="E267" s="3">
        <v>1</v>
      </c>
      <c r="F267" s="3">
        <v>31</v>
      </c>
      <c r="G267" s="3">
        <v>161</v>
      </c>
      <c r="H267" s="3">
        <v>55</v>
      </c>
      <c r="I267" s="3">
        <v>34</v>
      </c>
      <c r="J267" s="3">
        <v>8</v>
      </c>
      <c r="K267" s="3">
        <v>0.56399999999999995</v>
      </c>
      <c r="L267" s="2"/>
      <c r="M267" s="3">
        <v>0.55000000000000004</v>
      </c>
      <c r="N267" s="3">
        <v>5.2</v>
      </c>
      <c r="O267" s="3">
        <v>1.8</v>
      </c>
      <c r="P267" s="3">
        <v>1.1000000000000001</v>
      </c>
      <c r="Q267" s="3">
        <v>0.3</v>
      </c>
      <c r="R267" s="3">
        <v>0.6</v>
      </c>
      <c r="S267">
        <f t="shared" si="6"/>
        <v>0.6</v>
      </c>
    </row>
    <row r="268" spans="1:19">
      <c r="A268" s="3">
        <v>60</v>
      </c>
      <c r="B268" s="3" t="s">
        <v>31</v>
      </c>
      <c r="C268" s="88" t="s">
        <v>1218</v>
      </c>
      <c r="D268" s="3" t="s">
        <v>43</v>
      </c>
      <c r="E268" s="3">
        <v>4</v>
      </c>
      <c r="F268" s="3">
        <v>189</v>
      </c>
      <c r="G268" s="3">
        <v>2745</v>
      </c>
      <c r="H268" s="3">
        <v>787</v>
      </c>
      <c r="I268" s="3">
        <v>593</v>
      </c>
      <c r="J268" s="3">
        <v>126</v>
      </c>
      <c r="K268" s="3">
        <v>0.436</v>
      </c>
      <c r="L268" s="3">
        <v>0</v>
      </c>
      <c r="M268" s="3">
        <v>0.67100000000000004</v>
      </c>
      <c r="N268" s="3">
        <v>14.5</v>
      </c>
      <c r="O268" s="3">
        <v>4.2</v>
      </c>
      <c r="P268" s="3">
        <v>3.1</v>
      </c>
      <c r="Q268" s="3">
        <v>0.7</v>
      </c>
      <c r="R268" s="3">
        <v>2.4</v>
      </c>
      <c r="S268">
        <f t="shared" si="6"/>
        <v>0.6</v>
      </c>
    </row>
    <row r="269" spans="1:19">
      <c r="A269" s="3">
        <v>58</v>
      </c>
      <c r="B269" s="3" t="s">
        <v>190</v>
      </c>
      <c r="C269" s="67" t="s">
        <v>921</v>
      </c>
      <c r="D269" s="3" t="s">
        <v>108</v>
      </c>
      <c r="E269" s="3">
        <v>5</v>
      </c>
      <c r="F269" s="3">
        <v>202</v>
      </c>
      <c r="G269" s="3">
        <v>2583</v>
      </c>
      <c r="H269" s="3">
        <v>926</v>
      </c>
      <c r="I269" s="3">
        <v>376</v>
      </c>
      <c r="J269" s="3">
        <v>110</v>
      </c>
      <c r="K269" s="3">
        <v>0.42799999999999999</v>
      </c>
      <c r="L269" s="3">
        <v>0.35699999999999998</v>
      </c>
      <c r="M269" s="3">
        <v>0.71799999999999997</v>
      </c>
      <c r="N269" s="3">
        <v>12.8</v>
      </c>
      <c r="O269" s="3">
        <v>4.5999999999999996</v>
      </c>
      <c r="P269" s="3">
        <v>1.9</v>
      </c>
      <c r="Q269" s="3">
        <v>0.5</v>
      </c>
      <c r="R269" s="3">
        <v>2.8</v>
      </c>
      <c r="S269">
        <f t="shared" si="6"/>
        <v>0.55999999999999994</v>
      </c>
    </row>
    <row r="270" spans="1:19">
      <c r="A270" s="3">
        <v>42</v>
      </c>
      <c r="B270" s="3" t="s">
        <v>34</v>
      </c>
      <c r="C270" s="88" t="s">
        <v>551</v>
      </c>
      <c r="D270" s="3" t="s">
        <v>151</v>
      </c>
      <c r="E270" s="3">
        <v>3</v>
      </c>
      <c r="F270" s="3">
        <v>94</v>
      </c>
      <c r="G270" s="3">
        <v>2051</v>
      </c>
      <c r="H270" s="3">
        <v>581</v>
      </c>
      <c r="I270" s="3">
        <v>248</v>
      </c>
      <c r="J270" s="3">
        <v>87</v>
      </c>
      <c r="K270" s="3">
        <v>0.40699999999999997</v>
      </c>
      <c r="L270" s="3">
        <v>0.35799999999999998</v>
      </c>
      <c r="M270" s="3">
        <v>0.78900000000000003</v>
      </c>
      <c r="N270" s="3">
        <v>21.8</v>
      </c>
      <c r="O270" s="3">
        <v>6.2</v>
      </c>
      <c r="P270" s="3">
        <v>2.6</v>
      </c>
      <c r="Q270" s="3">
        <v>0.9</v>
      </c>
      <c r="R270" s="3">
        <v>1.6</v>
      </c>
      <c r="S270">
        <f t="shared" si="6"/>
        <v>0.53333333333333333</v>
      </c>
    </row>
    <row r="271" spans="1:19">
      <c r="A271" s="3">
        <v>50</v>
      </c>
      <c r="B271" s="3" t="s">
        <v>184</v>
      </c>
      <c r="C271" s="67" t="s">
        <v>627</v>
      </c>
      <c r="D271" s="3" t="s">
        <v>145</v>
      </c>
      <c r="E271" s="3">
        <v>4</v>
      </c>
      <c r="F271" s="3">
        <v>105</v>
      </c>
      <c r="G271" s="3">
        <v>1111</v>
      </c>
      <c r="H271" s="3">
        <v>451</v>
      </c>
      <c r="I271" s="3">
        <v>122</v>
      </c>
      <c r="J271" s="3">
        <v>182</v>
      </c>
      <c r="K271" s="3">
        <v>0.44500000000000001</v>
      </c>
      <c r="L271" s="3">
        <v>0.34499999999999997</v>
      </c>
      <c r="M271" s="3">
        <v>0.85899999999999999</v>
      </c>
      <c r="N271" s="3">
        <v>10.6</v>
      </c>
      <c r="O271" s="3">
        <v>4.3</v>
      </c>
      <c r="P271" s="3">
        <v>1.2</v>
      </c>
      <c r="Q271" s="3">
        <v>1.7</v>
      </c>
      <c r="R271" s="3">
        <v>2.1</v>
      </c>
      <c r="S271">
        <f t="shared" si="6"/>
        <v>0.52500000000000002</v>
      </c>
    </row>
    <row r="272" spans="1:19">
      <c r="A272" s="3">
        <v>31</v>
      </c>
      <c r="B272" s="3" t="s">
        <v>119</v>
      </c>
      <c r="C272" s="88" t="s">
        <v>820</v>
      </c>
      <c r="D272" s="3" t="s">
        <v>171</v>
      </c>
      <c r="E272" s="3">
        <v>5</v>
      </c>
      <c r="F272" s="3">
        <v>214</v>
      </c>
      <c r="G272" s="3">
        <v>3873</v>
      </c>
      <c r="H272" s="3">
        <v>1816</v>
      </c>
      <c r="I272" s="3">
        <v>392</v>
      </c>
      <c r="J272" s="3">
        <v>222</v>
      </c>
      <c r="K272" s="3">
        <v>0.42099999999999999</v>
      </c>
      <c r="L272" s="3">
        <v>0.33200000000000002</v>
      </c>
      <c r="M272" s="3">
        <v>0.78600000000000003</v>
      </c>
      <c r="N272" s="3">
        <v>18.100000000000001</v>
      </c>
      <c r="O272" s="3">
        <v>8.5</v>
      </c>
      <c r="P272" s="3">
        <v>1.8</v>
      </c>
      <c r="Q272" s="3">
        <v>1</v>
      </c>
      <c r="R272" s="3">
        <v>2.5</v>
      </c>
      <c r="S272">
        <f t="shared" si="6"/>
        <v>0.5</v>
      </c>
    </row>
    <row r="273" spans="1:19">
      <c r="A273" s="3">
        <v>49</v>
      </c>
      <c r="B273" s="3" t="s">
        <v>23</v>
      </c>
      <c r="C273" s="88" t="s">
        <v>833</v>
      </c>
      <c r="D273" s="2"/>
      <c r="E273" s="3">
        <v>5</v>
      </c>
      <c r="F273" s="3">
        <v>134</v>
      </c>
      <c r="G273" s="3">
        <v>1425</v>
      </c>
      <c r="H273" s="3">
        <v>470</v>
      </c>
      <c r="I273" s="3">
        <v>227</v>
      </c>
      <c r="J273" s="3">
        <v>114</v>
      </c>
      <c r="K273" s="3">
        <v>0.48099999999999998</v>
      </c>
      <c r="L273" s="3">
        <v>0.36299999999999999</v>
      </c>
      <c r="M273" s="3">
        <v>0.84699999999999998</v>
      </c>
      <c r="N273" s="3">
        <v>10.6</v>
      </c>
      <c r="O273" s="3">
        <v>3.5</v>
      </c>
      <c r="P273" s="3">
        <v>1.7</v>
      </c>
      <c r="Q273" s="3">
        <v>0.9</v>
      </c>
      <c r="R273" s="3">
        <v>2.5</v>
      </c>
      <c r="S273">
        <f t="shared" si="6"/>
        <v>0.5</v>
      </c>
    </row>
    <row r="274" spans="1:19" ht="30">
      <c r="A274" s="3">
        <v>52</v>
      </c>
      <c r="B274" s="3" t="s">
        <v>34</v>
      </c>
      <c r="C274" s="67" t="s">
        <v>1283</v>
      </c>
      <c r="D274" s="3" t="s">
        <v>128</v>
      </c>
      <c r="E274" s="3">
        <v>1</v>
      </c>
      <c r="F274" s="3">
        <v>23</v>
      </c>
      <c r="G274" s="3">
        <v>135</v>
      </c>
      <c r="H274" s="3">
        <v>46</v>
      </c>
      <c r="I274" s="3">
        <v>34</v>
      </c>
      <c r="J274" s="3">
        <v>5</v>
      </c>
      <c r="K274" s="3">
        <v>0.54300000000000004</v>
      </c>
      <c r="L274" s="2"/>
      <c r="M274" s="3">
        <v>0.57099999999999995</v>
      </c>
      <c r="N274" s="3">
        <v>5.9</v>
      </c>
      <c r="O274" s="3">
        <v>2</v>
      </c>
      <c r="P274" s="3">
        <v>1.5</v>
      </c>
      <c r="Q274" s="3">
        <v>0.2</v>
      </c>
      <c r="R274" s="92">
        <v>0.5</v>
      </c>
      <c r="S274">
        <f t="shared" si="6"/>
        <v>0.5</v>
      </c>
    </row>
    <row r="275" spans="1:19" ht="30">
      <c r="A275" s="61">
        <v>38</v>
      </c>
      <c r="B275" s="61" t="s">
        <v>1095</v>
      </c>
      <c r="C275" s="66" t="s">
        <v>1456</v>
      </c>
      <c r="D275" s="61" t="s">
        <v>347</v>
      </c>
      <c r="E275" s="61">
        <v>3</v>
      </c>
      <c r="F275" s="61">
        <v>73</v>
      </c>
      <c r="G275" s="61">
        <v>1379</v>
      </c>
      <c r="H275" s="61">
        <v>363</v>
      </c>
      <c r="I275" s="61">
        <v>158</v>
      </c>
      <c r="J275" s="61">
        <v>119</v>
      </c>
      <c r="K275" s="61">
        <v>0.441</v>
      </c>
      <c r="L275" s="61">
        <v>0.35299999999999998</v>
      </c>
      <c r="M275" s="61">
        <v>0.73599999999999999</v>
      </c>
      <c r="N275" s="50">
        <v>18.899999999999999</v>
      </c>
      <c r="O275" s="61">
        <v>5</v>
      </c>
      <c r="P275" s="61">
        <v>2.2000000000000002</v>
      </c>
      <c r="Q275" s="61">
        <v>1.6</v>
      </c>
      <c r="R275" s="92">
        <v>1.5</v>
      </c>
      <c r="S275">
        <f t="shared" si="6"/>
        <v>0.5</v>
      </c>
    </row>
    <row r="276" spans="1:19" ht="30">
      <c r="A276" s="3">
        <v>46</v>
      </c>
      <c r="B276" s="3" t="s">
        <v>163</v>
      </c>
      <c r="C276" s="82" t="s">
        <v>164</v>
      </c>
      <c r="D276" s="3" t="s">
        <v>165</v>
      </c>
      <c r="E276" s="3">
        <v>4</v>
      </c>
      <c r="F276" s="3">
        <v>189</v>
      </c>
      <c r="G276" s="3">
        <v>2630</v>
      </c>
      <c r="H276" s="3">
        <v>1241</v>
      </c>
      <c r="I276" s="3">
        <v>425</v>
      </c>
      <c r="J276" s="3">
        <v>345</v>
      </c>
      <c r="K276" s="3">
        <v>0.41</v>
      </c>
      <c r="L276" s="3">
        <v>0.309</v>
      </c>
      <c r="M276" s="3">
        <v>0.72099999999999997</v>
      </c>
      <c r="N276" s="3">
        <v>13.9</v>
      </c>
      <c r="O276" s="3">
        <v>6.6</v>
      </c>
      <c r="P276" s="3">
        <v>2.2000000000000002</v>
      </c>
      <c r="Q276" s="3">
        <v>1.8</v>
      </c>
      <c r="R276" s="3">
        <v>1.9</v>
      </c>
      <c r="S276">
        <f t="shared" si="6"/>
        <v>0.47499999999999998</v>
      </c>
    </row>
    <row r="277" spans="1:19" ht="30">
      <c r="A277" s="3">
        <v>36</v>
      </c>
      <c r="B277" s="3" t="s">
        <v>36</v>
      </c>
      <c r="C277" s="67" t="s">
        <v>1197</v>
      </c>
      <c r="D277" s="3" t="s">
        <v>345</v>
      </c>
      <c r="E277" s="3">
        <v>3</v>
      </c>
      <c r="F277" s="3">
        <v>103</v>
      </c>
      <c r="G277" s="3">
        <v>1112</v>
      </c>
      <c r="H277" s="3">
        <v>329</v>
      </c>
      <c r="I277" s="3">
        <v>180</v>
      </c>
      <c r="J277" s="3">
        <v>69</v>
      </c>
      <c r="K277" s="3">
        <v>0.35799999999999998</v>
      </c>
      <c r="L277" s="3">
        <v>0.311</v>
      </c>
      <c r="M277" s="3">
        <v>0.72699999999999998</v>
      </c>
      <c r="N277" s="3">
        <v>10.8</v>
      </c>
      <c r="O277" s="3">
        <v>3.2</v>
      </c>
      <c r="P277" s="3">
        <v>1.7</v>
      </c>
      <c r="Q277" s="3">
        <v>0.7</v>
      </c>
      <c r="R277" s="3">
        <v>1.4</v>
      </c>
      <c r="S277">
        <f t="shared" si="6"/>
        <v>0.46666666666666662</v>
      </c>
    </row>
    <row r="278" spans="1:19">
      <c r="A278" s="3">
        <v>60</v>
      </c>
      <c r="B278" s="3" t="s">
        <v>79</v>
      </c>
      <c r="C278" s="67" t="s">
        <v>1078</v>
      </c>
      <c r="D278" s="3" t="s">
        <v>208</v>
      </c>
      <c r="E278" s="3">
        <v>2</v>
      </c>
      <c r="F278" s="3">
        <v>58</v>
      </c>
      <c r="G278" s="3">
        <v>581</v>
      </c>
      <c r="H278" s="3">
        <v>205</v>
      </c>
      <c r="I278" s="3">
        <v>161</v>
      </c>
      <c r="J278" s="3">
        <v>16</v>
      </c>
      <c r="K278" s="3">
        <v>0.44400000000000001</v>
      </c>
      <c r="L278" s="3">
        <v>0.125</v>
      </c>
      <c r="M278" s="3">
        <v>0.58299999999999996</v>
      </c>
      <c r="N278" s="3">
        <v>10</v>
      </c>
      <c r="O278" s="3">
        <v>3.5</v>
      </c>
      <c r="P278" s="3">
        <v>2.8</v>
      </c>
      <c r="Q278" s="3">
        <v>0.3</v>
      </c>
      <c r="R278" s="3">
        <v>0.9</v>
      </c>
      <c r="S278">
        <f t="shared" si="6"/>
        <v>0.45</v>
      </c>
    </row>
    <row r="279" spans="1:19" ht="30">
      <c r="A279" s="3">
        <v>52</v>
      </c>
      <c r="B279" s="3" t="s">
        <v>190</v>
      </c>
      <c r="C279" s="67" t="s">
        <v>1348</v>
      </c>
      <c r="D279" s="3" t="s">
        <v>117</v>
      </c>
      <c r="E279" s="3">
        <v>2</v>
      </c>
      <c r="F279" s="3">
        <v>70</v>
      </c>
      <c r="G279" s="3">
        <v>871</v>
      </c>
      <c r="H279" s="3">
        <v>253</v>
      </c>
      <c r="I279" s="3">
        <v>196</v>
      </c>
      <c r="J279" s="3">
        <v>36</v>
      </c>
      <c r="K279" s="3">
        <v>0.376</v>
      </c>
      <c r="L279" s="3">
        <v>0.24099999999999999</v>
      </c>
      <c r="M279" s="3">
        <v>0.73699999999999999</v>
      </c>
      <c r="N279" s="3">
        <v>12.4</v>
      </c>
      <c r="O279" s="3">
        <v>3.6</v>
      </c>
      <c r="P279" s="3">
        <v>2.8</v>
      </c>
      <c r="Q279" s="3">
        <v>0.5</v>
      </c>
      <c r="R279" s="92">
        <v>0.9</v>
      </c>
      <c r="S279">
        <f t="shared" si="6"/>
        <v>0.45</v>
      </c>
    </row>
    <row r="280" spans="1:19">
      <c r="A280" s="3">
        <v>32</v>
      </c>
      <c r="B280" s="3" t="s">
        <v>66</v>
      </c>
      <c r="C280" s="67" t="s">
        <v>1055</v>
      </c>
      <c r="D280" s="3" t="s">
        <v>416</v>
      </c>
      <c r="E280" s="3">
        <v>3</v>
      </c>
      <c r="F280" s="3">
        <v>148</v>
      </c>
      <c r="G280" s="3">
        <v>2092</v>
      </c>
      <c r="H280" s="3">
        <v>782</v>
      </c>
      <c r="I280" s="3">
        <v>324</v>
      </c>
      <c r="J280" s="3">
        <v>95</v>
      </c>
      <c r="K280" s="3">
        <v>0.41199999999999998</v>
      </c>
      <c r="L280" s="3">
        <v>0.28999999999999998</v>
      </c>
      <c r="M280" s="3">
        <v>0.77600000000000002</v>
      </c>
      <c r="N280" s="3">
        <v>14.1</v>
      </c>
      <c r="O280" s="3">
        <v>5.3</v>
      </c>
      <c r="P280" s="3">
        <v>2.2000000000000002</v>
      </c>
      <c r="Q280" s="3">
        <v>0.6</v>
      </c>
      <c r="R280" s="3">
        <v>1.3</v>
      </c>
      <c r="S280">
        <f t="shared" si="6"/>
        <v>0.43333333333333335</v>
      </c>
    </row>
    <row r="281" spans="1:19">
      <c r="A281" s="3">
        <v>31</v>
      </c>
      <c r="B281" s="3" t="s">
        <v>1095</v>
      </c>
      <c r="C281" s="88" t="s">
        <v>1195</v>
      </c>
      <c r="D281" s="3" t="s">
        <v>592</v>
      </c>
      <c r="E281" s="3">
        <v>3</v>
      </c>
      <c r="F281" s="3">
        <v>132</v>
      </c>
      <c r="G281" s="3">
        <v>2566</v>
      </c>
      <c r="H281" s="3">
        <v>807</v>
      </c>
      <c r="I281" s="3">
        <v>263</v>
      </c>
      <c r="J281" s="3">
        <v>107</v>
      </c>
      <c r="K281" s="3">
        <v>0.40899999999999997</v>
      </c>
      <c r="L281" s="3">
        <v>0.31900000000000001</v>
      </c>
      <c r="M281" s="3">
        <v>0.66500000000000004</v>
      </c>
      <c r="N281" s="3">
        <v>19.399999999999999</v>
      </c>
      <c r="O281" s="3">
        <v>6.1</v>
      </c>
      <c r="P281" s="3">
        <v>2</v>
      </c>
      <c r="Q281" s="3">
        <v>0.8</v>
      </c>
      <c r="R281" s="3">
        <v>1.3</v>
      </c>
      <c r="S281">
        <f t="shared" si="6"/>
        <v>0.43333333333333335</v>
      </c>
    </row>
    <row r="282" spans="1:19" ht="30">
      <c r="A282" s="61">
        <v>52</v>
      </c>
      <c r="B282" s="61" t="s">
        <v>72</v>
      </c>
      <c r="C282" s="66" t="s">
        <v>1457</v>
      </c>
      <c r="D282" s="61" t="s">
        <v>138</v>
      </c>
      <c r="E282" s="61">
        <v>3</v>
      </c>
      <c r="F282" s="61">
        <v>138</v>
      </c>
      <c r="G282" s="61">
        <v>1039</v>
      </c>
      <c r="H282" s="61">
        <v>308</v>
      </c>
      <c r="I282" s="61">
        <v>203</v>
      </c>
      <c r="J282" s="61">
        <v>26</v>
      </c>
      <c r="K282" s="61">
        <v>0.44900000000000001</v>
      </c>
      <c r="L282" s="61">
        <v>0.23499999999999999</v>
      </c>
      <c r="M282" s="61">
        <v>0.64400000000000002</v>
      </c>
      <c r="N282" s="50">
        <v>7.5</v>
      </c>
      <c r="O282" s="61">
        <v>2.2000000000000002</v>
      </c>
      <c r="P282" s="61">
        <v>1.5</v>
      </c>
      <c r="Q282" s="61">
        <v>0.2</v>
      </c>
      <c r="R282" s="92">
        <v>1.3</v>
      </c>
      <c r="S282">
        <f t="shared" si="6"/>
        <v>0.43333333333333335</v>
      </c>
    </row>
    <row r="283" spans="1:19">
      <c r="A283" s="3">
        <v>40</v>
      </c>
      <c r="B283" s="3" t="s">
        <v>44</v>
      </c>
      <c r="C283" s="88" t="s">
        <v>549</v>
      </c>
      <c r="D283" s="3" t="s">
        <v>208</v>
      </c>
      <c r="E283" s="3">
        <v>4</v>
      </c>
      <c r="F283" s="3">
        <v>121</v>
      </c>
      <c r="G283" s="3">
        <v>1376</v>
      </c>
      <c r="H283" s="3">
        <v>676</v>
      </c>
      <c r="I283" s="3">
        <v>150</v>
      </c>
      <c r="J283" s="3">
        <v>280</v>
      </c>
      <c r="K283" s="3">
        <v>0.46200000000000002</v>
      </c>
      <c r="L283" s="3">
        <v>0.33600000000000002</v>
      </c>
      <c r="M283" s="3">
        <v>0.79400000000000004</v>
      </c>
      <c r="N283" s="3">
        <v>11.4</v>
      </c>
      <c r="O283" s="3">
        <v>5.6</v>
      </c>
      <c r="P283" s="3">
        <v>1.2</v>
      </c>
      <c r="Q283" s="3">
        <v>2.2999999999999998</v>
      </c>
      <c r="R283" s="3">
        <v>1.7</v>
      </c>
      <c r="S283">
        <f t="shared" si="6"/>
        <v>0.42499999999999999</v>
      </c>
    </row>
    <row r="284" spans="1:19" ht="30">
      <c r="A284" s="3">
        <v>44</v>
      </c>
      <c r="B284" s="3" t="s">
        <v>47</v>
      </c>
      <c r="C284" s="82" t="s">
        <v>161</v>
      </c>
      <c r="D284" s="3" t="s">
        <v>162</v>
      </c>
      <c r="E284" s="3">
        <v>4</v>
      </c>
      <c r="F284" s="3">
        <v>161</v>
      </c>
      <c r="G284" s="3">
        <v>1841</v>
      </c>
      <c r="H284" s="3">
        <v>506</v>
      </c>
      <c r="I284" s="3">
        <v>313</v>
      </c>
      <c r="J284" s="3">
        <v>82</v>
      </c>
      <c r="K284" s="3">
        <v>0.40400000000000003</v>
      </c>
      <c r="L284" s="3">
        <v>0.34200000000000003</v>
      </c>
      <c r="M284" s="3">
        <v>0.76100000000000001</v>
      </c>
      <c r="N284" s="3">
        <v>11.4</v>
      </c>
      <c r="O284" s="3">
        <v>3.1</v>
      </c>
      <c r="P284" s="3">
        <v>1.9</v>
      </c>
      <c r="Q284" s="3">
        <v>0.5</v>
      </c>
      <c r="R284" s="3">
        <v>1.7</v>
      </c>
      <c r="S284">
        <f t="shared" si="6"/>
        <v>0.42499999999999999</v>
      </c>
    </row>
    <row r="285" spans="1:19">
      <c r="A285" s="3">
        <v>39</v>
      </c>
      <c r="B285" s="3" t="s">
        <v>66</v>
      </c>
      <c r="C285" s="67" t="s">
        <v>762</v>
      </c>
      <c r="D285" s="2"/>
      <c r="E285" s="3">
        <v>4</v>
      </c>
      <c r="F285" s="3">
        <v>143</v>
      </c>
      <c r="G285" s="3">
        <v>1871</v>
      </c>
      <c r="H285" s="3">
        <v>439</v>
      </c>
      <c r="I285" s="3">
        <v>320</v>
      </c>
      <c r="J285" s="3">
        <v>118</v>
      </c>
      <c r="K285" s="3">
        <v>0.432</v>
      </c>
      <c r="L285" s="3">
        <v>0.3</v>
      </c>
      <c r="M285" s="3">
        <v>0.75900000000000001</v>
      </c>
      <c r="N285" s="3">
        <v>13.1</v>
      </c>
      <c r="O285" s="3">
        <v>3.1</v>
      </c>
      <c r="P285" s="3">
        <v>2.2000000000000002</v>
      </c>
      <c r="Q285" s="3">
        <v>0.8</v>
      </c>
      <c r="R285" s="3">
        <v>1.7</v>
      </c>
      <c r="S285">
        <f t="shared" si="6"/>
        <v>0.42499999999999999</v>
      </c>
    </row>
    <row r="286" spans="1:19">
      <c r="A286" s="3">
        <v>58</v>
      </c>
      <c r="B286" s="3" t="s">
        <v>79</v>
      </c>
      <c r="C286" s="67" t="s">
        <v>1076</v>
      </c>
      <c r="D286" s="3" t="s">
        <v>115</v>
      </c>
      <c r="E286" s="3">
        <v>4</v>
      </c>
      <c r="F286" s="3">
        <v>123</v>
      </c>
      <c r="G286" s="3">
        <v>1696</v>
      </c>
      <c r="H286" s="3">
        <v>846</v>
      </c>
      <c r="I286" s="3">
        <v>225</v>
      </c>
      <c r="J286" s="3">
        <v>167</v>
      </c>
      <c r="K286" s="3">
        <v>0.41699999999999998</v>
      </c>
      <c r="L286" s="3">
        <v>0.35499999999999998</v>
      </c>
      <c r="M286" s="3">
        <v>0.77200000000000002</v>
      </c>
      <c r="N286" s="3">
        <v>13.8</v>
      </c>
      <c r="O286" s="3">
        <v>6.9</v>
      </c>
      <c r="P286" s="3">
        <v>1.8</v>
      </c>
      <c r="Q286" s="3">
        <v>1.4</v>
      </c>
      <c r="R286" s="3">
        <v>1.7</v>
      </c>
      <c r="S286">
        <f t="shared" si="6"/>
        <v>0.42499999999999999</v>
      </c>
    </row>
    <row r="287" spans="1:19">
      <c r="A287" s="61">
        <v>48</v>
      </c>
      <c r="B287" s="61" t="s">
        <v>323</v>
      </c>
      <c r="C287" s="66" t="s">
        <v>1458</v>
      </c>
      <c r="D287" s="61" t="s">
        <v>55</v>
      </c>
      <c r="E287" s="61">
        <v>2</v>
      </c>
      <c r="F287" s="61">
        <v>62</v>
      </c>
      <c r="G287" s="61">
        <v>472</v>
      </c>
      <c r="H287" s="61">
        <v>149</v>
      </c>
      <c r="I287" s="61">
        <v>77</v>
      </c>
      <c r="J287" s="61">
        <v>29</v>
      </c>
      <c r="K287" s="61">
        <v>0.51200000000000001</v>
      </c>
      <c r="L287" s="61">
        <v>0.16700000000000001</v>
      </c>
      <c r="M287" s="61">
        <v>0.51400000000000001</v>
      </c>
      <c r="N287" s="50">
        <v>7.6</v>
      </c>
      <c r="O287" s="61">
        <v>2.4</v>
      </c>
      <c r="P287" s="61">
        <v>1.2</v>
      </c>
      <c r="Q287" s="61">
        <v>0.5</v>
      </c>
      <c r="R287" s="92">
        <v>0.8</v>
      </c>
      <c r="S287">
        <f t="shared" si="6"/>
        <v>0.4</v>
      </c>
    </row>
    <row r="288" spans="1:19">
      <c r="A288" s="154">
        <v>45</v>
      </c>
      <c r="B288" s="154" t="s">
        <v>119</v>
      </c>
      <c r="C288" s="157" t="s">
        <v>487</v>
      </c>
      <c r="D288" s="154" t="s">
        <v>126</v>
      </c>
      <c r="E288" s="154">
        <v>3</v>
      </c>
      <c r="F288" s="154">
        <v>78</v>
      </c>
      <c r="G288" s="154">
        <v>403</v>
      </c>
      <c r="H288" s="154">
        <v>176</v>
      </c>
      <c r="I288" s="154">
        <v>75</v>
      </c>
      <c r="J288" s="154">
        <v>26</v>
      </c>
      <c r="K288" s="154">
        <v>0.47899999999999998</v>
      </c>
      <c r="L288" s="154">
        <v>0.28899999999999998</v>
      </c>
      <c r="M288" s="154">
        <v>0.879</v>
      </c>
      <c r="N288" s="154">
        <v>5.2</v>
      </c>
      <c r="O288" s="154">
        <v>2.2999999999999998</v>
      </c>
      <c r="P288" s="154">
        <v>1</v>
      </c>
      <c r="Q288" s="154">
        <v>0.3</v>
      </c>
      <c r="R288" s="154">
        <v>1.2</v>
      </c>
      <c r="S288">
        <f t="shared" si="6"/>
        <v>0.39999999999999997</v>
      </c>
    </row>
    <row r="289" spans="1:19">
      <c r="A289" s="3">
        <v>32</v>
      </c>
      <c r="B289" s="3" t="s">
        <v>323</v>
      </c>
      <c r="C289" s="67" t="s">
        <v>821</v>
      </c>
      <c r="D289" s="3" t="s">
        <v>103</v>
      </c>
      <c r="E289" s="3">
        <v>4</v>
      </c>
      <c r="F289" s="3">
        <v>122</v>
      </c>
      <c r="G289" s="3">
        <v>1299</v>
      </c>
      <c r="H289" s="3">
        <v>373</v>
      </c>
      <c r="I289" s="3">
        <v>212</v>
      </c>
      <c r="J289" s="3">
        <v>92</v>
      </c>
      <c r="K289" s="3">
        <v>0.40799999999999997</v>
      </c>
      <c r="L289" s="3">
        <v>0.38500000000000001</v>
      </c>
      <c r="M289" s="3">
        <v>0.66700000000000004</v>
      </c>
      <c r="N289" s="3">
        <v>10.6</v>
      </c>
      <c r="O289" s="3">
        <v>3.1</v>
      </c>
      <c r="P289" s="3">
        <v>1.7</v>
      </c>
      <c r="Q289" s="3">
        <v>0.8</v>
      </c>
      <c r="R289" s="3">
        <v>1.5</v>
      </c>
      <c r="S289">
        <f t="shared" si="6"/>
        <v>0.375</v>
      </c>
    </row>
    <row r="290" spans="1:19">
      <c r="A290" s="3">
        <v>41</v>
      </c>
      <c r="B290" s="3" t="s">
        <v>184</v>
      </c>
      <c r="C290" s="67" t="s">
        <v>828</v>
      </c>
      <c r="D290" s="3" t="s">
        <v>55</v>
      </c>
      <c r="E290" s="3">
        <v>3</v>
      </c>
      <c r="F290" s="3">
        <v>107</v>
      </c>
      <c r="G290" s="3">
        <v>1680</v>
      </c>
      <c r="H290" s="3">
        <v>710</v>
      </c>
      <c r="I290" s="3">
        <v>245</v>
      </c>
      <c r="J290" s="3">
        <v>135</v>
      </c>
      <c r="K290" s="3">
        <v>0.39200000000000002</v>
      </c>
      <c r="L290" s="3">
        <v>0.35099999999999998</v>
      </c>
      <c r="M290" s="3">
        <v>0.66900000000000004</v>
      </c>
      <c r="N290" s="3">
        <v>15.7</v>
      </c>
      <c r="O290" s="3">
        <v>6.6</v>
      </c>
      <c r="P290" s="3">
        <v>2.2999999999999998</v>
      </c>
      <c r="Q290" s="3">
        <v>1.3</v>
      </c>
      <c r="R290" s="3">
        <v>1.1000000000000001</v>
      </c>
      <c r="S290">
        <f t="shared" si="6"/>
        <v>0.3666666666666667</v>
      </c>
    </row>
    <row r="291" spans="1:19" ht="30">
      <c r="A291" s="3">
        <v>44</v>
      </c>
      <c r="B291" s="3" t="s">
        <v>135</v>
      </c>
      <c r="C291" s="67" t="s">
        <v>1062</v>
      </c>
      <c r="D291" s="3" t="s">
        <v>511</v>
      </c>
      <c r="E291" s="3">
        <v>3</v>
      </c>
      <c r="F291" s="3">
        <v>113</v>
      </c>
      <c r="G291" s="3">
        <v>1794</v>
      </c>
      <c r="H291" s="3">
        <v>584</v>
      </c>
      <c r="I291" s="3">
        <v>234</v>
      </c>
      <c r="J291" s="3">
        <v>132</v>
      </c>
      <c r="K291" s="3">
        <v>0.38</v>
      </c>
      <c r="L291" s="3">
        <v>0.29499999999999998</v>
      </c>
      <c r="M291" s="3">
        <v>0.78100000000000003</v>
      </c>
      <c r="N291" s="3">
        <v>15.9</v>
      </c>
      <c r="O291" s="3">
        <v>5.2</v>
      </c>
      <c r="P291" s="3">
        <v>2.1</v>
      </c>
      <c r="Q291" s="3">
        <v>1.2</v>
      </c>
      <c r="R291" s="3">
        <v>1.1000000000000001</v>
      </c>
      <c r="S291">
        <f t="shared" si="6"/>
        <v>0.3666666666666667</v>
      </c>
    </row>
    <row r="292" spans="1:19" ht="30">
      <c r="A292" s="3">
        <v>41</v>
      </c>
      <c r="B292" s="3" t="s">
        <v>72</v>
      </c>
      <c r="C292" s="67" t="s">
        <v>1335</v>
      </c>
      <c r="D292" s="3" t="s">
        <v>619</v>
      </c>
      <c r="E292" s="3">
        <v>2</v>
      </c>
      <c r="F292" s="3">
        <v>37</v>
      </c>
      <c r="G292" s="3">
        <v>397</v>
      </c>
      <c r="H292" s="3">
        <v>107</v>
      </c>
      <c r="I292" s="3">
        <v>72</v>
      </c>
      <c r="J292" s="3">
        <v>16</v>
      </c>
      <c r="K292" s="3">
        <v>0.58199999999999996</v>
      </c>
      <c r="L292" s="2"/>
      <c r="M292" s="3">
        <v>0.51800000000000002</v>
      </c>
      <c r="N292" s="3">
        <v>10.7</v>
      </c>
      <c r="O292" s="3">
        <v>2.9</v>
      </c>
      <c r="P292" s="3">
        <v>1.9</v>
      </c>
      <c r="Q292" s="3">
        <v>0.4</v>
      </c>
      <c r="R292" s="92">
        <v>0.7</v>
      </c>
      <c r="S292">
        <f t="shared" si="6"/>
        <v>0.35</v>
      </c>
    </row>
    <row r="293" spans="1:19">
      <c r="A293" s="51">
        <v>41</v>
      </c>
      <c r="B293" s="51" t="s">
        <v>135</v>
      </c>
      <c r="C293" s="112" t="s">
        <v>1459</v>
      </c>
      <c r="D293" s="51" t="s">
        <v>128</v>
      </c>
      <c r="E293" s="51">
        <v>2</v>
      </c>
      <c r="F293" s="51">
        <v>70</v>
      </c>
      <c r="G293" s="51">
        <v>780</v>
      </c>
      <c r="H293" s="51">
        <v>135</v>
      </c>
      <c r="I293" s="51">
        <v>194</v>
      </c>
      <c r="J293" s="51">
        <v>25</v>
      </c>
      <c r="K293" s="51">
        <v>0.48299999999999998</v>
      </c>
      <c r="L293" s="51">
        <v>0</v>
      </c>
      <c r="M293" s="51">
        <v>0.60499999999999998</v>
      </c>
      <c r="N293" s="51">
        <v>11.1</v>
      </c>
      <c r="O293" s="51">
        <v>1.9</v>
      </c>
      <c r="P293" s="51">
        <v>2.8</v>
      </c>
      <c r="Q293" s="51">
        <v>0.4</v>
      </c>
      <c r="R293" s="92">
        <v>0.7</v>
      </c>
      <c r="S293">
        <f t="shared" si="6"/>
        <v>0.35</v>
      </c>
    </row>
    <row r="294" spans="1:19">
      <c r="A294" s="3">
        <v>58</v>
      </c>
      <c r="B294" s="3" t="s">
        <v>25</v>
      </c>
      <c r="C294" s="67" t="s">
        <v>700</v>
      </c>
      <c r="D294" s="3" t="s">
        <v>701</v>
      </c>
      <c r="E294" s="3">
        <v>3</v>
      </c>
      <c r="F294" s="3">
        <v>80</v>
      </c>
      <c r="G294" s="3">
        <v>672</v>
      </c>
      <c r="H294" s="3">
        <v>145</v>
      </c>
      <c r="I294" s="3">
        <v>108</v>
      </c>
      <c r="J294" s="3">
        <v>37</v>
      </c>
      <c r="K294" s="3">
        <v>0.35</v>
      </c>
      <c r="L294" s="3">
        <v>0.33</v>
      </c>
      <c r="M294" s="3">
        <v>0.75</v>
      </c>
      <c r="N294" s="3">
        <v>8.4</v>
      </c>
      <c r="O294" s="3">
        <v>1.8</v>
      </c>
      <c r="P294" s="3">
        <v>1.4</v>
      </c>
      <c r="Q294" s="3">
        <v>0.5</v>
      </c>
      <c r="R294" s="3">
        <v>1</v>
      </c>
      <c r="S294">
        <f t="shared" si="6"/>
        <v>0.33333333333333331</v>
      </c>
    </row>
    <row r="295" spans="1:19">
      <c r="A295" s="3">
        <v>53</v>
      </c>
      <c r="B295" s="3" t="s">
        <v>190</v>
      </c>
      <c r="C295" s="67" t="s">
        <v>836</v>
      </c>
      <c r="D295" s="3" t="s">
        <v>224</v>
      </c>
      <c r="E295" s="3">
        <v>3</v>
      </c>
      <c r="F295" s="3">
        <v>47</v>
      </c>
      <c r="G295" s="3">
        <v>640</v>
      </c>
      <c r="H295" s="3">
        <v>258</v>
      </c>
      <c r="I295" s="3">
        <v>71</v>
      </c>
      <c r="J295" s="3">
        <v>109</v>
      </c>
      <c r="K295" s="3">
        <v>0.435</v>
      </c>
      <c r="L295" s="3">
        <v>0.34899999999999998</v>
      </c>
      <c r="M295" s="3">
        <v>0.75700000000000001</v>
      </c>
      <c r="N295" s="3">
        <v>13.6</v>
      </c>
      <c r="O295" s="3">
        <v>5.5</v>
      </c>
      <c r="P295" s="3">
        <v>1.5</v>
      </c>
      <c r="Q295" s="3">
        <v>2.2999999999999998</v>
      </c>
      <c r="R295" s="3">
        <v>1</v>
      </c>
      <c r="S295">
        <f t="shared" si="6"/>
        <v>0.33333333333333331</v>
      </c>
    </row>
    <row r="296" spans="1:19" ht="30">
      <c r="A296" s="3">
        <v>53</v>
      </c>
      <c r="B296" s="3" t="s">
        <v>179</v>
      </c>
      <c r="C296" s="88" t="s">
        <v>1284</v>
      </c>
      <c r="D296" s="3" t="s">
        <v>173</v>
      </c>
      <c r="E296" s="3">
        <v>5</v>
      </c>
      <c r="F296" s="3">
        <v>177</v>
      </c>
      <c r="G296" s="3">
        <v>1907</v>
      </c>
      <c r="H296" s="3">
        <v>346</v>
      </c>
      <c r="I296" s="3">
        <v>252</v>
      </c>
      <c r="J296" s="3">
        <v>122</v>
      </c>
      <c r="K296" s="3">
        <v>0.40200000000000002</v>
      </c>
      <c r="L296" s="3">
        <v>0.35199999999999998</v>
      </c>
      <c r="M296" s="3">
        <v>0.54900000000000004</v>
      </c>
      <c r="N296" s="3">
        <v>10.8</v>
      </c>
      <c r="O296" s="3">
        <v>2</v>
      </c>
      <c r="P296" s="3">
        <v>1.4</v>
      </c>
      <c r="Q296" s="3">
        <v>0.7</v>
      </c>
      <c r="R296" s="92">
        <v>1.6</v>
      </c>
      <c r="S296">
        <f t="shared" si="6"/>
        <v>0.32</v>
      </c>
    </row>
    <row r="297" spans="1:19" ht="45">
      <c r="A297" s="3">
        <v>51</v>
      </c>
      <c r="B297" s="3" t="s">
        <v>50</v>
      </c>
      <c r="C297" s="67" t="s">
        <v>1069</v>
      </c>
      <c r="D297" s="2"/>
      <c r="E297" s="3">
        <v>6</v>
      </c>
      <c r="F297" s="3">
        <v>198</v>
      </c>
      <c r="G297" s="3">
        <v>1520</v>
      </c>
      <c r="H297" s="3">
        <v>481</v>
      </c>
      <c r="I297" s="3">
        <v>307</v>
      </c>
      <c r="J297" s="3">
        <v>115</v>
      </c>
      <c r="K297" s="3">
        <v>0.50900000000000001</v>
      </c>
      <c r="L297" s="3">
        <v>0.14299999999999999</v>
      </c>
      <c r="M297" s="3">
        <v>0.52900000000000003</v>
      </c>
      <c r="N297" s="3">
        <v>7.7</v>
      </c>
      <c r="O297" s="3">
        <v>2.4</v>
      </c>
      <c r="P297" s="3">
        <v>1.6</v>
      </c>
      <c r="Q297" s="3">
        <v>0.6</v>
      </c>
      <c r="R297" s="3">
        <v>1.9</v>
      </c>
      <c r="S297">
        <f t="shared" ref="S297:S360" si="7">R297/E297</f>
        <v>0.31666666666666665</v>
      </c>
    </row>
    <row r="298" spans="1:19">
      <c r="A298" s="154">
        <v>37</v>
      </c>
      <c r="B298" s="154" t="s">
        <v>36</v>
      </c>
      <c r="C298" s="159" t="s">
        <v>149</v>
      </c>
      <c r="D298" s="43"/>
      <c r="E298" s="154">
        <v>3</v>
      </c>
      <c r="F298" s="156">
        <v>160</v>
      </c>
      <c r="G298" s="154">
        <v>2306</v>
      </c>
      <c r="H298" s="154">
        <v>1276</v>
      </c>
      <c r="I298" s="154">
        <v>282</v>
      </c>
      <c r="J298" s="154">
        <v>228</v>
      </c>
      <c r="K298" s="154">
        <v>0.42199999999999999</v>
      </c>
      <c r="L298" s="154">
        <v>0.38100000000000001</v>
      </c>
      <c r="M298" s="154">
        <v>0.78500000000000003</v>
      </c>
      <c r="N298" s="154">
        <v>14.4</v>
      </c>
      <c r="O298" s="154">
        <v>8</v>
      </c>
      <c r="P298" s="154">
        <v>1.8</v>
      </c>
      <c r="Q298" s="154">
        <v>1.4</v>
      </c>
      <c r="R298" s="154">
        <v>0.9</v>
      </c>
      <c r="S298">
        <f t="shared" si="7"/>
        <v>0.3</v>
      </c>
    </row>
    <row r="299" spans="1:19" ht="30">
      <c r="A299" s="154">
        <v>38</v>
      </c>
      <c r="B299" s="154" t="s">
        <v>79</v>
      </c>
      <c r="C299" s="157" t="s">
        <v>480</v>
      </c>
      <c r="D299" s="154" t="s">
        <v>115</v>
      </c>
      <c r="E299" s="154">
        <v>1</v>
      </c>
      <c r="F299" s="154">
        <v>36</v>
      </c>
      <c r="G299" s="154">
        <v>281</v>
      </c>
      <c r="H299" s="154">
        <v>78</v>
      </c>
      <c r="I299" s="154">
        <v>38</v>
      </c>
      <c r="J299" s="154">
        <v>58</v>
      </c>
      <c r="K299" s="154">
        <v>0.42199999999999999</v>
      </c>
      <c r="L299" s="154">
        <v>0.13300000000000001</v>
      </c>
      <c r="M299" s="154">
        <v>0.46200000000000002</v>
      </c>
      <c r="N299" s="154">
        <v>7.8</v>
      </c>
      <c r="O299" s="154">
        <v>2.2000000000000002</v>
      </c>
      <c r="P299" s="154">
        <v>1.1000000000000001</v>
      </c>
      <c r="Q299" s="154">
        <v>1.6</v>
      </c>
      <c r="R299" s="154">
        <v>0.3</v>
      </c>
      <c r="S299">
        <f t="shared" si="7"/>
        <v>0.3</v>
      </c>
    </row>
    <row r="300" spans="1:19">
      <c r="A300" s="3">
        <v>37</v>
      </c>
      <c r="B300" s="3" t="s">
        <v>34</v>
      </c>
      <c r="C300" s="88" t="s">
        <v>548</v>
      </c>
      <c r="D300" s="3" t="s">
        <v>445</v>
      </c>
      <c r="E300" s="3">
        <v>4</v>
      </c>
      <c r="F300" s="3">
        <v>174</v>
      </c>
      <c r="G300" s="3">
        <v>2054</v>
      </c>
      <c r="H300" s="3">
        <v>556</v>
      </c>
      <c r="I300" s="3">
        <v>347</v>
      </c>
      <c r="J300" s="3">
        <v>85</v>
      </c>
      <c r="K300" s="3">
        <v>0.42399999999999999</v>
      </c>
      <c r="L300" s="3">
        <v>0.32500000000000001</v>
      </c>
      <c r="M300" s="3">
        <v>0.66300000000000003</v>
      </c>
      <c r="N300" s="3">
        <v>11.8</v>
      </c>
      <c r="O300" s="3">
        <v>3.2</v>
      </c>
      <c r="P300" s="3">
        <v>2</v>
      </c>
      <c r="Q300" s="3">
        <v>0.5</v>
      </c>
      <c r="R300" s="3">
        <v>1.2</v>
      </c>
      <c r="S300">
        <f t="shared" si="7"/>
        <v>0.3</v>
      </c>
    </row>
    <row r="301" spans="1:19">
      <c r="A301" s="3">
        <v>59</v>
      </c>
      <c r="B301" s="3" t="s">
        <v>163</v>
      </c>
      <c r="C301" s="67" t="s">
        <v>637</v>
      </c>
      <c r="D301" s="3" t="s">
        <v>147</v>
      </c>
      <c r="E301" s="3">
        <v>1</v>
      </c>
      <c r="F301" s="3">
        <v>13</v>
      </c>
      <c r="G301" s="3">
        <v>172</v>
      </c>
      <c r="H301" s="3">
        <v>96</v>
      </c>
      <c r="I301" s="3">
        <v>18</v>
      </c>
      <c r="J301" s="3">
        <v>17</v>
      </c>
      <c r="K301" s="3">
        <v>0.5</v>
      </c>
      <c r="L301" s="3">
        <v>0.47199999999999998</v>
      </c>
      <c r="M301" s="3">
        <v>0.77800000000000002</v>
      </c>
      <c r="N301" s="3">
        <v>13.2</v>
      </c>
      <c r="O301" s="3">
        <v>7.4</v>
      </c>
      <c r="P301" s="3">
        <v>1.4</v>
      </c>
      <c r="Q301" s="3">
        <v>1.3</v>
      </c>
      <c r="R301" s="3">
        <v>0.3</v>
      </c>
      <c r="S301">
        <f t="shared" si="7"/>
        <v>0.3</v>
      </c>
    </row>
    <row r="302" spans="1:19" ht="30">
      <c r="A302" s="3">
        <v>42</v>
      </c>
      <c r="B302" s="3" t="s">
        <v>66</v>
      </c>
      <c r="C302" s="67" t="s">
        <v>685</v>
      </c>
      <c r="D302" s="3" t="s">
        <v>115</v>
      </c>
      <c r="E302" s="3">
        <v>4</v>
      </c>
      <c r="F302" s="3">
        <v>131</v>
      </c>
      <c r="G302" s="3">
        <v>1372</v>
      </c>
      <c r="H302" s="3">
        <v>426</v>
      </c>
      <c r="I302" s="3">
        <v>215</v>
      </c>
      <c r="J302" s="3">
        <v>78</v>
      </c>
      <c r="K302" s="3">
        <v>0.41699999999999998</v>
      </c>
      <c r="L302" s="3">
        <v>0.32600000000000001</v>
      </c>
      <c r="M302" s="3">
        <v>0.78200000000000003</v>
      </c>
      <c r="N302" s="3">
        <v>10.5</v>
      </c>
      <c r="O302" s="3">
        <v>3.3</v>
      </c>
      <c r="P302" s="3">
        <v>1.6</v>
      </c>
      <c r="Q302" s="3">
        <v>0.6</v>
      </c>
      <c r="R302" s="3">
        <v>1.2</v>
      </c>
      <c r="S302">
        <f t="shared" si="7"/>
        <v>0.3</v>
      </c>
    </row>
    <row r="303" spans="1:19">
      <c r="A303" s="3">
        <v>34</v>
      </c>
      <c r="B303" s="3" t="s">
        <v>36</v>
      </c>
      <c r="C303" s="67" t="s">
        <v>823</v>
      </c>
      <c r="D303" s="3" t="s">
        <v>138</v>
      </c>
      <c r="E303" s="3">
        <v>4</v>
      </c>
      <c r="F303" s="3">
        <v>103</v>
      </c>
      <c r="G303" s="3">
        <v>1616</v>
      </c>
      <c r="H303" s="3">
        <v>695</v>
      </c>
      <c r="I303" s="3">
        <v>204</v>
      </c>
      <c r="J303" s="3">
        <v>272</v>
      </c>
      <c r="K303" s="3">
        <v>0.39600000000000002</v>
      </c>
      <c r="L303" s="3">
        <v>0.30099999999999999</v>
      </c>
      <c r="M303" s="3">
        <v>0.755</v>
      </c>
      <c r="N303" s="3">
        <v>15.7</v>
      </c>
      <c r="O303" s="3">
        <v>6.7</v>
      </c>
      <c r="P303" s="3">
        <v>2</v>
      </c>
      <c r="Q303" s="3">
        <v>2.6</v>
      </c>
      <c r="R303" s="3">
        <v>1.2</v>
      </c>
      <c r="S303">
        <f t="shared" si="7"/>
        <v>0.3</v>
      </c>
    </row>
    <row r="304" spans="1:19">
      <c r="A304" s="3">
        <v>54</v>
      </c>
      <c r="B304" s="3" t="s">
        <v>323</v>
      </c>
      <c r="C304" s="67" t="s">
        <v>837</v>
      </c>
      <c r="D304" s="3" t="s">
        <v>838</v>
      </c>
      <c r="E304" s="3">
        <v>1</v>
      </c>
      <c r="F304" s="3">
        <v>20</v>
      </c>
      <c r="G304" s="3">
        <v>225</v>
      </c>
      <c r="H304" s="3">
        <v>82</v>
      </c>
      <c r="I304" s="3">
        <v>37</v>
      </c>
      <c r="J304" s="3">
        <v>12</v>
      </c>
      <c r="K304" s="3">
        <v>0.378</v>
      </c>
      <c r="L304" s="3">
        <v>0.31</v>
      </c>
      <c r="M304" s="3">
        <v>0.8</v>
      </c>
      <c r="N304" s="3">
        <v>11.3</v>
      </c>
      <c r="O304" s="3">
        <v>4.0999999999999996</v>
      </c>
      <c r="P304" s="3">
        <v>1.9</v>
      </c>
      <c r="Q304" s="3">
        <v>0.6</v>
      </c>
      <c r="R304" s="3">
        <v>0.3</v>
      </c>
      <c r="S304">
        <f t="shared" si="7"/>
        <v>0.3</v>
      </c>
    </row>
    <row r="305" spans="1:19" ht="30">
      <c r="A305" s="3">
        <v>59</v>
      </c>
      <c r="B305" s="3" t="s">
        <v>79</v>
      </c>
      <c r="C305" s="67" t="s">
        <v>843</v>
      </c>
      <c r="D305" s="3" t="s">
        <v>416</v>
      </c>
      <c r="E305" s="3">
        <v>1</v>
      </c>
      <c r="F305" s="3">
        <v>27</v>
      </c>
      <c r="G305" s="3">
        <v>439</v>
      </c>
      <c r="H305" s="3">
        <v>114</v>
      </c>
      <c r="I305" s="3">
        <v>98</v>
      </c>
      <c r="J305" s="3">
        <v>13</v>
      </c>
      <c r="K305" s="3">
        <v>0.443</v>
      </c>
      <c r="L305" s="3">
        <v>0.25600000000000001</v>
      </c>
      <c r="M305" s="3">
        <v>0.76900000000000002</v>
      </c>
      <c r="N305" s="3">
        <v>16.3</v>
      </c>
      <c r="O305" s="3">
        <v>4.2</v>
      </c>
      <c r="P305" s="3">
        <v>3.6</v>
      </c>
      <c r="Q305" s="3">
        <v>0.5</v>
      </c>
      <c r="R305" s="3">
        <v>0.3</v>
      </c>
      <c r="S305">
        <f t="shared" si="7"/>
        <v>0.3</v>
      </c>
    </row>
    <row r="306" spans="1:19" ht="30">
      <c r="A306" s="3">
        <v>38</v>
      </c>
      <c r="B306" s="3" t="s">
        <v>69</v>
      </c>
      <c r="C306" s="67" t="s">
        <v>1133</v>
      </c>
      <c r="D306" s="3" t="s">
        <v>1134</v>
      </c>
      <c r="E306" s="3">
        <v>3</v>
      </c>
      <c r="F306" s="3">
        <v>84</v>
      </c>
      <c r="G306" s="3">
        <v>1575</v>
      </c>
      <c r="H306" s="3">
        <v>461</v>
      </c>
      <c r="I306" s="3">
        <v>185</v>
      </c>
      <c r="J306" s="3">
        <v>209</v>
      </c>
      <c r="K306" s="3">
        <v>0.42299999999999999</v>
      </c>
      <c r="L306" s="3">
        <v>0.26100000000000001</v>
      </c>
      <c r="M306" s="3">
        <v>0.63500000000000001</v>
      </c>
      <c r="N306" s="3">
        <v>18.8</v>
      </c>
      <c r="O306" s="3">
        <v>5.5</v>
      </c>
      <c r="P306" s="3">
        <v>2.2000000000000002</v>
      </c>
      <c r="Q306" s="3">
        <v>2.5</v>
      </c>
      <c r="R306" s="3">
        <v>0.9</v>
      </c>
      <c r="S306">
        <f t="shared" si="7"/>
        <v>0.3</v>
      </c>
    </row>
    <row r="307" spans="1:19" ht="30">
      <c r="A307" s="3">
        <v>58</v>
      </c>
      <c r="B307" s="3" t="s">
        <v>31</v>
      </c>
      <c r="C307" s="67" t="s">
        <v>1355</v>
      </c>
      <c r="D307" s="3" t="s">
        <v>1356</v>
      </c>
      <c r="E307" s="3">
        <v>1</v>
      </c>
      <c r="F307" s="3">
        <v>41</v>
      </c>
      <c r="G307" s="3">
        <v>215</v>
      </c>
      <c r="H307" s="3">
        <v>81</v>
      </c>
      <c r="I307" s="3">
        <v>43</v>
      </c>
      <c r="J307" s="3">
        <v>7</v>
      </c>
      <c r="K307" s="3">
        <v>0.48499999999999999</v>
      </c>
      <c r="L307" s="2"/>
      <c r="M307" s="3">
        <v>0.73899999999999999</v>
      </c>
      <c r="N307" s="3">
        <v>5.2</v>
      </c>
      <c r="O307" s="3">
        <v>2</v>
      </c>
      <c r="P307" s="3">
        <v>1</v>
      </c>
      <c r="Q307" s="3">
        <v>0.2</v>
      </c>
      <c r="R307" s="92">
        <v>0.3</v>
      </c>
      <c r="S307">
        <f t="shared" si="7"/>
        <v>0.3</v>
      </c>
    </row>
    <row r="308" spans="1:19" ht="30">
      <c r="A308" s="51">
        <v>46</v>
      </c>
      <c r="B308" s="51" t="s">
        <v>25</v>
      </c>
      <c r="C308" s="112" t="s">
        <v>1460</v>
      </c>
      <c r="D308" s="51" t="s">
        <v>992</v>
      </c>
      <c r="E308" s="51">
        <v>1</v>
      </c>
      <c r="F308" s="51">
        <v>16</v>
      </c>
      <c r="G308" s="51">
        <v>303</v>
      </c>
      <c r="H308" s="51">
        <v>83</v>
      </c>
      <c r="I308" s="51">
        <v>53</v>
      </c>
      <c r="J308" s="51">
        <v>3</v>
      </c>
      <c r="K308" s="51">
        <v>0.45100000000000001</v>
      </c>
      <c r="L308" s="51"/>
      <c r="M308" s="51">
        <v>0.59399999999999997</v>
      </c>
      <c r="N308" s="51">
        <v>18.899999999999999</v>
      </c>
      <c r="O308" s="51">
        <v>5.2</v>
      </c>
      <c r="P308" s="51">
        <v>3.3</v>
      </c>
      <c r="Q308" s="51">
        <v>0.2</v>
      </c>
      <c r="R308" s="92">
        <v>0.3</v>
      </c>
      <c r="S308">
        <f t="shared" si="7"/>
        <v>0.3</v>
      </c>
    </row>
    <row r="309" spans="1:19" ht="30">
      <c r="A309" s="3">
        <v>48</v>
      </c>
      <c r="B309" s="3" t="s">
        <v>57</v>
      </c>
      <c r="C309" s="88" t="s">
        <v>832</v>
      </c>
      <c r="D309" s="3" t="s">
        <v>425</v>
      </c>
      <c r="E309" s="3">
        <v>4</v>
      </c>
      <c r="F309" s="3">
        <v>160</v>
      </c>
      <c r="G309" s="3">
        <v>1721</v>
      </c>
      <c r="H309" s="3">
        <v>401</v>
      </c>
      <c r="I309" s="3">
        <v>206</v>
      </c>
      <c r="J309" s="3">
        <v>111</v>
      </c>
      <c r="K309" s="3">
        <v>0.40699999999999997</v>
      </c>
      <c r="L309" s="3">
        <v>0.34</v>
      </c>
      <c r="M309" s="3">
        <v>0.67200000000000004</v>
      </c>
      <c r="N309" s="3">
        <v>10.8</v>
      </c>
      <c r="O309" s="3">
        <v>2.5</v>
      </c>
      <c r="P309" s="3">
        <v>1.3</v>
      </c>
      <c r="Q309" s="3">
        <v>0.7</v>
      </c>
      <c r="R309" s="3">
        <v>1.1000000000000001</v>
      </c>
      <c r="S309">
        <f t="shared" si="7"/>
        <v>0.27500000000000002</v>
      </c>
    </row>
    <row r="310" spans="1:19">
      <c r="A310" s="3">
        <v>50</v>
      </c>
      <c r="B310" s="3" t="s">
        <v>41</v>
      </c>
      <c r="C310" s="67" t="s">
        <v>770</v>
      </c>
      <c r="D310" s="3" t="s">
        <v>771</v>
      </c>
      <c r="E310" s="3">
        <v>5</v>
      </c>
      <c r="F310" s="3">
        <v>76</v>
      </c>
      <c r="G310" s="3">
        <v>568</v>
      </c>
      <c r="H310" s="3">
        <v>189</v>
      </c>
      <c r="I310" s="3">
        <v>228</v>
      </c>
      <c r="J310" s="3">
        <v>32</v>
      </c>
      <c r="K310" s="3">
        <v>0.48099999999999998</v>
      </c>
      <c r="L310" s="3">
        <v>0.22700000000000001</v>
      </c>
      <c r="M310" s="3">
        <v>0.71099999999999997</v>
      </c>
      <c r="N310" s="3">
        <v>7.5</v>
      </c>
      <c r="O310" s="3">
        <v>2.5</v>
      </c>
      <c r="P310" s="3">
        <v>3</v>
      </c>
      <c r="Q310" s="3">
        <v>0.4</v>
      </c>
      <c r="R310" s="3">
        <v>1.3</v>
      </c>
      <c r="S310">
        <f t="shared" si="7"/>
        <v>0.26</v>
      </c>
    </row>
    <row r="311" spans="1:19" ht="30">
      <c r="A311" s="3">
        <v>51</v>
      </c>
      <c r="B311" s="3" t="s">
        <v>152</v>
      </c>
      <c r="C311" s="88" t="s">
        <v>558</v>
      </c>
      <c r="D311" s="3" t="s">
        <v>173</v>
      </c>
      <c r="E311" s="3">
        <v>4</v>
      </c>
      <c r="F311" s="3">
        <v>147</v>
      </c>
      <c r="G311" s="3">
        <v>2346</v>
      </c>
      <c r="H311" s="3">
        <v>1101</v>
      </c>
      <c r="I311" s="3">
        <v>327</v>
      </c>
      <c r="J311" s="3">
        <v>176</v>
      </c>
      <c r="K311" s="3">
        <v>0.41199999999999998</v>
      </c>
      <c r="L311" s="3">
        <v>0.32800000000000001</v>
      </c>
      <c r="M311" s="3">
        <v>0.78100000000000003</v>
      </c>
      <c r="N311" s="3">
        <v>16</v>
      </c>
      <c r="O311" s="3">
        <v>7.5</v>
      </c>
      <c r="P311" s="3">
        <v>2.2000000000000002</v>
      </c>
      <c r="Q311" s="3">
        <v>1.2</v>
      </c>
      <c r="R311" s="3">
        <v>1</v>
      </c>
      <c r="S311">
        <f t="shared" si="7"/>
        <v>0.25</v>
      </c>
    </row>
    <row r="312" spans="1:19" ht="30">
      <c r="A312" s="3">
        <v>46</v>
      </c>
      <c r="B312" s="3" t="s">
        <v>124</v>
      </c>
      <c r="C312" s="67" t="s">
        <v>624</v>
      </c>
      <c r="D312" s="3" t="s">
        <v>347</v>
      </c>
      <c r="E312" s="3">
        <v>2</v>
      </c>
      <c r="F312" s="3">
        <v>88</v>
      </c>
      <c r="G312" s="3">
        <v>1366</v>
      </c>
      <c r="H312" s="3">
        <v>407</v>
      </c>
      <c r="I312" s="3">
        <v>259</v>
      </c>
      <c r="J312" s="3">
        <v>97</v>
      </c>
      <c r="K312" s="3">
        <v>0.39</v>
      </c>
      <c r="L312" s="3">
        <v>0.27500000000000002</v>
      </c>
      <c r="M312" s="3">
        <v>0.71699999999999997</v>
      </c>
      <c r="N312" s="3">
        <v>15.5</v>
      </c>
      <c r="O312" s="3">
        <v>4.5999999999999996</v>
      </c>
      <c r="P312" s="3">
        <v>2.9</v>
      </c>
      <c r="Q312" s="3">
        <v>1.1000000000000001</v>
      </c>
      <c r="R312" s="3">
        <v>0.5</v>
      </c>
      <c r="S312">
        <f t="shared" si="7"/>
        <v>0.25</v>
      </c>
    </row>
    <row r="313" spans="1:19">
      <c r="A313" s="3">
        <v>32</v>
      </c>
      <c r="B313" s="3" t="s">
        <v>323</v>
      </c>
      <c r="C313" s="67" t="s">
        <v>674</v>
      </c>
      <c r="D313" s="3" t="s">
        <v>121</v>
      </c>
      <c r="E313" s="3">
        <v>4</v>
      </c>
      <c r="F313" s="3">
        <v>98</v>
      </c>
      <c r="G313" s="3">
        <v>965</v>
      </c>
      <c r="H313" s="3">
        <v>222</v>
      </c>
      <c r="I313" s="3">
        <v>148</v>
      </c>
      <c r="J313" s="3">
        <v>47</v>
      </c>
      <c r="K313" s="3">
        <v>0.40899999999999997</v>
      </c>
      <c r="L313" s="3">
        <v>0.28599999999999998</v>
      </c>
      <c r="M313" s="3">
        <v>0.66700000000000004</v>
      </c>
      <c r="N313" s="3">
        <v>9.8000000000000007</v>
      </c>
      <c r="O313" s="3">
        <v>2.2999999999999998</v>
      </c>
      <c r="P313" s="3">
        <v>1.5</v>
      </c>
      <c r="Q313" s="3">
        <v>0.5</v>
      </c>
      <c r="R313" s="3">
        <v>1</v>
      </c>
      <c r="S313">
        <f t="shared" si="7"/>
        <v>0.25</v>
      </c>
    </row>
    <row r="314" spans="1:19">
      <c r="A314" s="3">
        <v>31</v>
      </c>
      <c r="B314" s="3" t="s">
        <v>323</v>
      </c>
      <c r="C314" s="67" t="s">
        <v>756</v>
      </c>
      <c r="D314" s="2"/>
      <c r="E314" s="3">
        <v>2</v>
      </c>
      <c r="F314" s="3">
        <v>108</v>
      </c>
      <c r="G314" s="3">
        <v>1677</v>
      </c>
      <c r="H314" s="3">
        <v>523</v>
      </c>
      <c r="I314" s="3">
        <v>188</v>
      </c>
      <c r="J314" s="3">
        <v>242</v>
      </c>
      <c r="K314" s="3">
        <v>0.39500000000000002</v>
      </c>
      <c r="L314" s="3">
        <v>0.315</v>
      </c>
      <c r="M314" s="3">
        <v>0.73699999999999999</v>
      </c>
      <c r="N314" s="3">
        <v>15.5</v>
      </c>
      <c r="O314" s="3">
        <v>4.8</v>
      </c>
      <c r="P314" s="3">
        <v>1.7</v>
      </c>
      <c r="Q314" s="3">
        <v>2.2000000000000002</v>
      </c>
      <c r="R314" s="3">
        <v>0.5</v>
      </c>
      <c r="S314">
        <f t="shared" si="7"/>
        <v>0.25</v>
      </c>
    </row>
    <row r="315" spans="1:19" ht="30">
      <c r="A315" s="3">
        <v>36</v>
      </c>
      <c r="B315" s="3" t="s">
        <v>135</v>
      </c>
      <c r="C315" s="67" t="s">
        <v>974</v>
      </c>
      <c r="D315" s="3" t="s">
        <v>68</v>
      </c>
      <c r="E315" s="3">
        <v>2</v>
      </c>
      <c r="F315" s="3">
        <v>30</v>
      </c>
      <c r="G315" s="3">
        <v>225</v>
      </c>
      <c r="H315" s="3">
        <v>63</v>
      </c>
      <c r="I315" s="3">
        <v>57</v>
      </c>
      <c r="J315" s="3">
        <v>4</v>
      </c>
      <c r="K315" s="3">
        <v>0.46700000000000003</v>
      </c>
      <c r="L315" s="2"/>
      <c r="M315" s="3">
        <v>0.72399999999999998</v>
      </c>
      <c r="N315" s="3">
        <v>7.5</v>
      </c>
      <c r="O315" s="3">
        <v>2.1</v>
      </c>
      <c r="P315" s="3">
        <v>1.9</v>
      </c>
      <c r="Q315" s="3">
        <v>0.1</v>
      </c>
      <c r="R315" s="3">
        <v>0.5</v>
      </c>
      <c r="S315">
        <f t="shared" si="7"/>
        <v>0.25</v>
      </c>
    </row>
    <row r="316" spans="1:19" ht="30">
      <c r="A316" s="3">
        <v>44</v>
      </c>
      <c r="B316" s="3" t="s">
        <v>25</v>
      </c>
      <c r="C316" s="67" t="s">
        <v>1274</v>
      </c>
      <c r="D316" s="3" t="s">
        <v>695</v>
      </c>
      <c r="E316" s="3">
        <v>2</v>
      </c>
      <c r="F316" s="3">
        <v>110</v>
      </c>
      <c r="G316" s="3">
        <v>1334</v>
      </c>
      <c r="H316" s="3">
        <v>408</v>
      </c>
      <c r="I316" s="3">
        <v>100</v>
      </c>
      <c r="J316" s="3">
        <v>214</v>
      </c>
      <c r="K316" s="3">
        <v>0.434</v>
      </c>
      <c r="L316" s="3">
        <v>0.182</v>
      </c>
      <c r="M316" s="3">
        <v>0.754</v>
      </c>
      <c r="N316" s="3">
        <v>12.1</v>
      </c>
      <c r="O316" s="3">
        <v>3.7</v>
      </c>
      <c r="P316" s="3">
        <v>0.9</v>
      </c>
      <c r="Q316" s="3">
        <v>1.9</v>
      </c>
      <c r="R316" s="92">
        <v>0.5</v>
      </c>
      <c r="S316">
        <f t="shared" si="7"/>
        <v>0.25</v>
      </c>
    </row>
    <row r="317" spans="1:19" ht="30">
      <c r="A317" s="154">
        <v>40</v>
      </c>
      <c r="B317" s="154" t="s">
        <v>135</v>
      </c>
      <c r="C317" s="157" t="s">
        <v>482</v>
      </c>
      <c r="D317" s="154" t="s">
        <v>165</v>
      </c>
      <c r="E317" s="154">
        <v>3</v>
      </c>
      <c r="F317" s="156">
        <v>113</v>
      </c>
      <c r="G317" s="154">
        <v>1690</v>
      </c>
      <c r="H317" s="154">
        <v>561</v>
      </c>
      <c r="I317" s="154">
        <v>196</v>
      </c>
      <c r="J317" s="154">
        <v>106</v>
      </c>
      <c r="K317" s="154">
        <v>0.42099999999999999</v>
      </c>
      <c r="L317" s="154">
        <v>0.32600000000000001</v>
      </c>
      <c r="M317" s="154">
        <v>0.76600000000000001</v>
      </c>
      <c r="N317" s="154">
        <v>15</v>
      </c>
      <c r="O317" s="154">
        <v>5</v>
      </c>
      <c r="P317" s="154">
        <v>1.7</v>
      </c>
      <c r="Q317" s="154">
        <v>0.9</v>
      </c>
      <c r="R317" s="154">
        <v>0.7</v>
      </c>
      <c r="S317">
        <f t="shared" si="7"/>
        <v>0.23333333333333331</v>
      </c>
    </row>
    <row r="318" spans="1:19">
      <c r="A318" s="154">
        <v>52</v>
      </c>
      <c r="B318" s="154" t="s">
        <v>44</v>
      </c>
      <c r="C318" s="157" t="s">
        <v>493</v>
      </c>
      <c r="D318" s="43"/>
      <c r="E318" s="154">
        <v>1</v>
      </c>
      <c r="F318" s="154">
        <v>14</v>
      </c>
      <c r="G318" s="154">
        <v>164</v>
      </c>
      <c r="H318" s="154">
        <v>38</v>
      </c>
      <c r="I318" s="154">
        <v>46</v>
      </c>
      <c r="J318" s="154">
        <v>9</v>
      </c>
      <c r="K318" s="154">
        <v>0.46899999999999997</v>
      </c>
      <c r="L318" s="154">
        <v>0.375</v>
      </c>
      <c r="M318" s="154">
        <v>1</v>
      </c>
      <c r="N318" s="154">
        <v>11.7</v>
      </c>
      <c r="O318" s="154">
        <v>2.7</v>
      </c>
      <c r="P318" s="154">
        <v>3.3</v>
      </c>
      <c r="Q318" s="154">
        <v>0.6</v>
      </c>
      <c r="R318" s="154">
        <v>0.2</v>
      </c>
      <c r="S318">
        <f t="shared" si="7"/>
        <v>0.2</v>
      </c>
    </row>
    <row r="319" spans="1:19">
      <c r="A319" s="3">
        <v>48</v>
      </c>
      <c r="B319" s="3" t="s">
        <v>25</v>
      </c>
      <c r="C319" s="67" t="s">
        <v>626</v>
      </c>
      <c r="D319" s="3" t="s">
        <v>224</v>
      </c>
      <c r="E319" s="3">
        <v>1</v>
      </c>
      <c r="F319" s="3">
        <v>30</v>
      </c>
      <c r="G319" s="3">
        <v>364</v>
      </c>
      <c r="H319" s="3">
        <v>123</v>
      </c>
      <c r="I319" s="3">
        <v>46</v>
      </c>
      <c r="J319" s="3">
        <v>70</v>
      </c>
      <c r="K319" s="3">
        <v>0.34200000000000003</v>
      </c>
      <c r="L319" s="3">
        <v>0.36699999999999999</v>
      </c>
      <c r="M319" s="3">
        <v>0.82099999999999995</v>
      </c>
      <c r="N319" s="3">
        <v>12.1</v>
      </c>
      <c r="O319" s="3">
        <v>4.0999999999999996</v>
      </c>
      <c r="P319" s="3">
        <v>1.5</v>
      </c>
      <c r="Q319" s="3">
        <v>2.2999999999999998</v>
      </c>
      <c r="R319" s="3">
        <v>0.2</v>
      </c>
      <c r="S319">
        <f t="shared" si="7"/>
        <v>0.2</v>
      </c>
    </row>
    <row r="320" spans="1:19" ht="30">
      <c r="A320" s="3">
        <v>57</v>
      </c>
      <c r="B320" s="3" t="s">
        <v>28</v>
      </c>
      <c r="C320" s="67" t="s">
        <v>636</v>
      </c>
      <c r="D320" s="3" t="s">
        <v>619</v>
      </c>
      <c r="E320" s="3">
        <v>2</v>
      </c>
      <c r="F320" s="3">
        <v>36</v>
      </c>
      <c r="G320" s="3">
        <v>398</v>
      </c>
      <c r="H320" s="3">
        <v>170</v>
      </c>
      <c r="I320" s="3">
        <v>120</v>
      </c>
      <c r="J320" s="3">
        <v>26</v>
      </c>
      <c r="K320" s="3">
        <v>0.45900000000000002</v>
      </c>
      <c r="L320" s="3">
        <v>0.189</v>
      </c>
      <c r="M320" s="3">
        <v>0.67900000000000005</v>
      </c>
      <c r="N320" s="3">
        <v>11.1</v>
      </c>
      <c r="O320" s="3">
        <v>4.7</v>
      </c>
      <c r="P320" s="3">
        <v>3.3</v>
      </c>
      <c r="Q320" s="3">
        <v>0.7</v>
      </c>
      <c r="R320" s="3">
        <v>0.4</v>
      </c>
      <c r="S320">
        <f t="shared" si="7"/>
        <v>0.2</v>
      </c>
    </row>
    <row r="321" spans="1:19" ht="30">
      <c r="A321" s="3">
        <v>40</v>
      </c>
      <c r="B321" s="3" t="s">
        <v>44</v>
      </c>
      <c r="C321" s="88" t="s">
        <v>827</v>
      </c>
      <c r="D321" s="3" t="s">
        <v>182</v>
      </c>
      <c r="E321" s="3">
        <v>4</v>
      </c>
      <c r="F321" s="3">
        <v>207</v>
      </c>
      <c r="G321" s="3">
        <v>4012</v>
      </c>
      <c r="H321" s="3">
        <v>1503</v>
      </c>
      <c r="I321" s="3">
        <v>537</v>
      </c>
      <c r="J321" s="3">
        <v>230</v>
      </c>
      <c r="K321" s="3">
        <v>0.40200000000000002</v>
      </c>
      <c r="L321" s="3">
        <v>0.314</v>
      </c>
      <c r="M321" s="3">
        <v>0.78</v>
      </c>
      <c r="N321" s="3">
        <v>19.399999999999999</v>
      </c>
      <c r="O321" s="3">
        <v>7.3</v>
      </c>
      <c r="P321" s="3">
        <v>2.6</v>
      </c>
      <c r="Q321" s="3">
        <v>1.1000000000000001</v>
      </c>
      <c r="R321" s="3">
        <v>0.8</v>
      </c>
      <c r="S321">
        <f t="shared" si="7"/>
        <v>0.2</v>
      </c>
    </row>
    <row r="322" spans="1:19">
      <c r="A322" s="3">
        <v>56</v>
      </c>
      <c r="B322" s="3" t="s">
        <v>190</v>
      </c>
      <c r="C322" s="67" t="s">
        <v>840</v>
      </c>
      <c r="D322" s="3" t="s">
        <v>200</v>
      </c>
      <c r="E322" s="3">
        <v>1</v>
      </c>
      <c r="F322" s="3">
        <v>13</v>
      </c>
      <c r="G322" s="3">
        <v>115</v>
      </c>
      <c r="H322" s="3">
        <v>39</v>
      </c>
      <c r="I322" s="3">
        <v>19</v>
      </c>
      <c r="J322" s="3">
        <v>8</v>
      </c>
      <c r="K322" s="3">
        <v>0.57699999999999996</v>
      </c>
      <c r="L322" s="3">
        <v>0.42899999999999999</v>
      </c>
      <c r="M322" s="3">
        <v>0.46200000000000002</v>
      </c>
      <c r="N322" s="3">
        <v>8.8000000000000007</v>
      </c>
      <c r="O322" s="3">
        <v>3</v>
      </c>
      <c r="P322" s="3">
        <v>1.5</v>
      </c>
      <c r="Q322" s="3">
        <v>0.6</v>
      </c>
      <c r="R322" s="3">
        <v>0.2</v>
      </c>
      <c r="S322">
        <f t="shared" si="7"/>
        <v>0.2</v>
      </c>
    </row>
    <row r="323" spans="1:19" ht="30">
      <c r="A323" s="3">
        <v>37</v>
      </c>
      <c r="B323" s="3" t="s">
        <v>34</v>
      </c>
      <c r="C323" s="67" t="s">
        <v>1131</v>
      </c>
      <c r="D323" s="3" t="s">
        <v>1132</v>
      </c>
      <c r="E323" s="3">
        <v>1</v>
      </c>
      <c r="F323" s="3">
        <v>21</v>
      </c>
      <c r="G323" s="3">
        <v>79</v>
      </c>
      <c r="H323" s="3">
        <v>22</v>
      </c>
      <c r="I323" s="3">
        <v>26</v>
      </c>
      <c r="J323" s="3">
        <v>2</v>
      </c>
      <c r="K323" s="3">
        <v>0.41699999999999998</v>
      </c>
      <c r="L323" s="3">
        <v>1</v>
      </c>
      <c r="M323" s="3">
        <v>0.57899999999999996</v>
      </c>
      <c r="N323" s="3">
        <v>3.8</v>
      </c>
      <c r="O323" s="3">
        <v>1</v>
      </c>
      <c r="P323" s="3">
        <v>1.2</v>
      </c>
      <c r="Q323" s="3">
        <v>0.1</v>
      </c>
      <c r="R323" s="3">
        <v>0.2</v>
      </c>
      <c r="S323">
        <f t="shared" si="7"/>
        <v>0.2</v>
      </c>
    </row>
    <row r="324" spans="1:19">
      <c r="A324" s="3">
        <v>44</v>
      </c>
      <c r="B324" s="3" t="s">
        <v>34</v>
      </c>
      <c r="C324" s="67" t="s">
        <v>1201</v>
      </c>
      <c r="D324" s="3" t="s">
        <v>71</v>
      </c>
      <c r="E324" s="3">
        <v>1</v>
      </c>
      <c r="F324" s="3">
        <v>41</v>
      </c>
      <c r="G324" s="3">
        <v>407</v>
      </c>
      <c r="H324" s="3">
        <v>119</v>
      </c>
      <c r="I324" s="3">
        <v>37</v>
      </c>
      <c r="J324" s="3">
        <v>26</v>
      </c>
      <c r="K324" s="3">
        <v>0.375</v>
      </c>
      <c r="L324" s="3">
        <v>0.28000000000000003</v>
      </c>
      <c r="M324" s="3">
        <v>0.72399999999999998</v>
      </c>
      <c r="N324" s="3">
        <v>9.9</v>
      </c>
      <c r="O324" s="3">
        <v>2.9</v>
      </c>
      <c r="P324" s="3">
        <v>0.9</v>
      </c>
      <c r="Q324" s="3">
        <v>0.6</v>
      </c>
      <c r="R324" s="3">
        <v>0.2</v>
      </c>
      <c r="S324">
        <f t="shared" si="7"/>
        <v>0.2</v>
      </c>
    </row>
    <row r="325" spans="1:19">
      <c r="A325" s="3">
        <v>54</v>
      </c>
      <c r="B325" s="3" t="s">
        <v>28</v>
      </c>
      <c r="C325" s="67" t="s">
        <v>1350</v>
      </c>
      <c r="D325" s="3" t="s">
        <v>728</v>
      </c>
      <c r="E325" s="3">
        <v>1</v>
      </c>
      <c r="F325" s="3">
        <v>19</v>
      </c>
      <c r="G325" s="3">
        <v>134</v>
      </c>
      <c r="H325" s="3">
        <v>37</v>
      </c>
      <c r="I325" s="3">
        <v>12</v>
      </c>
      <c r="J325" s="3">
        <v>27</v>
      </c>
      <c r="K325" s="3">
        <v>0.371</v>
      </c>
      <c r="L325" s="3">
        <v>0.33300000000000002</v>
      </c>
      <c r="M325" s="3">
        <v>0.75</v>
      </c>
      <c r="N325" s="3">
        <v>7.1</v>
      </c>
      <c r="O325" s="3">
        <v>1.9</v>
      </c>
      <c r="P325" s="3">
        <v>0.6</v>
      </c>
      <c r="Q325" s="3">
        <v>1.4</v>
      </c>
      <c r="R325" s="92">
        <v>0.2</v>
      </c>
      <c r="S325">
        <f t="shared" si="7"/>
        <v>0.2</v>
      </c>
    </row>
    <row r="326" spans="1:19">
      <c r="A326" s="61">
        <v>56</v>
      </c>
      <c r="B326" s="61" t="s">
        <v>141</v>
      </c>
      <c r="C326" s="66" t="s">
        <v>1461</v>
      </c>
      <c r="D326" s="61" t="s">
        <v>138</v>
      </c>
      <c r="E326" s="61">
        <v>1</v>
      </c>
      <c r="F326" s="61">
        <v>25</v>
      </c>
      <c r="G326" s="61">
        <v>95</v>
      </c>
      <c r="H326" s="61">
        <v>23</v>
      </c>
      <c r="I326" s="61">
        <v>26</v>
      </c>
      <c r="J326" s="61">
        <v>3</v>
      </c>
      <c r="K326" s="61">
        <v>0.52900000000000003</v>
      </c>
      <c r="L326" s="65"/>
      <c r="M326" s="61">
        <v>0.45500000000000002</v>
      </c>
      <c r="N326" s="50">
        <v>3.8</v>
      </c>
      <c r="O326" s="61">
        <v>0.9</v>
      </c>
      <c r="P326" s="61">
        <v>1</v>
      </c>
      <c r="Q326" s="61">
        <v>0.1</v>
      </c>
      <c r="R326" s="92">
        <v>0.2</v>
      </c>
      <c r="S326">
        <f t="shared" si="7"/>
        <v>0.2</v>
      </c>
    </row>
    <row r="327" spans="1:19">
      <c r="A327" s="51">
        <v>32</v>
      </c>
      <c r="B327" s="51" t="s">
        <v>190</v>
      </c>
      <c r="C327" s="112" t="s">
        <v>1462</v>
      </c>
      <c r="D327" s="51" t="s">
        <v>105</v>
      </c>
      <c r="E327" s="51">
        <v>2</v>
      </c>
      <c r="F327" s="51">
        <v>62</v>
      </c>
      <c r="G327" s="51">
        <v>461</v>
      </c>
      <c r="H327" s="51">
        <v>125</v>
      </c>
      <c r="I327" s="51">
        <v>51</v>
      </c>
      <c r="J327" s="51">
        <v>52</v>
      </c>
      <c r="K327" s="51">
        <v>0.32100000000000001</v>
      </c>
      <c r="L327" s="51">
        <v>0.28299999999999997</v>
      </c>
      <c r="M327" s="51">
        <v>0.78300000000000003</v>
      </c>
      <c r="N327" s="51">
        <v>7.4</v>
      </c>
      <c r="O327" s="51">
        <v>2</v>
      </c>
      <c r="P327" s="51">
        <v>0.8</v>
      </c>
      <c r="Q327" s="51">
        <v>0.8</v>
      </c>
      <c r="R327" s="92">
        <v>0.4</v>
      </c>
      <c r="S327">
        <f t="shared" si="7"/>
        <v>0.2</v>
      </c>
    </row>
    <row r="328" spans="1:19">
      <c r="A328" s="154">
        <v>44</v>
      </c>
      <c r="B328" s="154" t="s">
        <v>184</v>
      </c>
      <c r="C328" s="157" t="s">
        <v>485</v>
      </c>
      <c r="D328" s="154" t="s">
        <v>486</v>
      </c>
      <c r="E328" s="154">
        <v>3</v>
      </c>
      <c r="F328" s="154">
        <v>60</v>
      </c>
      <c r="G328" s="154">
        <v>561</v>
      </c>
      <c r="H328" s="154">
        <v>238</v>
      </c>
      <c r="I328" s="154">
        <v>79</v>
      </c>
      <c r="J328" s="154">
        <v>64</v>
      </c>
      <c r="K328" s="154">
        <v>0.46</v>
      </c>
      <c r="L328" s="154">
        <v>0.38900000000000001</v>
      </c>
      <c r="M328" s="154">
        <v>0.82599999999999996</v>
      </c>
      <c r="N328" s="154">
        <v>9.4</v>
      </c>
      <c r="O328" s="154">
        <v>4</v>
      </c>
      <c r="P328" s="154">
        <v>1.3</v>
      </c>
      <c r="Q328" s="154">
        <v>1.1000000000000001</v>
      </c>
      <c r="R328" s="154">
        <v>0.6</v>
      </c>
      <c r="S328">
        <f t="shared" si="7"/>
        <v>0.19999999999999998</v>
      </c>
    </row>
    <row r="329" spans="1:19" ht="30">
      <c r="A329" s="3">
        <v>50</v>
      </c>
      <c r="B329" s="3" t="s">
        <v>41</v>
      </c>
      <c r="C329" s="67" t="s">
        <v>691</v>
      </c>
      <c r="D329" s="3" t="s">
        <v>635</v>
      </c>
      <c r="E329" s="3">
        <v>3</v>
      </c>
      <c r="F329" s="3">
        <v>41</v>
      </c>
      <c r="G329" s="3">
        <v>273</v>
      </c>
      <c r="H329" s="3">
        <v>110</v>
      </c>
      <c r="I329" s="3">
        <v>53</v>
      </c>
      <c r="J329" s="3">
        <v>29</v>
      </c>
      <c r="K329" s="3">
        <v>0.45700000000000002</v>
      </c>
      <c r="L329" s="3">
        <v>0.38</v>
      </c>
      <c r="M329" s="3">
        <v>0.83299999999999996</v>
      </c>
      <c r="N329" s="3">
        <v>6.7</v>
      </c>
      <c r="O329" s="3">
        <v>2.7</v>
      </c>
      <c r="P329" s="3">
        <v>1.3</v>
      </c>
      <c r="Q329" s="3">
        <v>0.7</v>
      </c>
      <c r="R329" s="3">
        <v>0.6</v>
      </c>
      <c r="S329">
        <f t="shared" si="7"/>
        <v>0.19999999999999998</v>
      </c>
    </row>
    <row r="330" spans="1:19">
      <c r="A330" s="3">
        <v>35</v>
      </c>
      <c r="B330" s="3" t="s">
        <v>193</v>
      </c>
      <c r="C330" s="67" t="s">
        <v>1057</v>
      </c>
      <c r="D330" s="3" t="s">
        <v>115</v>
      </c>
      <c r="E330" s="3">
        <v>3</v>
      </c>
      <c r="F330" s="3">
        <v>28</v>
      </c>
      <c r="G330" s="3">
        <v>151</v>
      </c>
      <c r="H330" s="3">
        <v>67</v>
      </c>
      <c r="I330" s="3">
        <v>40</v>
      </c>
      <c r="J330" s="3">
        <v>7</v>
      </c>
      <c r="K330" s="3">
        <v>0.58099999999999996</v>
      </c>
      <c r="L330" s="2"/>
      <c r="M330" s="3">
        <v>0.53100000000000003</v>
      </c>
      <c r="N330" s="3">
        <v>5.4</v>
      </c>
      <c r="O330" s="3">
        <v>2.4</v>
      </c>
      <c r="P330" s="3">
        <v>1.4</v>
      </c>
      <c r="Q330" s="3">
        <v>0.3</v>
      </c>
      <c r="R330" s="3">
        <v>0.6</v>
      </c>
      <c r="S330">
        <f t="shared" si="7"/>
        <v>0.19999999999999998</v>
      </c>
    </row>
    <row r="331" spans="1:19">
      <c r="A331" s="51">
        <v>38</v>
      </c>
      <c r="B331" s="51" t="s">
        <v>66</v>
      </c>
      <c r="C331" s="112" t="s">
        <v>1463</v>
      </c>
      <c r="D331" s="51"/>
      <c r="E331" s="51">
        <v>5</v>
      </c>
      <c r="F331" s="51">
        <v>135</v>
      </c>
      <c r="G331" s="51">
        <v>1107</v>
      </c>
      <c r="H331" s="51">
        <v>305</v>
      </c>
      <c r="I331" s="51">
        <v>269</v>
      </c>
      <c r="J331" s="51">
        <v>40</v>
      </c>
      <c r="K331" s="51">
        <v>0.496</v>
      </c>
      <c r="L331" s="51">
        <v>0</v>
      </c>
      <c r="M331" s="51">
        <v>0.41</v>
      </c>
      <c r="N331" s="51">
        <v>8.1999999999999993</v>
      </c>
      <c r="O331" s="51">
        <v>2.2999999999999998</v>
      </c>
      <c r="P331" s="51">
        <v>2</v>
      </c>
      <c r="Q331" s="51">
        <v>0.3</v>
      </c>
      <c r="R331" s="92">
        <v>0.9</v>
      </c>
      <c r="S331">
        <f t="shared" si="7"/>
        <v>0.18</v>
      </c>
    </row>
    <row r="332" spans="1:19">
      <c r="A332" s="3">
        <v>38</v>
      </c>
      <c r="B332" s="3" t="s">
        <v>66</v>
      </c>
      <c r="C332" s="67" t="s">
        <v>761</v>
      </c>
      <c r="D332" s="3" t="s">
        <v>335</v>
      </c>
      <c r="E332" s="3">
        <v>3</v>
      </c>
      <c r="F332" s="3">
        <v>39</v>
      </c>
      <c r="G332" s="3">
        <v>409</v>
      </c>
      <c r="H332" s="3">
        <v>160</v>
      </c>
      <c r="I332" s="3">
        <v>39</v>
      </c>
      <c r="J332" s="3">
        <v>36</v>
      </c>
      <c r="K332" s="3">
        <v>0.38800000000000001</v>
      </c>
      <c r="L332" s="3">
        <v>0.316</v>
      </c>
      <c r="M332" s="3">
        <v>0.75</v>
      </c>
      <c r="N332" s="3">
        <v>10.5</v>
      </c>
      <c r="O332" s="3">
        <v>4.0999999999999996</v>
      </c>
      <c r="P332" s="3">
        <v>1</v>
      </c>
      <c r="Q332" s="3">
        <v>0.9</v>
      </c>
      <c r="R332" s="3">
        <v>0.5</v>
      </c>
      <c r="S332">
        <f t="shared" si="7"/>
        <v>0.16666666666666666</v>
      </c>
    </row>
    <row r="333" spans="1:19">
      <c r="A333" s="3">
        <v>34</v>
      </c>
      <c r="B333" s="3" t="s">
        <v>323</v>
      </c>
      <c r="C333" s="87" t="s">
        <v>897</v>
      </c>
      <c r="D333" s="3" t="s">
        <v>173</v>
      </c>
      <c r="E333" s="3">
        <v>3</v>
      </c>
      <c r="F333" s="3">
        <v>133</v>
      </c>
      <c r="G333" s="3">
        <v>2782</v>
      </c>
      <c r="H333" s="3">
        <v>998</v>
      </c>
      <c r="I333" s="3">
        <v>223</v>
      </c>
      <c r="J333" s="3">
        <v>537</v>
      </c>
      <c r="K333" s="3">
        <v>0.40300000000000002</v>
      </c>
      <c r="L333" s="3">
        <v>0.28000000000000003</v>
      </c>
      <c r="M333" s="3">
        <v>0.80800000000000005</v>
      </c>
      <c r="N333" s="3">
        <v>20.9</v>
      </c>
      <c r="O333" s="3">
        <v>7.5</v>
      </c>
      <c r="P333" s="3">
        <v>1.7</v>
      </c>
      <c r="Q333" s="3">
        <v>4</v>
      </c>
      <c r="R333" s="3">
        <v>0.5</v>
      </c>
      <c r="S333">
        <f t="shared" si="7"/>
        <v>0.16666666666666666</v>
      </c>
    </row>
    <row r="334" spans="1:19">
      <c r="A334" s="3">
        <v>33</v>
      </c>
      <c r="B334" s="3" t="s">
        <v>190</v>
      </c>
      <c r="C334" s="67" t="s">
        <v>972</v>
      </c>
      <c r="D334" s="3" t="s">
        <v>145</v>
      </c>
      <c r="E334" s="3">
        <v>3</v>
      </c>
      <c r="F334" s="3">
        <v>64</v>
      </c>
      <c r="G334" s="3">
        <v>482</v>
      </c>
      <c r="H334" s="3">
        <v>152</v>
      </c>
      <c r="I334" s="3">
        <v>128</v>
      </c>
      <c r="J334" s="3">
        <v>17</v>
      </c>
      <c r="K334" s="3">
        <v>0.44900000000000001</v>
      </c>
      <c r="L334" s="3">
        <v>0.11799999999999999</v>
      </c>
      <c r="M334" s="3">
        <v>0.60499999999999998</v>
      </c>
      <c r="N334" s="3">
        <v>7.5</v>
      </c>
      <c r="O334" s="3">
        <v>2.4</v>
      </c>
      <c r="P334" s="3">
        <v>2</v>
      </c>
      <c r="Q334" s="3">
        <v>0.3</v>
      </c>
      <c r="R334" s="3">
        <v>0.5</v>
      </c>
      <c r="S334">
        <f t="shared" si="7"/>
        <v>0.16666666666666666</v>
      </c>
    </row>
    <row r="335" spans="1:19">
      <c r="A335" s="3">
        <v>43</v>
      </c>
      <c r="B335" s="3" t="s">
        <v>31</v>
      </c>
      <c r="C335" s="67" t="s">
        <v>1337</v>
      </c>
      <c r="D335" s="3" t="s">
        <v>87</v>
      </c>
      <c r="E335" s="3">
        <v>3</v>
      </c>
      <c r="F335" s="3">
        <v>63</v>
      </c>
      <c r="G335" s="3">
        <v>711</v>
      </c>
      <c r="H335" s="3">
        <v>224</v>
      </c>
      <c r="I335" s="3">
        <v>122</v>
      </c>
      <c r="J335" s="3">
        <v>24</v>
      </c>
      <c r="K335" s="3">
        <v>0.38500000000000001</v>
      </c>
      <c r="L335" s="3">
        <v>0.222</v>
      </c>
      <c r="M335" s="3">
        <v>0.72199999999999998</v>
      </c>
      <c r="N335" s="3">
        <v>11.3</v>
      </c>
      <c r="O335" s="3">
        <v>3.6</v>
      </c>
      <c r="P335" s="3">
        <v>1.9</v>
      </c>
      <c r="Q335" s="3">
        <v>0.4</v>
      </c>
      <c r="R335" s="92">
        <v>0.5</v>
      </c>
      <c r="S335">
        <f t="shared" si="7"/>
        <v>0.16666666666666666</v>
      </c>
    </row>
    <row r="336" spans="1:19">
      <c r="A336" s="154">
        <v>49</v>
      </c>
      <c r="B336" s="154" t="s">
        <v>76</v>
      </c>
      <c r="C336" s="157" t="s">
        <v>490</v>
      </c>
      <c r="D336" s="154" t="s">
        <v>105</v>
      </c>
      <c r="E336" s="154">
        <v>2</v>
      </c>
      <c r="F336" s="154">
        <v>22</v>
      </c>
      <c r="G336" s="154">
        <v>156</v>
      </c>
      <c r="H336" s="154">
        <v>54</v>
      </c>
      <c r="I336" s="154">
        <v>30</v>
      </c>
      <c r="J336" s="154">
        <v>9</v>
      </c>
      <c r="K336" s="154">
        <v>0.42299999999999999</v>
      </c>
      <c r="L336" s="154">
        <v>0.33300000000000002</v>
      </c>
      <c r="M336" s="154">
        <v>0.8</v>
      </c>
      <c r="N336" s="154">
        <v>7.1</v>
      </c>
      <c r="O336" s="154">
        <v>2.5</v>
      </c>
      <c r="P336" s="154">
        <v>1.4</v>
      </c>
      <c r="Q336" s="154">
        <v>0.4</v>
      </c>
      <c r="R336" s="154">
        <v>0.3</v>
      </c>
      <c r="S336">
        <f t="shared" si="7"/>
        <v>0.15</v>
      </c>
    </row>
    <row r="337" spans="1:19">
      <c r="A337" s="3">
        <v>33</v>
      </c>
      <c r="B337" s="3" t="s">
        <v>135</v>
      </c>
      <c r="C337" s="67" t="s">
        <v>613</v>
      </c>
      <c r="D337" s="3" t="s">
        <v>356</v>
      </c>
      <c r="E337" s="3">
        <v>2</v>
      </c>
      <c r="F337" s="3">
        <v>33</v>
      </c>
      <c r="G337" s="3">
        <v>188</v>
      </c>
      <c r="H337" s="3">
        <v>63</v>
      </c>
      <c r="I337" s="3">
        <v>53</v>
      </c>
      <c r="J337" s="3">
        <v>10</v>
      </c>
      <c r="K337" s="3">
        <v>0.43099999999999999</v>
      </c>
      <c r="L337" s="3">
        <v>0.16700000000000001</v>
      </c>
      <c r="M337" s="3">
        <v>0.70599999999999996</v>
      </c>
      <c r="N337" s="3">
        <v>5.7</v>
      </c>
      <c r="O337" s="3">
        <v>1.9</v>
      </c>
      <c r="P337" s="3">
        <v>1.6</v>
      </c>
      <c r="Q337" s="3">
        <v>0.3</v>
      </c>
      <c r="R337" s="3">
        <v>0.3</v>
      </c>
      <c r="S337">
        <f t="shared" si="7"/>
        <v>0.15</v>
      </c>
    </row>
    <row r="338" spans="1:19">
      <c r="A338" s="3">
        <v>39</v>
      </c>
      <c r="B338" s="3" t="s">
        <v>44</v>
      </c>
      <c r="C338" s="67" t="s">
        <v>681</v>
      </c>
      <c r="D338" s="2"/>
      <c r="E338" s="3">
        <v>2</v>
      </c>
      <c r="F338" s="3">
        <v>29</v>
      </c>
      <c r="G338" s="3">
        <v>223</v>
      </c>
      <c r="H338" s="3">
        <v>87</v>
      </c>
      <c r="I338" s="3">
        <v>43</v>
      </c>
      <c r="J338" s="3">
        <v>17</v>
      </c>
      <c r="K338" s="3">
        <v>0.46300000000000002</v>
      </c>
      <c r="L338" s="3">
        <v>0.30399999999999999</v>
      </c>
      <c r="M338" s="3">
        <v>0.72</v>
      </c>
      <c r="N338" s="3">
        <v>7.7</v>
      </c>
      <c r="O338" s="3">
        <v>3</v>
      </c>
      <c r="P338" s="3">
        <v>1.5</v>
      </c>
      <c r="Q338" s="3">
        <v>0.6</v>
      </c>
      <c r="R338" s="3">
        <v>0.3</v>
      </c>
      <c r="S338">
        <f t="shared" si="7"/>
        <v>0.15</v>
      </c>
    </row>
    <row r="339" spans="1:19">
      <c r="A339" s="3">
        <v>40</v>
      </c>
      <c r="B339" s="3" t="s">
        <v>36</v>
      </c>
      <c r="C339" s="67" t="s">
        <v>682</v>
      </c>
      <c r="D339" s="3" t="s">
        <v>683</v>
      </c>
      <c r="E339" s="3">
        <v>2</v>
      </c>
      <c r="F339" s="3">
        <v>72</v>
      </c>
      <c r="G339" s="3">
        <v>542</v>
      </c>
      <c r="H339" s="3">
        <v>228</v>
      </c>
      <c r="I339" s="3">
        <v>62</v>
      </c>
      <c r="J339" s="3">
        <v>40</v>
      </c>
      <c r="K339" s="3">
        <v>0.44600000000000001</v>
      </c>
      <c r="L339" s="3">
        <v>0.34300000000000003</v>
      </c>
      <c r="M339" s="3">
        <v>0.54400000000000004</v>
      </c>
      <c r="N339" s="3">
        <v>7.5</v>
      </c>
      <c r="O339" s="3">
        <v>3.2</v>
      </c>
      <c r="P339" s="3">
        <v>0.9</v>
      </c>
      <c r="Q339" s="3">
        <v>0.6</v>
      </c>
      <c r="R339" s="3">
        <v>0.3</v>
      </c>
      <c r="S339">
        <f t="shared" si="7"/>
        <v>0.15</v>
      </c>
    </row>
    <row r="340" spans="1:19">
      <c r="A340" s="3">
        <v>52</v>
      </c>
      <c r="B340" s="3" t="s">
        <v>193</v>
      </c>
      <c r="C340" s="67" t="s">
        <v>914</v>
      </c>
      <c r="D340" s="3" t="s">
        <v>330</v>
      </c>
      <c r="E340" s="3">
        <v>2</v>
      </c>
      <c r="F340" s="3">
        <v>18</v>
      </c>
      <c r="G340" s="3">
        <v>91</v>
      </c>
      <c r="H340" s="3">
        <v>31</v>
      </c>
      <c r="I340" s="3">
        <v>27</v>
      </c>
      <c r="J340" s="3">
        <v>2</v>
      </c>
      <c r="K340" s="3">
        <v>0.54500000000000004</v>
      </c>
      <c r="L340" s="3">
        <v>0.2</v>
      </c>
      <c r="M340" s="3">
        <v>0.5</v>
      </c>
      <c r="N340" s="3">
        <v>5.0999999999999996</v>
      </c>
      <c r="O340" s="3">
        <v>1.7</v>
      </c>
      <c r="P340" s="3">
        <v>1.5</v>
      </c>
      <c r="Q340" s="3">
        <v>0.1</v>
      </c>
      <c r="R340" s="3">
        <v>0.3</v>
      </c>
      <c r="S340">
        <f t="shared" si="7"/>
        <v>0.15</v>
      </c>
    </row>
    <row r="341" spans="1:19" ht="30">
      <c r="A341" s="3">
        <v>48</v>
      </c>
      <c r="B341" s="3" t="s">
        <v>50</v>
      </c>
      <c r="C341" s="67" t="s">
        <v>1206</v>
      </c>
      <c r="D341" s="2"/>
      <c r="E341" s="3">
        <v>2</v>
      </c>
      <c r="F341" s="3">
        <v>69</v>
      </c>
      <c r="G341" s="3">
        <v>1089</v>
      </c>
      <c r="H341" s="3">
        <v>249</v>
      </c>
      <c r="I341" s="3">
        <v>158</v>
      </c>
      <c r="J341" s="3">
        <v>101</v>
      </c>
      <c r="K341" s="3">
        <v>0.35399999999999998</v>
      </c>
      <c r="L341" s="3">
        <v>0.29699999999999999</v>
      </c>
      <c r="M341" s="3">
        <v>0.68799999999999994</v>
      </c>
      <c r="N341" s="3">
        <v>15.8</v>
      </c>
      <c r="O341" s="3">
        <v>3.6</v>
      </c>
      <c r="P341" s="3">
        <v>2.2999999999999998</v>
      </c>
      <c r="Q341" s="3">
        <v>1.5</v>
      </c>
      <c r="R341" s="3">
        <v>0.3</v>
      </c>
      <c r="S341">
        <f t="shared" si="7"/>
        <v>0.15</v>
      </c>
    </row>
    <row r="342" spans="1:19" ht="30">
      <c r="A342" s="3">
        <v>47</v>
      </c>
      <c r="B342" s="3" t="s">
        <v>36</v>
      </c>
      <c r="C342" s="67" t="s">
        <v>689</v>
      </c>
      <c r="D342" s="3" t="s">
        <v>151</v>
      </c>
      <c r="E342" s="3">
        <v>3</v>
      </c>
      <c r="F342" s="3">
        <v>64</v>
      </c>
      <c r="G342" s="3">
        <v>838</v>
      </c>
      <c r="H342" s="3">
        <v>318</v>
      </c>
      <c r="I342" s="3">
        <v>122</v>
      </c>
      <c r="J342" s="3">
        <v>58</v>
      </c>
      <c r="K342" s="3">
        <v>0.41599999999999998</v>
      </c>
      <c r="L342" s="3">
        <v>0.315</v>
      </c>
      <c r="M342" s="3">
        <v>0.68600000000000005</v>
      </c>
      <c r="N342" s="3">
        <v>13.1</v>
      </c>
      <c r="O342" s="3">
        <v>5</v>
      </c>
      <c r="P342" s="3">
        <v>1.9</v>
      </c>
      <c r="Q342" s="3">
        <v>0.9</v>
      </c>
      <c r="R342" s="3">
        <v>0.4</v>
      </c>
      <c r="S342">
        <f t="shared" si="7"/>
        <v>0.13333333333333333</v>
      </c>
    </row>
    <row r="343" spans="1:19">
      <c r="A343" s="3">
        <v>43</v>
      </c>
      <c r="B343" s="3" t="s">
        <v>41</v>
      </c>
      <c r="C343" s="67" t="s">
        <v>978</v>
      </c>
      <c r="D343" s="3" t="s">
        <v>55</v>
      </c>
      <c r="E343" s="3">
        <v>3</v>
      </c>
      <c r="F343" s="3">
        <v>127</v>
      </c>
      <c r="G343" s="3">
        <v>1077</v>
      </c>
      <c r="H343" s="3">
        <v>429</v>
      </c>
      <c r="I343" s="3">
        <v>130</v>
      </c>
      <c r="J343" s="3">
        <v>119</v>
      </c>
      <c r="K343" s="3">
        <v>0.39300000000000002</v>
      </c>
      <c r="L343" s="3">
        <v>0.29599999999999999</v>
      </c>
      <c r="M343" s="3">
        <v>0.76800000000000002</v>
      </c>
      <c r="N343" s="3">
        <v>8.5</v>
      </c>
      <c r="O343" s="3">
        <v>3.4</v>
      </c>
      <c r="P343" s="3">
        <v>1</v>
      </c>
      <c r="Q343" s="3">
        <v>0.9</v>
      </c>
      <c r="R343" s="3">
        <v>0.4</v>
      </c>
      <c r="S343">
        <f t="shared" si="7"/>
        <v>0.13333333333333333</v>
      </c>
    </row>
    <row r="344" spans="1:19">
      <c r="A344" s="3">
        <v>43</v>
      </c>
      <c r="B344" s="3" t="s">
        <v>99</v>
      </c>
      <c r="C344" s="67" t="s">
        <v>1273</v>
      </c>
      <c r="D344" s="3" t="s">
        <v>63</v>
      </c>
      <c r="E344" s="3">
        <v>3</v>
      </c>
      <c r="F344" s="3">
        <v>36</v>
      </c>
      <c r="G344" s="3">
        <v>534</v>
      </c>
      <c r="H344" s="3">
        <v>140</v>
      </c>
      <c r="I344" s="3">
        <v>65</v>
      </c>
      <c r="J344" s="3">
        <v>51</v>
      </c>
      <c r="K344" s="3">
        <v>0.38200000000000001</v>
      </c>
      <c r="L344" s="3">
        <v>0.29399999999999998</v>
      </c>
      <c r="M344" s="3">
        <v>0.70299999999999996</v>
      </c>
      <c r="N344" s="3">
        <v>14.8</v>
      </c>
      <c r="O344" s="3">
        <v>3.9</v>
      </c>
      <c r="P344" s="3">
        <v>1.8</v>
      </c>
      <c r="Q344" s="3">
        <v>1.4</v>
      </c>
      <c r="R344" s="92">
        <v>0.4</v>
      </c>
      <c r="S344">
        <f t="shared" si="7"/>
        <v>0.13333333333333333</v>
      </c>
    </row>
    <row r="345" spans="1:19" ht="30">
      <c r="A345" s="3">
        <v>32</v>
      </c>
      <c r="B345" s="3" t="s">
        <v>72</v>
      </c>
      <c r="C345" s="67" t="s">
        <v>1329</v>
      </c>
      <c r="D345" s="3" t="s">
        <v>530</v>
      </c>
      <c r="E345" s="3">
        <v>4</v>
      </c>
      <c r="F345" s="3">
        <v>50</v>
      </c>
      <c r="G345" s="3">
        <v>347</v>
      </c>
      <c r="H345" s="3">
        <v>116</v>
      </c>
      <c r="I345" s="3">
        <v>89</v>
      </c>
      <c r="J345" s="3">
        <v>9</v>
      </c>
      <c r="K345" s="3">
        <v>0.45</v>
      </c>
      <c r="L345" s="2"/>
      <c r="M345" s="3">
        <v>0.54500000000000004</v>
      </c>
      <c r="N345" s="3">
        <v>6.9</v>
      </c>
      <c r="O345" s="3">
        <v>2.2999999999999998</v>
      </c>
      <c r="P345" s="3">
        <v>1.8</v>
      </c>
      <c r="Q345" s="3">
        <v>0.2</v>
      </c>
      <c r="R345" s="92">
        <v>0.5</v>
      </c>
      <c r="S345">
        <f t="shared" si="7"/>
        <v>0.125</v>
      </c>
    </row>
    <row r="346" spans="1:19">
      <c r="A346" s="154">
        <v>56</v>
      </c>
      <c r="B346" s="154" t="s">
        <v>76</v>
      </c>
      <c r="C346" s="157" t="s">
        <v>496</v>
      </c>
      <c r="D346" s="43"/>
      <c r="E346" s="154">
        <v>1</v>
      </c>
      <c r="F346" s="154">
        <v>6</v>
      </c>
      <c r="G346" s="154">
        <v>42</v>
      </c>
      <c r="H346" s="154">
        <v>8</v>
      </c>
      <c r="I346" s="154">
        <v>6</v>
      </c>
      <c r="J346" s="154">
        <v>5</v>
      </c>
      <c r="K346" s="154">
        <v>0.42899999999999999</v>
      </c>
      <c r="L346" s="154">
        <v>0</v>
      </c>
      <c r="M346" s="154">
        <v>1</v>
      </c>
      <c r="N346" s="154">
        <v>7</v>
      </c>
      <c r="O346" s="154">
        <v>1.3</v>
      </c>
      <c r="P346" s="154">
        <v>1</v>
      </c>
      <c r="Q346" s="154">
        <v>0.8</v>
      </c>
      <c r="R346" s="154">
        <v>0.1</v>
      </c>
      <c r="S346">
        <f t="shared" si="7"/>
        <v>0.1</v>
      </c>
    </row>
    <row r="347" spans="1:19">
      <c r="A347" s="3">
        <v>59</v>
      </c>
      <c r="B347" s="3" t="s">
        <v>47</v>
      </c>
      <c r="C347" s="67" t="s">
        <v>565</v>
      </c>
      <c r="D347" s="3" t="s">
        <v>182</v>
      </c>
      <c r="E347" s="3">
        <v>2</v>
      </c>
      <c r="F347" s="3">
        <v>4</v>
      </c>
      <c r="G347" s="3">
        <v>74</v>
      </c>
      <c r="H347" s="3">
        <v>39</v>
      </c>
      <c r="I347" s="3">
        <v>16</v>
      </c>
      <c r="J347" s="3">
        <v>13</v>
      </c>
      <c r="K347" s="3">
        <v>0.55200000000000005</v>
      </c>
      <c r="L347" s="3">
        <v>0.41699999999999998</v>
      </c>
      <c r="M347" s="3">
        <v>1</v>
      </c>
      <c r="N347" s="3">
        <v>18.5</v>
      </c>
      <c r="O347" s="3">
        <v>9.8000000000000007</v>
      </c>
      <c r="P347" s="3">
        <v>4</v>
      </c>
      <c r="Q347" s="3">
        <v>3.3</v>
      </c>
      <c r="R347" s="3">
        <v>0.2</v>
      </c>
      <c r="S347">
        <f t="shared" si="7"/>
        <v>0.1</v>
      </c>
    </row>
    <row r="348" spans="1:19" ht="30">
      <c r="A348" s="3">
        <v>56</v>
      </c>
      <c r="B348" s="3" t="s">
        <v>119</v>
      </c>
      <c r="C348" s="67" t="s">
        <v>634</v>
      </c>
      <c r="D348" s="3" t="s">
        <v>635</v>
      </c>
      <c r="E348" s="3">
        <v>1</v>
      </c>
      <c r="F348" s="3">
        <v>7</v>
      </c>
      <c r="G348" s="3">
        <v>27</v>
      </c>
      <c r="H348" s="3">
        <v>18</v>
      </c>
      <c r="I348" s="3">
        <v>1</v>
      </c>
      <c r="J348" s="3">
        <v>3</v>
      </c>
      <c r="K348" s="3">
        <v>0.66700000000000004</v>
      </c>
      <c r="L348" s="3">
        <v>0.5</v>
      </c>
      <c r="M348" s="2">
        <v>0</v>
      </c>
      <c r="N348" s="3">
        <v>3.9</v>
      </c>
      <c r="O348" s="3">
        <v>2.6</v>
      </c>
      <c r="P348" s="3">
        <v>0.1</v>
      </c>
      <c r="Q348" s="3">
        <v>0.4</v>
      </c>
      <c r="R348" s="3">
        <v>0.1</v>
      </c>
      <c r="S348">
        <f t="shared" si="7"/>
        <v>0.1</v>
      </c>
    </row>
    <row r="349" spans="1:19">
      <c r="A349" s="3">
        <v>58</v>
      </c>
      <c r="B349" s="3" t="s">
        <v>23</v>
      </c>
      <c r="C349" s="67" t="s">
        <v>779</v>
      </c>
      <c r="D349" s="3" t="s">
        <v>63</v>
      </c>
      <c r="E349" s="3">
        <v>1</v>
      </c>
      <c r="F349" s="3">
        <v>11</v>
      </c>
      <c r="G349" s="3">
        <v>36</v>
      </c>
      <c r="H349" s="3">
        <v>18</v>
      </c>
      <c r="I349" s="3">
        <v>4</v>
      </c>
      <c r="J349" s="3">
        <v>5</v>
      </c>
      <c r="K349" s="3">
        <v>0.53800000000000003</v>
      </c>
      <c r="L349" s="3">
        <v>0.42899999999999999</v>
      </c>
      <c r="M349" s="3">
        <v>0.5</v>
      </c>
      <c r="N349" s="3">
        <v>3.3</v>
      </c>
      <c r="O349" s="3">
        <v>1.6</v>
      </c>
      <c r="P349" s="3">
        <v>0.4</v>
      </c>
      <c r="Q349" s="3">
        <v>0.5</v>
      </c>
      <c r="R349" s="3">
        <v>0.1</v>
      </c>
      <c r="S349">
        <f t="shared" si="7"/>
        <v>0.1</v>
      </c>
    </row>
    <row r="350" spans="1:19">
      <c r="A350" s="3">
        <v>43</v>
      </c>
      <c r="B350" s="3" t="s">
        <v>184</v>
      </c>
      <c r="C350" s="67" t="s">
        <v>1061</v>
      </c>
      <c r="D350" s="2"/>
      <c r="E350" s="3">
        <v>2</v>
      </c>
      <c r="F350" s="3">
        <v>13</v>
      </c>
      <c r="G350" s="3">
        <v>101</v>
      </c>
      <c r="H350" s="3">
        <v>33</v>
      </c>
      <c r="I350" s="3">
        <v>32</v>
      </c>
      <c r="J350" s="3">
        <v>4</v>
      </c>
      <c r="K350" s="3">
        <v>0.625</v>
      </c>
      <c r="L350" s="2"/>
      <c r="M350" s="3">
        <v>0.27300000000000002</v>
      </c>
      <c r="N350" s="3">
        <v>7.8</v>
      </c>
      <c r="O350" s="3">
        <v>2.5</v>
      </c>
      <c r="P350" s="3">
        <v>2.5</v>
      </c>
      <c r="Q350" s="3">
        <v>0.3</v>
      </c>
      <c r="R350" s="3">
        <v>0.2</v>
      </c>
      <c r="S350">
        <f t="shared" si="7"/>
        <v>0.1</v>
      </c>
    </row>
    <row r="351" spans="1:19" ht="30">
      <c r="A351" s="3">
        <v>55</v>
      </c>
      <c r="B351" s="3" t="s">
        <v>72</v>
      </c>
      <c r="C351" s="67" t="s">
        <v>1073</v>
      </c>
      <c r="D351" s="3" t="s">
        <v>412</v>
      </c>
      <c r="E351" s="3">
        <v>1</v>
      </c>
      <c r="F351" s="3">
        <v>64</v>
      </c>
      <c r="G351" s="3">
        <v>973</v>
      </c>
      <c r="H351" s="3">
        <v>183</v>
      </c>
      <c r="I351" s="3">
        <v>87</v>
      </c>
      <c r="J351" s="3">
        <v>130</v>
      </c>
      <c r="K351" s="3">
        <v>0.34499999999999997</v>
      </c>
      <c r="L351" s="3">
        <v>0.19</v>
      </c>
      <c r="M351" s="3">
        <v>0.54800000000000004</v>
      </c>
      <c r="N351" s="3">
        <v>15.2</v>
      </c>
      <c r="O351" s="3">
        <v>2.9</v>
      </c>
      <c r="P351" s="3">
        <v>1.4</v>
      </c>
      <c r="Q351" s="3">
        <v>2</v>
      </c>
      <c r="R351" s="3">
        <v>0.1</v>
      </c>
      <c r="S351">
        <f t="shared" si="7"/>
        <v>0.1</v>
      </c>
    </row>
    <row r="352" spans="1:19" ht="30">
      <c r="A352" s="3">
        <v>52</v>
      </c>
      <c r="B352" s="3" t="s">
        <v>25</v>
      </c>
      <c r="C352" s="67" t="s">
        <v>1209</v>
      </c>
      <c r="D352" s="2"/>
      <c r="E352" s="3">
        <v>2</v>
      </c>
      <c r="F352" s="3">
        <v>37</v>
      </c>
      <c r="G352" s="3">
        <v>164</v>
      </c>
      <c r="H352" s="3">
        <v>35</v>
      </c>
      <c r="I352" s="3">
        <v>38</v>
      </c>
      <c r="J352" s="3">
        <v>8</v>
      </c>
      <c r="K352" s="3">
        <v>0.52</v>
      </c>
      <c r="L352" s="2"/>
      <c r="M352" s="3">
        <v>0.6</v>
      </c>
      <c r="N352" s="3">
        <v>4.4000000000000004</v>
      </c>
      <c r="O352" s="3">
        <v>0.9</v>
      </c>
      <c r="P352" s="3">
        <v>1</v>
      </c>
      <c r="Q352" s="3">
        <v>0.2</v>
      </c>
      <c r="R352" s="3">
        <v>0.2</v>
      </c>
      <c r="S352">
        <f t="shared" si="7"/>
        <v>0.1</v>
      </c>
    </row>
    <row r="353" spans="1:19">
      <c r="A353" s="3">
        <v>47</v>
      </c>
      <c r="B353" s="3" t="s">
        <v>28</v>
      </c>
      <c r="C353" s="67" t="s">
        <v>1277</v>
      </c>
      <c r="D353" s="3" t="s">
        <v>49</v>
      </c>
      <c r="E353" s="3">
        <v>1</v>
      </c>
      <c r="F353" s="3">
        <v>10</v>
      </c>
      <c r="G353" s="3">
        <v>45</v>
      </c>
      <c r="H353" s="3">
        <v>14</v>
      </c>
      <c r="I353" s="3">
        <v>9</v>
      </c>
      <c r="J353" s="3">
        <v>5</v>
      </c>
      <c r="K353" s="3">
        <v>0.35699999999999998</v>
      </c>
      <c r="L353" s="2"/>
      <c r="M353" s="3">
        <v>0.44400000000000001</v>
      </c>
      <c r="N353" s="3">
        <v>4.5</v>
      </c>
      <c r="O353" s="3">
        <v>1.4</v>
      </c>
      <c r="P353" s="3">
        <v>0.9</v>
      </c>
      <c r="Q353" s="3">
        <v>0.5</v>
      </c>
      <c r="R353" s="92">
        <v>0.1</v>
      </c>
      <c r="S353">
        <f t="shared" si="7"/>
        <v>0.1</v>
      </c>
    </row>
    <row r="354" spans="1:19">
      <c r="A354" s="3">
        <v>57</v>
      </c>
      <c r="B354" s="3" t="s">
        <v>41</v>
      </c>
      <c r="C354" s="67" t="s">
        <v>1354</v>
      </c>
      <c r="D354" s="3" t="s">
        <v>182</v>
      </c>
      <c r="E354" s="3">
        <v>1</v>
      </c>
      <c r="F354" s="3">
        <v>5</v>
      </c>
      <c r="G354" s="3">
        <v>17</v>
      </c>
      <c r="H354" s="3">
        <v>8</v>
      </c>
      <c r="I354" s="3">
        <v>2</v>
      </c>
      <c r="J354" s="3">
        <v>0</v>
      </c>
      <c r="K354" s="3">
        <v>0.8</v>
      </c>
      <c r="L354" s="2"/>
      <c r="M354" s="2"/>
      <c r="N354" s="3">
        <v>3.4</v>
      </c>
      <c r="O354" s="3">
        <v>1.6</v>
      </c>
      <c r="P354" s="3">
        <v>0.4</v>
      </c>
      <c r="Q354" s="3">
        <v>0</v>
      </c>
      <c r="R354" s="92">
        <v>0.1</v>
      </c>
      <c r="S354">
        <f t="shared" si="7"/>
        <v>0.1</v>
      </c>
    </row>
    <row r="355" spans="1:19" ht="30">
      <c r="A355" s="3">
        <v>32</v>
      </c>
      <c r="B355" s="3" t="s">
        <v>69</v>
      </c>
      <c r="C355" s="67" t="s">
        <v>1399</v>
      </c>
      <c r="D355" s="3" t="s">
        <v>381</v>
      </c>
      <c r="E355" s="3">
        <v>2</v>
      </c>
      <c r="F355" s="3">
        <v>65</v>
      </c>
      <c r="G355" s="3">
        <v>786</v>
      </c>
      <c r="H355" s="3">
        <v>351</v>
      </c>
      <c r="I355" s="3">
        <v>108</v>
      </c>
      <c r="J355" s="3">
        <v>48</v>
      </c>
      <c r="K355" s="3">
        <v>0.441</v>
      </c>
      <c r="L355" s="3">
        <v>0.28399999999999997</v>
      </c>
      <c r="M355" s="3">
        <v>0.73</v>
      </c>
      <c r="N355" s="3">
        <v>12.1</v>
      </c>
      <c r="O355" s="3">
        <v>5.4</v>
      </c>
      <c r="P355" s="3">
        <v>1.7</v>
      </c>
      <c r="Q355" s="3">
        <v>0.7</v>
      </c>
      <c r="R355" s="90">
        <v>0.2</v>
      </c>
      <c r="S355">
        <f t="shared" si="7"/>
        <v>0.1</v>
      </c>
    </row>
    <row r="356" spans="1:19">
      <c r="A356" s="61">
        <v>41</v>
      </c>
      <c r="B356" s="61" t="s">
        <v>41</v>
      </c>
      <c r="C356" s="66" t="s">
        <v>1464</v>
      </c>
      <c r="D356" s="65"/>
      <c r="E356" s="61">
        <v>2</v>
      </c>
      <c r="F356" s="61">
        <v>45</v>
      </c>
      <c r="G356" s="61">
        <v>431</v>
      </c>
      <c r="H356" s="61">
        <v>126</v>
      </c>
      <c r="I356" s="61">
        <v>106</v>
      </c>
      <c r="J356" s="61">
        <v>24</v>
      </c>
      <c r="K356" s="61">
        <v>0.435</v>
      </c>
      <c r="L356" s="61">
        <v>0</v>
      </c>
      <c r="M356" s="61">
        <v>0.68400000000000005</v>
      </c>
      <c r="N356" s="50">
        <v>9.6</v>
      </c>
      <c r="O356" s="61">
        <v>2.8</v>
      </c>
      <c r="P356" s="61">
        <v>2.4</v>
      </c>
      <c r="Q356" s="61">
        <v>0.5</v>
      </c>
      <c r="R356" s="92">
        <v>0.2</v>
      </c>
      <c r="S356">
        <f t="shared" si="7"/>
        <v>0.1</v>
      </c>
    </row>
    <row r="357" spans="1:19">
      <c r="A357" s="51">
        <v>42</v>
      </c>
      <c r="B357" s="51" t="s">
        <v>124</v>
      </c>
      <c r="C357" s="112" t="s">
        <v>1465</v>
      </c>
      <c r="D357" s="51" t="s">
        <v>592</v>
      </c>
      <c r="E357" s="51">
        <v>1</v>
      </c>
      <c r="F357" s="51">
        <v>2</v>
      </c>
      <c r="G357" s="51">
        <v>37</v>
      </c>
      <c r="H357" s="51">
        <v>10</v>
      </c>
      <c r="I357" s="51">
        <v>11</v>
      </c>
      <c r="J357" s="51">
        <v>1</v>
      </c>
      <c r="K357" s="51">
        <v>0.27300000000000002</v>
      </c>
      <c r="L357" s="51">
        <v>0</v>
      </c>
      <c r="M357" s="51">
        <v>1</v>
      </c>
      <c r="N357" s="51">
        <v>18.5</v>
      </c>
      <c r="O357" s="51">
        <v>5</v>
      </c>
      <c r="P357" s="51">
        <v>5.5</v>
      </c>
      <c r="Q357" s="51">
        <v>0.5</v>
      </c>
      <c r="R357" s="92">
        <v>0.1</v>
      </c>
      <c r="S357">
        <f t="shared" si="7"/>
        <v>0.1</v>
      </c>
    </row>
    <row r="358" spans="1:19" ht="30">
      <c r="A358" s="3">
        <v>33</v>
      </c>
      <c r="B358" s="3" t="s">
        <v>66</v>
      </c>
      <c r="C358" s="67" t="s">
        <v>675</v>
      </c>
      <c r="D358" s="3" t="s">
        <v>143</v>
      </c>
      <c r="E358" s="3">
        <v>3</v>
      </c>
      <c r="F358" s="3">
        <v>72</v>
      </c>
      <c r="G358" s="3">
        <v>706</v>
      </c>
      <c r="H358" s="3">
        <v>267</v>
      </c>
      <c r="I358" s="3">
        <v>79</v>
      </c>
      <c r="J358" s="3">
        <v>52</v>
      </c>
      <c r="K358" s="3">
        <v>0.36399999999999999</v>
      </c>
      <c r="L358" s="3">
        <v>0.29699999999999999</v>
      </c>
      <c r="M358" s="3">
        <v>0.75800000000000001</v>
      </c>
      <c r="N358" s="3">
        <v>9.8000000000000007</v>
      </c>
      <c r="O358" s="3">
        <v>3.7</v>
      </c>
      <c r="P358" s="3">
        <v>1.1000000000000001</v>
      </c>
      <c r="Q358" s="3">
        <v>0.7</v>
      </c>
      <c r="R358" s="3">
        <v>0.3</v>
      </c>
      <c r="S358">
        <f t="shared" si="7"/>
        <v>9.9999999999999992E-2</v>
      </c>
    </row>
    <row r="359" spans="1:19">
      <c r="A359" s="3">
        <v>38</v>
      </c>
      <c r="B359" s="3" t="s">
        <v>34</v>
      </c>
      <c r="C359" s="67" t="s">
        <v>975</v>
      </c>
      <c r="D359" s="3" t="s">
        <v>22</v>
      </c>
      <c r="E359" s="3">
        <v>3</v>
      </c>
      <c r="F359" s="3">
        <v>91</v>
      </c>
      <c r="G359" s="3">
        <v>859</v>
      </c>
      <c r="H359" s="3">
        <v>295</v>
      </c>
      <c r="I359" s="3">
        <v>85</v>
      </c>
      <c r="J359" s="3">
        <v>71</v>
      </c>
      <c r="K359" s="3">
        <v>0.377</v>
      </c>
      <c r="L359" s="3">
        <v>0.30399999999999999</v>
      </c>
      <c r="M359" s="3">
        <v>0.747</v>
      </c>
      <c r="N359" s="3">
        <v>9.4</v>
      </c>
      <c r="O359" s="3">
        <v>3.2</v>
      </c>
      <c r="P359" s="3">
        <v>0.9</v>
      </c>
      <c r="Q359" s="3">
        <v>0.8</v>
      </c>
      <c r="R359" s="3">
        <v>0.3</v>
      </c>
      <c r="S359">
        <f t="shared" si="7"/>
        <v>9.9999999999999992E-2</v>
      </c>
    </row>
    <row r="360" spans="1:19">
      <c r="A360" s="3">
        <v>39</v>
      </c>
      <c r="B360" s="3" t="s">
        <v>1095</v>
      </c>
      <c r="C360" s="67" t="s">
        <v>1270</v>
      </c>
      <c r="D360" s="2"/>
      <c r="E360" s="3">
        <v>3</v>
      </c>
      <c r="F360" s="3">
        <v>104</v>
      </c>
      <c r="G360" s="3">
        <v>1034</v>
      </c>
      <c r="H360" s="3">
        <v>373</v>
      </c>
      <c r="I360" s="3">
        <v>269</v>
      </c>
      <c r="J360" s="3">
        <v>25</v>
      </c>
      <c r="K360" s="3">
        <v>0.45</v>
      </c>
      <c r="L360" s="3">
        <v>0</v>
      </c>
      <c r="M360" s="3">
        <v>0.55700000000000005</v>
      </c>
      <c r="N360" s="3">
        <v>9.9</v>
      </c>
      <c r="O360" s="3">
        <v>3.6</v>
      </c>
      <c r="P360" s="3">
        <v>2.6</v>
      </c>
      <c r="Q360" s="3">
        <v>0.2</v>
      </c>
      <c r="R360" s="92">
        <v>0.3</v>
      </c>
      <c r="S360">
        <f t="shared" si="7"/>
        <v>9.9999999999999992E-2</v>
      </c>
    </row>
    <row r="361" spans="1:19">
      <c r="A361" s="3">
        <v>43</v>
      </c>
      <c r="B361" s="3" t="s">
        <v>44</v>
      </c>
      <c r="C361" s="67" t="s">
        <v>552</v>
      </c>
      <c r="D361" s="3" t="s">
        <v>530</v>
      </c>
      <c r="E361" s="3">
        <v>3</v>
      </c>
      <c r="F361" s="3">
        <v>70</v>
      </c>
      <c r="G361" s="3">
        <v>773</v>
      </c>
      <c r="H361" s="3">
        <v>268</v>
      </c>
      <c r="I361" s="3">
        <v>163</v>
      </c>
      <c r="J361" s="3">
        <v>42</v>
      </c>
      <c r="K361" s="3">
        <v>0.42399999999999999</v>
      </c>
      <c r="L361" s="3">
        <v>0.29599999999999999</v>
      </c>
      <c r="M361" s="3">
        <v>0.61599999999999999</v>
      </c>
      <c r="N361" s="3">
        <v>11</v>
      </c>
      <c r="O361" s="3">
        <v>3.8</v>
      </c>
      <c r="P361" s="3">
        <v>2.2999999999999998</v>
      </c>
      <c r="Q361" s="3">
        <v>0.6</v>
      </c>
      <c r="R361" s="3">
        <v>0.2</v>
      </c>
      <c r="S361">
        <f t="shared" ref="S361:S424" si="8">R361/E361</f>
        <v>6.6666666666666666E-2</v>
      </c>
    </row>
    <row r="362" spans="1:19" ht="30">
      <c r="A362" s="3">
        <v>32</v>
      </c>
      <c r="B362" s="3" t="s">
        <v>119</v>
      </c>
      <c r="C362" s="67" t="s">
        <v>612</v>
      </c>
      <c r="D362" s="3" t="s">
        <v>171</v>
      </c>
      <c r="E362" s="3">
        <v>3</v>
      </c>
      <c r="F362" s="3">
        <v>37</v>
      </c>
      <c r="G362" s="3">
        <v>187</v>
      </c>
      <c r="H362" s="3">
        <v>72</v>
      </c>
      <c r="I362" s="3">
        <v>50</v>
      </c>
      <c r="J362" s="3">
        <v>5</v>
      </c>
      <c r="K362" s="3">
        <v>0.47399999999999998</v>
      </c>
      <c r="L362" s="3">
        <v>0.14299999999999999</v>
      </c>
      <c r="M362" s="3">
        <v>0.65400000000000003</v>
      </c>
      <c r="N362" s="3">
        <v>5.0999999999999996</v>
      </c>
      <c r="O362" s="3">
        <v>1.9</v>
      </c>
      <c r="P362" s="3">
        <v>1.4</v>
      </c>
      <c r="Q362" s="3">
        <v>0.1</v>
      </c>
      <c r="R362" s="3">
        <v>0.2</v>
      </c>
      <c r="S362">
        <f t="shared" si="8"/>
        <v>6.6666666666666666E-2</v>
      </c>
    </row>
    <row r="363" spans="1:19" ht="30">
      <c r="A363" s="3">
        <v>49</v>
      </c>
      <c r="B363" s="3" t="s">
        <v>79</v>
      </c>
      <c r="C363" s="67" t="s">
        <v>690</v>
      </c>
      <c r="D363" s="3" t="s">
        <v>619</v>
      </c>
      <c r="E363" s="3">
        <v>3</v>
      </c>
      <c r="F363" s="3">
        <v>42</v>
      </c>
      <c r="G363" s="3">
        <v>272</v>
      </c>
      <c r="H363" s="3">
        <v>88</v>
      </c>
      <c r="I363" s="3">
        <v>32</v>
      </c>
      <c r="J363" s="3">
        <v>24</v>
      </c>
      <c r="K363" s="3">
        <v>0.45200000000000001</v>
      </c>
      <c r="L363" s="3">
        <v>0.188</v>
      </c>
      <c r="M363" s="3">
        <v>0.82599999999999996</v>
      </c>
      <c r="N363" s="3">
        <v>6.5</v>
      </c>
      <c r="O363" s="3">
        <v>2.1</v>
      </c>
      <c r="P363" s="3">
        <v>0.8</v>
      </c>
      <c r="Q363" s="3">
        <v>0.6</v>
      </c>
      <c r="R363" s="3">
        <v>0.2</v>
      </c>
      <c r="S363">
        <f t="shared" si="8"/>
        <v>6.6666666666666666E-2</v>
      </c>
    </row>
    <row r="364" spans="1:19" ht="30">
      <c r="A364" s="3">
        <v>45</v>
      </c>
      <c r="B364" s="3" t="s">
        <v>190</v>
      </c>
      <c r="C364" s="67" t="s">
        <v>908</v>
      </c>
      <c r="D364" s="3" t="s">
        <v>117</v>
      </c>
      <c r="E364" s="3">
        <v>3</v>
      </c>
      <c r="F364" s="3">
        <v>26</v>
      </c>
      <c r="G364" s="3">
        <v>136</v>
      </c>
      <c r="H364" s="3">
        <v>48</v>
      </c>
      <c r="I364" s="3">
        <v>19</v>
      </c>
      <c r="J364" s="3">
        <v>17</v>
      </c>
      <c r="K364" s="3">
        <v>0.48599999999999999</v>
      </c>
      <c r="L364" s="3">
        <v>0.28599999999999998</v>
      </c>
      <c r="M364" s="3">
        <v>0.66700000000000004</v>
      </c>
      <c r="N364" s="3">
        <v>5.2</v>
      </c>
      <c r="O364" s="3">
        <v>1.8</v>
      </c>
      <c r="P364" s="3">
        <v>0.7</v>
      </c>
      <c r="Q364" s="3">
        <v>0.7</v>
      </c>
      <c r="R364" s="3">
        <v>0.2</v>
      </c>
      <c r="S364">
        <f t="shared" si="8"/>
        <v>6.6666666666666666E-2</v>
      </c>
    </row>
    <row r="365" spans="1:19">
      <c r="A365" s="154">
        <v>41</v>
      </c>
      <c r="B365" s="154" t="s">
        <v>44</v>
      </c>
      <c r="C365" s="157" t="s">
        <v>483</v>
      </c>
      <c r="D365" s="154" t="s">
        <v>404</v>
      </c>
      <c r="E365" s="154">
        <v>2</v>
      </c>
      <c r="F365" s="154">
        <v>14</v>
      </c>
      <c r="G365" s="154">
        <v>54</v>
      </c>
      <c r="H365" s="154">
        <v>19</v>
      </c>
      <c r="I365" s="154">
        <v>10</v>
      </c>
      <c r="J365" s="154">
        <v>4</v>
      </c>
      <c r="K365" s="154">
        <v>0.42899999999999999</v>
      </c>
      <c r="L365" s="154">
        <v>0.27300000000000002</v>
      </c>
      <c r="M365" s="154">
        <v>1</v>
      </c>
      <c r="N365" s="154">
        <v>3.9</v>
      </c>
      <c r="O365" s="154">
        <v>1.4</v>
      </c>
      <c r="P365" s="154">
        <v>0.7</v>
      </c>
      <c r="Q365" s="154">
        <v>0.3</v>
      </c>
      <c r="R365" s="154">
        <v>0.1</v>
      </c>
      <c r="S365">
        <f t="shared" si="8"/>
        <v>0.05</v>
      </c>
    </row>
    <row r="366" spans="1:19">
      <c r="A366" s="154">
        <v>48</v>
      </c>
      <c r="B366" s="154" t="s">
        <v>135</v>
      </c>
      <c r="C366" s="157" t="s">
        <v>489</v>
      </c>
      <c r="D366" s="154" t="s">
        <v>208</v>
      </c>
      <c r="E366" s="154">
        <v>2</v>
      </c>
      <c r="F366" s="154">
        <v>21</v>
      </c>
      <c r="G366" s="154">
        <v>103</v>
      </c>
      <c r="H366" s="154">
        <v>30</v>
      </c>
      <c r="I366" s="154">
        <v>11</v>
      </c>
      <c r="J366" s="154">
        <v>8</v>
      </c>
      <c r="K366" s="154">
        <v>0.54500000000000004</v>
      </c>
      <c r="L366" s="154">
        <v>0</v>
      </c>
      <c r="M366" s="154">
        <v>0.6</v>
      </c>
      <c r="N366" s="154">
        <v>4.9000000000000004</v>
      </c>
      <c r="O366" s="154">
        <v>1.4</v>
      </c>
      <c r="P366" s="154">
        <v>0.5</v>
      </c>
      <c r="Q366" s="154">
        <v>0.4</v>
      </c>
      <c r="R366" s="154">
        <v>0.1</v>
      </c>
      <c r="S366">
        <f t="shared" si="8"/>
        <v>0.05</v>
      </c>
    </row>
    <row r="367" spans="1:19">
      <c r="A367" s="154">
        <v>51</v>
      </c>
      <c r="B367" s="154" t="s">
        <v>25</v>
      </c>
      <c r="C367" s="157" t="s">
        <v>492</v>
      </c>
      <c r="D367" s="154" t="s">
        <v>300</v>
      </c>
      <c r="E367" s="154">
        <v>2</v>
      </c>
      <c r="F367" s="154">
        <v>50</v>
      </c>
      <c r="G367" s="154">
        <v>787</v>
      </c>
      <c r="H367" s="154">
        <v>293</v>
      </c>
      <c r="I367" s="154">
        <v>146</v>
      </c>
      <c r="J367" s="154">
        <v>61</v>
      </c>
      <c r="K367" s="154">
        <v>0.39700000000000002</v>
      </c>
      <c r="L367" s="154">
        <v>0.33800000000000002</v>
      </c>
      <c r="M367" s="154">
        <v>0.71899999999999997</v>
      </c>
      <c r="N367" s="154">
        <v>15.7</v>
      </c>
      <c r="O367" s="154">
        <v>5.9</v>
      </c>
      <c r="P367" s="154">
        <v>2.9</v>
      </c>
      <c r="Q367" s="154">
        <v>1.2</v>
      </c>
      <c r="R367" s="154">
        <v>0.1</v>
      </c>
      <c r="S367">
        <f t="shared" si="8"/>
        <v>0.05</v>
      </c>
    </row>
    <row r="368" spans="1:19" ht="30">
      <c r="A368" s="3">
        <v>33</v>
      </c>
      <c r="B368" s="3" t="s">
        <v>179</v>
      </c>
      <c r="C368" s="67" t="s">
        <v>545</v>
      </c>
      <c r="D368" s="3" t="s">
        <v>546</v>
      </c>
      <c r="E368" s="3">
        <v>2</v>
      </c>
      <c r="F368" s="3">
        <v>21</v>
      </c>
      <c r="G368" s="3">
        <v>195</v>
      </c>
      <c r="H368" s="3">
        <v>53</v>
      </c>
      <c r="I368" s="3">
        <v>39</v>
      </c>
      <c r="J368" s="3">
        <v>43</v>
      </c>
      <c r="K368" s="3">
        <v>0.4</v>
      </c>
      <c r="L368" s="3">
        <v>0.23799999999999999</v>
      </c>
      <c r="M368" s="3">
        <v>0</v>
      </c>
      <c r="N368" s="3">
        <v>9.3000000000000007</v>
      </c>
      <c r="O368" s="3">
        <v>2.5</v>
      </c>
      <c r="P368" s="3">
        <v>1.9</v>
      </c>
      <c r="Q368" s="3">
        <v>2</v>
      </c>
      <c r="R368" s="3">
        <v>0.1</v>
      </c>
      <c r="S368">
        <f t="shared" si="8"/>
        <v>0.05</v>
      </c>
    </row>
    <row r="369" spans="1:19">
      <c r="A369" s="3">
        <v>41</v>
      </c>
      <c r="B369" s="3" t="s">
        <v>79</v>
      </c>
      <c r="C369" s="67" t="s">
        <v>550</v>
      </c>
      <c r="D369" s="3" t="s">
        <v>397</v>
      </c>
      <c r="E369" s="3">
        <v>2</v>
      </c>
      <c r="F369" s="3">
        <v>38</v>
      </c>
      <c r="G369" s="3">
        <v>255</v>
      </c>
      <c r="H369" s="3">
        <v>70</v>
      </c>
      <c r="I369" s="3">
        <v>18</v>
      </c>
      <c r="J369" s="3">
        <v>12</v>
      </c>
      <c r="K369" s="3">
        <v>0.32900000000000001</v>
      </c>
      <c r="L369" s="3">
        <v>0.309</v>
      </c>
      <c r="M369" s="3">
        <v>0.53800000000000003</v>
      </c>
      <c r="N369" s="3">
        <v>6.7</v>
      </c>
      <c r="O369" s="3">
        <v>1.8</v>
      </c>
      <c r="P369" s="3">
        <v>0.5</v>
      </c>
      <c r="Q369" s="3">
        <v>0.3</v>
      </c>
      <c r="R369" s="3">
        <v>0.1</v>
      </c>
      <c r="S369">
        <f t="shared" si="8"/>
        <v>0.05</v>
      </c>
    </row>
    <row r="370" spans="1:19" ht="30">
      <c r="A370" s="3">
        <v>53</v>
      </c>
      <c r="B370" s="3" t="s">
        <v>82</v>
      </c>
      <c r="C370" s="67" t="s">
        <v>630</v>
      </c>
      <c r="D370" s="3" t="s">
        <v>27</v>
      </c>
      <c r="E370" s="3">
        <v>2</v>
      </c>
      <c r="F370" s="3">
        <v>29</v>
      </c>
      <c r="G370" s="3">
        <v>137</v>
      </c>
      <c r="H370" s="3">
        <v>55</v>
      </c>
      <c r="I370" s="3">
        <v>10</v>
      </c>
      <c r="J370" s="3">
        <v>19</v>
      </c>
      <c r="K370" s="3">
        <v>0.40899999999999997</v>
      </c>
      <c r="L370" s="3">
        <v>0.435</v>
      </c>
      <c r="M370" s="3">
        <v>0.9</v>
      </c>
      <c r="N370" s="3">
        <v>4.7</v>
      </c>
      <c r="O370" s="3">
        <v>1.9</v>
      </c>
      <c r="P370" s="3">
        <v>0.3</v>
      </c>
      <c r="Q370" s="3">
        <v>0.7</v>
      </c>
      <c r="R370" s="3">
        <v>0.1</v>
      </c>
      <c r="S370">
        <f t="shared" si="8"/>
        <v>0.05</v>
      </c>
    </row>
    <row r="371" spans="1:19">
      <c r="A371" s="3">
        <v>57</v>
      </c>
      <c r="B371" s="3" t="s">
        <v>44</v>
      </c>
      <c r="C371" s="67" t="s">
        <v>699</v>
      </c>
      <c r="D371" s="3" t="s">
        <v>115</v>
      </c>
      <c r="E371" s="3">
        <v>2</v>
      </c>
      <c r="F371" s="3">
        <v>24</v>
      </c>
      <c r="G371" s="3">
        <v>249</v>
      </c>
      <c r="H371" s="3">
        <v>68</v>
      </c>
      <c r="I371" s="3">
        <v>28</v>
      </c>
      <c r="J371" s="3">
        <v>26</v>
      </c>
      <c r="K371" s="3">
        <v>0.378</v>
      </c>
      <c r="L371" s="3">
        <v>0.28599999999999998</v>
      </c>
      <c r="M371" s="2">
        <v>0</v>
      </c>
      <c r="N371" s="3">
        <v>10.4</v>
      </c>
      <c r="O371" s="3">
        <v>2.8</v>
      </c>
      <c r="P371" s="3">
        <v>1.2</v>
      </c>
      <c r="Q371" s="3">
        <v>1.1000000000000001</v>
      </c>
      <c r="R371" s="3">
        <v>0.1</v>
      </c>
      <c r="S371">
        <f t="shared" si="8"/>
        <v>0.05</v>
      </c>
    </row>
    <row r="372" spans="1:19">
      <c r="A372" s="3">
        <v>56</v>
      </c>
      <c r="B372" s="3" t="s">
        <v>66</v>
      </c>
      <c r="C372" s="67" t="s">
        <v>776</v>
      </c>
      <c r="D372" s="3" t="s">
        <v>61</v>
      </c>
      <c r="E372" s="3">
        <v>2</v>
      </c>
      <c r="F372" s="3">
        <v>16</v>
      </c>
      <c r="G372" s="3">
        <v>167</v>
      </c>
      <c r="H372" s="3">
        <v>58</v>
      </c>
      <c r="I372" s="3">
        <v>52</v>
      </c>
      <c r="J372" s="3">
        <v>5</v>
      </c>
      <c r="K372" s="3">
        <v>0.52900000000000003</v>
      </c>
      <c r="L372" s="3">
        <v>0</v>
      </c>
      <c r="M372" s="3">
        <v>0.28599999999999998</v>
      </c>
      <c r="N372" s="3">
        <v>10.4</v>
      </c>
      <c r="O372" s="3">
        <v>3.6</v>
      </c>
      <c r="P372" s="3">
        <v>3.3</v>
      </c>
      <c r="Q372" s="3">
        <v>0.3</v>
      </c>
      <c r="R372" s="3">
        <v>0.1</v>
      </c>
      <c r="S372">
        <f t="shared" si="8"/>
        <v>0.05</v>
      </c>
    </row>
    <row r="373" spans="1:19" ht="30">
      <c r="A373" s="3">
        <v>37</v>
      </c>
      <c r="B373" s="3" t="s">
        <v>52</v>
      </c>
      <c r="C373" s="67" t="s">
        <v>899</v>
      </c>
      <c r="D373" s="3" t="s">
        <v>61</v>
      </c>
      <c r="E373" s="3">
        <v>2</v>
      </c>
      <c r="F373" s="3">
        <v>6</v>
      </c>
      <c r="G373" s="3">
        <v>74</v>
      </c>
      <c r="H373" s="3">
        <v>18</v>
      </c>
      <c r="I373" s="3">
        <v>14</v>
      </c>
      <c r="J373" s="3">
        <v>4</v>
      </c>
      <c r="K373" s="3">
        <v>0.58299999999999996</v>
      </c>
      <c r="L373" s="2">
        <v>0</v>
      </c>
      <c r="M373" s="3">
        <v>1</v>
      </c>
      <c r="N373" s="3">
        <v>12.3</v>
      </c>
      <c r="O373" s="3">
        <v>3</v>
      </c>
      <c r="P373" s="3">
        <v>2.2999999999999998</v>
      </c>
      <c r="Q373" s="3">
        <v>0.7</v>
      </c>
      <c r="R373" s="3">
        <v>0.1</v>
      </c>
      <c r="S373">
        <f t="shared" si="8"/>
        <v>0.05</v>
      </c>
    </row>
    <row r="374" spans="1:19" ht="30">
      <c r="A374" s="3">
        <v>36</v>
      </c>
      <c r="B374" s="3" t="s">
        <v>57</v>
      </c>
      <c r="C374" s="67" t="s">
        <v>1058</v>
      </c>
      <c r="D374" s="3" t="s">
        <v>145</v>
      </c>
      <c r="E374" s="3">
        <v>4</v>
      </c>
      <c r="F374" s="3">
        <v>147</v>
      </c>
      <c r="G374" s="3">
        <v>1684</v>
      </c>
      <c r="H374" s="3">
        <v>509</v>
      </c>
      <c r="I374" s="3">
        <v>352</v>
      </c>
      <c r="J374" s="3">
        <v>69</v>
      </c>
      <c r="K374" s="3">
        <v>0.40200000000000002</v>
      </c>
      <c r="L374" s="3">
        <v>0.36</v>
      </c>
      <c r="M374" s="3">
        <v>0.66300000000000003</v>
      </c>
      <c r="N374" s="3">
        <v>11.5</v>
      </c>
      <c r="O374" s="3">
        <v>3.5</v>
      </c>
      <c r="P374" s="3">
        <v>2.4</v>
      </c>
      <c r="Q374" s="3">
        <v>0.5</v>
      </c>
      <c r="R374" s="3">
        <v>0.2</v>
      </c>
      <c r="S374">
        <f t="shared" si="8"/>
        <v>0.05</v>
      </c>
    </row>
    <row r="375" spans="1:19" ht="30">
      <c r="A375" s="3">
        <v>48</v>
      </c>
      <c r="B375" s="3" t="s">
        <v>57</v>
      </c>
      <c r="C375" s="67" t="s">
        <v>1064</v>
      </c>
      <c r="D375" s="3" t="s">
        <v>219</v>
      </c>
      <c r="E375" s="3">
        <v>2</v>
      </c>
      <c r="F375" s="3">
        <v>40</v>
      </c>
      <c r="G375" s="3">
        <v>435</v>
      </c>
      <c r="H375" s="3">
        <v>93</v>
      </c>
      <c r="I375" s="3">
        <v>57</v>
      </c>
      <c r="J375" s="3">
        <v>45</v>
      </c>
      <c r="K375" s="3">
        <v>0.32600000000000001</v>
      </c>
      <c r="L375" s="3">
        <v>0.23599999999999999</v>
      </c>
      <c r="M375" s="3">
        <v>0.72</v>
      </c>
      <c r="N375" s="3">
        <v>10.9</v>
      </c>
      <c r="O375" s="3">
        <v>2.2999999999999998</v>
      </c>
      <c r="P375" s="3">
        <v>1.4</v>
      </c>
      <c r="Q375" s="3">
        <v>1.1000000000000001</v>
      </c>
      <c r="R375" s="3">
        <v>0.1</v>
      </c>
      <c r="S375">
        <f t="shared" si="8"/>
        <v>0.05</v>
      </c>
    </row>
    <row r="376" spans="1:19">
      <c r="A376" s="3">
        <v>46</v>
      </c>
      <c r="B376" s="3" t="s">
        <v>193</v>
      </c>
      <c r="C376" s="67" t="s">
        <v>1141</v>
      </c>
      <c r="D376" s="3" t="s">
        <v>660</v>
      </c>
      <c r="E376" s="3">
        <v>2</v>
      </c>
      <c r="F376" s="3">
        <v>52</v>
      </c>
      <c r="G376" s="3">
        <v>452</v>
      </c>
      <c r="H376" s="3">
        <v>159</v>
      </c>
      <c r="I376" s="3">
        <v>37</v>
      </c>
      <c r="J376" s="3">
        <v>42</v>
      </c>
      <c r="K376" s="3">
        <v>0.377</v>
      </c>
      <c r="L376" s="3">
        <v>0.28799999999999998</v>
      </c>
      <c r="M376" s="3">
        <v>0.85699999999999998</v>
      </c>
      <c r="N376" s="3">
        <v>8.6999999999999993</v>
      </c>
      <c r="O376" s="3">
        <v>3.1</v>
      </c>
      <c r="P376" s="3">
        <v>0.7</v>
      </c>
      <c r="Q376" s="3">
        <v>0.8</v>
      </c>
      <c r="R376" s="3">
        <v>0.1</v>
      </c>
      <c r="S376">
        <f t="shared" si="8"/>
        <v>0.05</v>
      </c>
    </row>
    <row r="377" spans="1:19">
      <c r="A377" s="3">
        <v>42</v>
      </c>
      <c r="B377" s="3" t="s">
        <v>57</v>
      </c>
      <c r="C377" s="67" t="s">
        <v>1200</v>
      </c>
      <c r="D377" s="3" t="s">
        <v>173</v>
      </c>
      <c r="E377" s="3">
        <v>2</v>
      </c>
      <c r="F377" s="3">
        <v>100</v>
      </c>
      <c r="G377" s="3">
        <v>1272</v>
      </c>
      <c r="H377" s="3">
        <v>345</v>
      </c>
      <c r="I377" s="3">
        <v>95</v>
      </c>
      <c r="J377" s="3">
        <v>75</v>
      </c>
      <c r="K377" s="3">
        <v>0.38100000000000001</v>
      </c>
      <c r="L377" s="3">
        <v>0.39400000000000002</v>
      </c>
      <c r="M377" s="3">
        <v>0.7</v>
      </c>
      <c r="N377" s="3">
        <v>12.7</v>
      </c>
      <c r="O377" s="3">
        <v>3.5</v>
      </c>
      <c r="P377" s="3">
        <v>1</v>
      </c>
      <c r="Q377" s="3">
        <v>0.8</v>
      </c>
      <c r="R377" s="3">
        <v>0.1</v>
      </c>
      <c r="S377">
        <f t="shared" si="8"/>
        <v>0.05</v>
      </c>
    </row>
    <row r="378" spans="1:19" ht="45">
      <c r="A378" s="3">
        <v>58</v>
      </c>
      <c r="B378" s="3" t="s">
        <v>190</v>
      </c>
      <c r="C378" s="67" t="s">
        <v>1417</v>
      </c>
      <c r="D378" s="3" t="s">
        <v>1418</v>
      </c>
      <c r="E378" s="3">
        <v>4</v>
      </c>
      <c r="F378" s="3">
        <v>57</v>
      </c>
      <c r="G378" s="3">
        <v>594</v>
      </c>
      <c r="H378" s="3">
        <v>268</v>
      </c>
      <c r="I378" s="3">
        <v>77</v>
      </c>
      <c r="J378" s="3">
        <v>71</v>
      </c>
      <c r="K378" s="3">
        <v>0.375</v>
      </c>
      <c r="L378" s="3">
        <v>0.27700000000000002</v>
      </c>
      <c r="M378" s="3">
        <v>0.80600000000000005</v>
      </c>
      <c r="N378" s="3">
        <v>10.4</v>
      </c>
      <c r="O378" s="3">
        <v>4.7</v>
      </c>
      <c r="P378" s="3">
        <v>1.4</v>
      </c>
      <c r="Q378" s="3">
        <v>1.2</v>
      </c>
      <c r="R378" s="90">
        <v>0.2</v>
      </c>
      <c r="S378">
        <f t="shared" si="8"/>
        <v>0.05</v>
      </c>
    </row>
    <row r="379" spans="1:19">
      <c r="A379" s="154">
        <v>53</v>
      </c>
      <c r="B379" s="154" t="s">
        <v>190</v>
      </c>
      <c r="C379" s="157" t="s">
        <v>494</v>
      </c>
      <c r="D379" s="154" t="s">
        <v>46</v>
      </c>
      <c r="E379" s="154">
        <v>3</v>
      </c>
      <c r="F379" s="154">
        <v>25</v>
      </c>
      <c r="G379" s="154">
        <v>129</v>
      </c>
      <c r="H379" s="154">
        <v>41</v>
      </c>
      <c r="I379" s="154">
        <v>21</v>
      </c>
      <c r="J379" s="154">
        <v>22</v>
      </c>
      <c r="K379" s="154">
        <v>0.41699999999999998</v>
      </c>
      <c r="L379" s="154">
        <v>0.35299999999999998</v>
      </c>
      <c r="M379" s="154">
        <v>0.625</v>
      </c>
      <c r="N379" s="154">
        <v>5.2</v>
      </c>
      <c r="O379" s="154">
        <v>1.6</v>
      </c>
      <c r="P379" s="154">
        <v>0.8</v>
      </c>
      <c r="Q379" s="154">
        <v>0.9</v>
      </c>
      <c r="R379" s="154">
        <v>0.1</v>
      </c>
      <c r="S379">
        <f t="shared" si="8"/>
        <v>3.3333333333333333E-2</v>
      </c>
    </row>
    <row r="380" spans="1:19" ht="30">
      <c r="A380" s="3">
        <v>51</v>
      </c>
      <c r="B380" s="3" t="s">
        <v>190</v>
      </c>
      <c r="C380" s="67" t="s">
        <v>692</v>
      </c>
      <c r="D380" s="3" t="s">
        <v>145</v>
      </c>
      <c r="E380" s="3">
        <v>3</v>
      </c>
      <c r="F380" s="3">
        <v>40</v>
      </c>
      <c r="G380" s="3">
        <v>407</v>
      </c>
      <c r="H380" s="3">
        <v>149</v>
      </c>
      <c r="I380" s="3">
        <v>37</v>
      </c>
      <c r="J380" s="3">
        <v>85</v>
      </c>
      <c r="K380" s="3">
        <v>0.35399999999999998</v>
      </c>
      <c r="L380" s="3">
        <v>0.29599999999999999</v>
      </c>
      <c r="M380" s="3">
        <v>0.96</v>
      </c>
      <c r="N380" s="3">
        <v>10.199999999999999</v>
      </c>
      <c r="O380" s="3">
        <v>3.7</v>
      </c>
      <c r="P380" s="3">
        <v>0.9</v>
      </c>
      <c r="Q380" s="3">
        <v>2.1</v>
      </c>
      <c r="R380" s="3">
        <v>0.1</v>
      </c>
      <c r="S380">
        <f t="shared" si="8"/>
        <v>3.3333333333333333E-2</v>
      </c>
    </row>
    <row r="381" spans="1:19">
      <c r="A381" s="3">
        <v>55</v>
      </c>
      <c r="B381" s="3" t="s">
        <v>50</v>
      </c>
      <c r="C381" s="67" t="s">
        <v>697</v>
      </c>
      <c r="D381" s="3" t="s">
        <v>59</v>
      </c>
      <c r="E381" s="3">
        <v>3</v>
      </c>
      <c r="F381" s="3">
        <v>53</v>
      </c>
      <c r="G381" s="3">
        <v>431</v>
      </c>
      <c r="H381" s="3">
        <v>165</v>
      </c>
      <c r="I381" s="3">
        <v>53</v>
      </c>
      <c r="J381" s="3">
        <v>50</v>
      </c>
      <c r="K381" s="3">
        <v>0.36099999999999999</v>
      </c>
      <c r="L381" s="3">
        <v>0.30299999999999999</v>
      </c>
      <c r="M381" s="3">
        <v>0.75</v>
      </c>
      <c r="N381" s="3">
        <v>8.1</v>
      </c>
      <c r="O381" s="3">
        <v>3.1</v>
      </c>
      <c r="P381" s="3">
        <v>1</v>
      </c>
      <c r="Q381" s="3">
        <v>0.9</v>
      </c>
      <c r="R381" s="3">
        <v>0.1</v>
      </c>
      <c r="S381">
        <f t="shared" si="8"/>
        <v>3.3333333333333333E-2</v>
      </c>
    </row>
    <row r="382" spans="1:19" ht="30">
      <c r="A382" s="3">
        <v>60</v>
      </c>
      <c r="B382" s="3" t="s">
        <v>193</v>
      </c>
      <c r="C382" s="67" t="s">
        <v>923</v>
      </c>
      <c r="D382" s="3" t="s">
        <v>200</v>
      </c>
      <c r="E382" s="3">
        <v>4</v>
      </c>
      <c r="F382" s="3">
        <v>112</v>
      </c>
      <c r="G382" s="3">
        <v>1714</v>
      </c>
      <c r="H382" s="3">
        <v>566</v>
      </c>
      <c r="I382" s="3">
        <v>236</v>
      </c>
      <c r="J382" s="3">
        <v>127</v>
      </c>
      <c r="K382" s="3">
        <v>0.42199999999999999</v>
      </c>
      <c r="L382" s="3">
        <v>0.20699999999999999</v>
      </c>
      <c r="M382" s="3">
        <v>0.65600000000000003</v>
      </c>
      <c r="N382" s="3">
        <v>15.3</v>
      </c>
      <c r="O382" s="3">
        <v>5.0999999999999996</v>
      </c>
      <c r="P382" s="3">
        <v>2.1</v>
      </c>
      <c r="Q382" s="3">
        <v>1.1000000000000001</v>
      </c>
      <c r="R382" s="3">
        <v>0.1</v>
      </c>
      <c r="S382">
        <f t="shared" si="8"/>
        <v>2.5000000000000001E-2</v>
      </c>
    </row>
    <row r="383" spans="1:19">
      <c r="A383" s="154">
        <v>42</v>
      </c>
      <c r="B383" s="154" t="s">
        <v>50</v>
      </c>
      <c r="C383" s="157" t="s">
        <v>484</v>
      </c>
      <c r="D383" s="154" t="s">
        <v>171</v>
      </c>
      <c r="E383" s="154">
        <v>1</v>
      </c>
      <c r="F383" s="154">
        <v>3</v>
      </c>
      <c r="G383" s="154">
        <v>8</v>
      </c>
      <c r="H383" s="154">
        <v>3</v>
      </c>
      <c r="I383" s="154">
        <v>2</v>
      </c>
      <c r="J383" s="154">
        <v>0</v>
      </c>
      <c r="K383" s="154">
        <v>0.25</v>
      </c>
      <c r="L383" s="154">
        <v>0.25</v>
      </c>
      <c r="M383" s="43">
        <v>0</v>
      </c>
      <c r="N383" s="154">
        <v>2.7</v>
      </c>
      <c r="O383" s="154">
        <v>1</v>
      </c>
      <c r="P383" s="154">
        <v>0.7</v>
      </c>
      <c r="Q383" s="154">
        <v>0</v>
      </c>
      <c r="R383" s="154">
        <v>0</v>
      </c>
      <c r="S383">
        <f t="shared" si="8"/>
        <v>0</v>
      </c>
    </row>
    <row r="384" spans="1:19">
      <c r="A384" s="3">
        <v>47</v>
      </c>
      <c r="B384" s="3" t="s">
        <v>163</v>
      </c>
      <c r="C384" s="67" t="s">
        <v>554</v>
      </c>
      <c r="D384" s="3" t="s">
        <v>61</v>
      </c>
      <c r="E384" s="3">
        <v>1</v>
      </c>
      <c r="F384" s="3">
        <v>2</v>
      </c>
      <c r="G384" s="3">
        <v>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2">
        <v>0</v>
      </c>
      <c r="N384" s="3">
        <v>1</v>
      </c>
      <c r="O384" s="3">
        <v>0</v>
      </c>
      <c r="P384" s="3">
        <v>0</v>
      </c>
      <c r="Q384" s="3">
        <v>0</v>
      </c>
      <c r="R384" s="3">
        <v>0</v>
      </c>
      <c r="S384">
        <f t="shared" si="8"/>
        <v>0</v>
      </c>
    </row>
    <row r="385" spans="1:19">
      <c r="A385" s="3">
        <v>50</v>
      </c>
      <c r="B385" s="3" t="s">
        <v>66</v>
      </c>
      <c r="C385" s="67" t="s">
        <v>557</v>
      </c>
      <c r="D385" s="3" t="s">
        <v>43</v>
      </c>
      <c r="E385" s="3">
        <v>1</v>
      </c>
      <c r="F385" s="3">
        <v>3</v>
      </c>
      <c r="G385" s="3">
        <v>10</v>
      </c>
      <c r="H385" s="3">
        <v>3</v>
      </c>
      <c r="I385" s="3">
        <v>1</v>
      </c>
      <c r="J385" s="3">
        <v>0</v>
      </c>
      <c r="K385" s="3">
        <v>0.5</v>
      </c>
      <c r="L385" s="2">
        <v>0</v>
      </c>
      <c r="M385" s="3">
        <v>0.5</v>
      </c>
      <c r="N385" s="3">
        <v>3.3</v>
      </c>
      <c r="O385" s="3">
        <v>1</v>
      </c>
      <c r="P385" s="3">
        <v>0.3</v>
      </c>
      <c r="Q385" s="3">
        <v>0</v>
      </c>
      <c r="R385" s="3">
        <v>0</v>
      </c>
      <c r="S385">
        <f t="shared" si="8"/>
        <v>0</v>
      </c>
    </row>
    <row r="386" spans="1:19">
      <c r="A386" s="3">
        <v>56</v>
      </c>
      <c r="B386" s="3" t="s">
        <v>119</v>
      </c>
      <c r="C386" s="67" t="s">
        <v>562</v>
      </c>
      <c r="D386" s="3" t="s">
        <v>128</v>
      </c>
      <c r="E386" s="3">
        <v>1</v>
      </c>
      <c r="F386" s="3">
        <v>2</v>
      </c>
      <c r="G386" s="3">
        <v>7</v>
      </c>
      <c r="H386" s="3">
        <v>1</v>
      </c>
      <c r="I386" s="3">
        <v>0</v>
      </c>
      <c r="J386" s="3">
        <v>1</v>
      </c>
      <c r="K386" s="2">
        <v>0</v>
      </c>
      <c r="L386" s="2">
        <v>0</v>
      </c>
      <c r="M386" s="3">
        <v>0.5</v>
      </c>
      <c r="N386" s="3">
        <v>3.5</v>
      </c>
      <c r="O386" s="3">
        <v>0.5</v>
      </c>
      <c r="P386" s="3">
        <v>0</v>
      </c>
      <c r="Q386" s="3">
        <v>0.5</v>
      </c>
      <c r="R386" s="3">
        <v>0</v>
      </c>
      <c r="S386">
        <f t="shared" si="8"/>
        <v>0</v>
      </c>
    </row>
    <row r="387" spans="1:19">
      <c r="A387" s="3">
        <v>31</v>
      </c>
      <c r="B387" s="3" t="s">
        <v>20</v>
      </c>
      <c r="C387" s="67" t="s">
        <v>611</v>
      </c>
      <c r="D387" s="3" t="s">
        <v>121</v>
      </c>
      <c r="E387" s="3">
        <v>2</v>
      </c>
      <c r="F387" s="3">
        <v>13</v>
      </c>
      <c r="G387" s="3">
        <v>59</v>
      </c>
      <c r="H387" s="3">
        <v>13</v>
      </c>
      <c r="I387" s="3">
        <v>6</v>
      </c>
      <c r="J387" s="3">
        <v>6</v>
      </c>
      <c r="K387" s="3">
        <v>0.35299999999999998</v>
      </c>
      <c r="L387" s="3">
        <v>0</v>
      </c>
      <c r="M387" s="3">
        <v>0.33300000000000002</v>
      </c>
      <c r="N387" s="3">
        <v>4.5</v>
      </c>
      <c r="O387" s="3">
        <v>1</v>
      </c>
      <c r="P387" s="3">
        <v>0.5</v>
      </c>
      <c r="Q387" s="3">
        <v>0.5</v>
      </c>
      <c r="R387" s="3">
        <v>0</v>
      </c>
      <c r="S387">
        <f t="shared" si="8"/>
        <v>0</v>
      </c>
    </row>
    <row r="388" spans="1:19">
      <c r="A388" s="3">
        <v>36</v>
      </c>
      <c r="B388" s="3" t="s">
        <v>66</v>
      </c>
      <c r="C388" s="67" t="s">
        <v>615</v>
      </c>
      <c r="D388" s="3" t="s">
        <v>65</v>
      </c>
      <c r="E388" s="3">
        <v>1</v>
      </c>
      <c r="F388" s="3">
        <v>18</v>
      </c>
      <c r="G388" s="3">
        <v>71</v>
      </c>
      <c r="H388" s="3">
        <v>18</v>
      </c>
      <c r="I388" s="3">
        <v>19</v>
      </c>
      <c r="J388" s="3">
        <v>3</v>
      </c>
      <c r="K388" s="3">
        <v>0.318</v>
      </c>
      <c r="L388" s="3">
        <v>0.25</v>
      </c>
      <c r="M388" s="3">
        <v>0.6</v>
      </c>
      <c r="N388" s="3">
        <v>3.9</v>
      </c>
      <c r="O388" s="3">
        <v>1</v>
      </c>
      <c r="P388" s="3">
        <v>1.1000000000000001</v>
      </c>
      <c r="Q388" s="3">
        <v>0.2</v>
      </c>
      <c r="R388" s="3">
        <v>0</v>
      </c>
      <c r="S388">
        <f t="shared" si="8"/>
        <v>0</v>
      </c>
    </row>
    <row r="389" spans="1:19" ht="30">
      <c r="A389" s="3">
        <v>44</v>
      </c>
      <c r="B389" s="3" t="s">
        <v>99</v>
      </c>
      <c r="C389" s="67" t="s">
        <v>622</v>
      </c>
      <c r="D389" s="2"/>
      <c r="E389" s="3">
        <v>2</v>
      </c>
      <c r="F389" s="3">
        <v>16</v>
      </c>
      <c r="G389" s="3">
        <v>55</v>
      </c>
      <c r="H389" s="3">
        <v>23</v>
      </c>
      <c r="I389" s="3">
        <v>12</v>
      </c>
      <c r="J389" s="3">
        <v>0</v>
      </c>
      <c r="K389" s="3">
        <v>0.27300000000000002</v>
      </c>
      <c r="L389" s="3">
        <v>0.222</v>
      </c>
      <c r="M389" s="3">
        <v>0.69199999999999995</v>
      </c>
      <c r="N389" s="3">
        <v>3.4</v>
      </c>
      <c r="O389" s="3">
        <v>1.4</v>
      </c>
      <c r="P389" s="3">
        <v>0.8</v>
      </c>
      <c r="Q389" s="3">
        <v>0</v>
      </c>
      <c r="R389" s="3">
        <v>0</v>
      </c>
      <c r="S389">
        <f t="shared" si="8"/>
        <v>0</v>
      </c>
    </row>
    <row r="390" spans="1:19" ht="30">
      <c r="A390" s="3">
        <v>54</v>
      </c>
      <c r="B390" s="3" t="s">
        <v>41</v>
      </c>
      <c r="C390" s="67" t="s">
        <v>631</v>
      </c>
      <c r="D390" s="3" t="s">
        <v>171</v>
      </c>
      <c r="E390" s="3">
        <v>2</v>
      </c>
      <c r="F390" s="3">
        <v>33</v>
      </c>
      <c r="G390" s="3">
        <v>248</v>
      </c>
      <c r="H390" s="3">
        <v>88</v>
      </c>
      <c r="I390" s="3">
        <v>39</v>
      </c>
      <c r="J390" s="3">
        <v>5</v>
      </c>
      <c r="K390" s="3">
        <v>0.36</v>
      </c>
      <c r="L390" s="3">
        <v>0.23300000000000001</v>
      </c>
      <c r="M390" s="3">
        <v>0.89500000000000002</v>
      </c>
      <c r="N390" s="3">
        <v>7.5</v>
      </c>
      <c r="O390" s="3">
        <v>2.7</v>
      </c>
      <c r="P390" s="3">
        <v>1.2</v>
      </c>
      <c r="Q390" s="3">
        <v>0.2</v>
      </c>
      <c r="R390" s="3">
        <v>0</v>
      </c>
      <c r="S390">
        <f t="shared" si="8"/>
        <v>0</v>
      </c>
    </row>
    <row r="391" spans="1:19" ht="30">
      <c r="A391" s="3">
        <v>53</v>
      </c>
      <c r="B391" s="3" t="s">
        <v>193</v>
      </c>
      <c r="C391" s="67" t="s">
        <v>694</v>
      </c>
      <c r="D391" s="3" t="s">
        <v>695</v>
      </c>
      <c r="E391" s="3">
        <v>1</v>
      </c>
      <c r="F391" s="3">
        <v>4</v>
      </c>
      <c r="G391" s="3">
        <v>45</v>
      </c>
      <c r="H391" s="3">
        <v>19</v>
      </c>
      <c r="I391" s="3">
        <v>5</v>
      </c>
      <c r="J391" s="3">
        <v>7</v>
      </c>
      <c r="K391" s="3">
        <v>0.35</v>
      </c>
      <c r="L391" s="3">
        <v>0.2</v>
      </c>
      <c r="M391" s="3">
        <v>0.75</v>
      </c>
      <c r="N391" s="3">
        <v>11.3</v>
      </c>
      <c r="O391" s="3">
        <v>4.8</v>
      </c>
      <c r="P391" s="3">
        <v>1.3</v>
      </c>
      <c r="Q391" s="3">
        <v>1.8</v>
      </c>
      <c r="R391" s="3">
        <v>0</v>
      </c>
      <c r="S391">
        <f t="shared" si="8"/>
        <v>0</v>
      </c>
    </row>
    <row r="392" spans="1:19" ht="30">
      <c r="A392" s="3">
        <v>59</v>
      </c>
      <c r="B392" s="3" t="s">
        <v>163</v>
      </c>
      <c r="C392" s="67" t="s">
        <v>702</v>
      </c>
      <c r="D392" s="3" t="s">
        <v>103</v>
      </c>
      <c r="E392" s="3">
        <v>1</v>
      </c>
      <c r="F392" s="3">
        <v>6</v>
      </c>
      <c r="G392" s="3">
        <v>28</v>
      </c>
      <c r="H392" s="3">
        <v>14</v>
      </c>
      <c r="I392" s="3">
        <v>14</v>
      </c>
      <c r="J392" s="3">
        <v>3</v>
      </c>
      <c r="K392" s="3">
        <v>0.35699999999999998</v>
      </c>
      <c r="L392" s="3">
        <v>0.5</v>
      </c>
      <c r="M392" s="3">
        <v>0.6</v>
      </c>
      <c r="N392" s="3">
        <v>4.7</v>
      </c>
      <c r="O392" s="3">
        <v>2.2999999999999998</v>
      </c>
      <c r="P392" s="3">
        <v>2.2999999999999998</v>
      </c>
      <c r="Q392" s="3">
        <v>0.5</v>
      </c>
      <c r="R392" s="3">
        <v>0</v>
      </c>
      <c r="S392">
        <f t="shared" si="8"/>
        <v>0</v>
      </c>
    </row>
    <row r="393" spans="1:19">
      <c r="A393" s="3">
        <v>52</v>
      </c>
      <c r="B393" s="3" t="s">
        <v>193</v>
      </c>
      <c r="C393" s="67" t="s">
        <v>773</v>
      </c>
      <c r="D393" s="3" t="s">
        <v>143</v>
      </c>
      <c r="E393" s="3">
        <v>1</v>
      </c>
      <c r="F393" s="3">
        <v>2</v>
      </c>
      <c r="G393" s="3">
        <v>16</v>
      </c>
      <c r="H393" s="3">
        <v>3</v>
      </c>
      <c r="I393" s="3">
        <v>2</v>
      </c>
      <c r="J393" s="3">
        <v>0</v>
      </c>
      <c r="K393" s="3">
        <v>0.25</v>
      </c>
      <c r="L393" s="3">
        <v>0.25</v>
      </c>
      <c r="M393" s="2">
        <v>0</v>
      </c>
      <c r="N393" s="3">
        <v>8</v>
      </c>
      <c r="O393" s="3">
        <v>1.5</v>
      </c>
      <c r="P393" s="3">
        <v>1</v>
      </c>
      <c r="Q393" s="3">
        <v>0</v>
      </c>
      <c r="R393" s="3">
        <v>0</v>
      </c>
      <c r="S393">
        <f t="shared" si="8"/>
        <v>0</v>
      </c>
    </row>
    <row r="394" spans="1:19" ht="30">
      <c r="A394" s="3">
        <v>55</v>
      </c>
      <c r="B394" s="3" t="s">
        <v>119</v>
      </c>
      <c r="C394" s="67" t="s">
        <v>775</v>
      </c>
      <c r="D394" s="2"/>
      <c r="E394" s="3">
        <v>1</v>
      </c>
      <c r="F394" s="3">
        <v>2</v>
      </c>
      <c r="G394" s="3">
        <v>5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2">
        <v>0</v>
      </c>
      <c r="N394" s="3">
        <v>2.5</v>
      </c>
      <c r="O394" s="3">
        <v>0</v>
      </c>
      <c r="P394" s="3">
        <v>0</v>
      </c>
      <c r="Q394" s="3">
        <v>0</v>
      </c>
      <c r="R394" s="3">
        <v>0</v>
      </c>
      <c r="S394">
        <f t="shared" si="8"/>
        <v>0</v>
      </c>
    </row>
    <row r="395" spans="1:19">
      <c r="A395" s="3">
        <v>47</v>
      </c>
      <c r="B395" s="3" t="s">
        <v>41</v>
      </c>
      <c r="C395" s="67" t="s">
        <v>831</v>
      </c>
      <c r="D395" s="3" t="s">
        <v>63</v>
      </c>
      <c r="E395" s="3">
        <v>2</v>
      </c>
      <c r="F395" s="3">
        <v>14</v>
      </c>
      <c r="G395" s="3">
        <v>36</v>
      </c>
      <c r="H395" s="3">
        <v>13</v>
      </c>
      <c r="I395" s="3">
        <v>12</v>
      </c>
      <c r="J395" s="3">
        <v>1</v>
      </c>
      <c r="K395" s="3">
        <v>0.33300000000000002</v>
      </c>
      <c r="L395" s="2">
        <v>0</v>
      </c>
      <c r="M395" s="3">
        <v>0.83299999999999996</v>
      </c>
      <c r="N395" s="3">
        <v>2.6</v>
      </c>
      <c r="O395" s="3">
        <v>0.9</v>
      </c>
      <c r="P395" s="3">
        <v>0.9</v>
      </c>
      <c r="Q395" s="3">
        <v>0.1</v>
      </c>
      <c r="R395" s="3">
        <v>0</v>
      </c>
      <c r="S395">
        <f t="shared" si="8"/>
        <v>0</v>
      </c>
    </row>
    <row r="396" spans="1:19" ht="30">
      <c r="A396" s="3">
        <v>55</v>
      </c>
      <c r="B396" s="3" t="s">
        <v>193</v>
      </c>
      <c r="C396" s="67" t="s">
        <v>839</v>
      </c>
      <c r="D396" s="3" t="s">
        <v>43</v>
      </c>
      <c r="E396" s="3">
        <v>1</v>
      </c>
      <c r="F396" s="3">
        <v>10</v>
      </c>
      <c r="G396" s="3">
        <v>50</v>
      </c>
      <c r="H396" s="3">
        <v>14</v>
      </c>
      <c r="I396" s="3">
        <v>6</v>
      </c>
      <c r="J396" s="3">
        <v>6</v>
      </c>
      <c r="K396" s="3">
        <v>0.313</v>
      </c>
      <c r="L396" s="3">
        <v>0.28599999999999998</v>
      </c>
      <c r="M396" s="3">
        <v>1</v>
      </c>
      <c r="N396" s="3">
        <v>5</v>
      </c>
      <c r="O396" s="3">
        <v>1.4</v>
      </c>
      <c r="P396" s="3">
        <v>0.6</v>
      </c>
      <c r="Q396" s="3">
        <v>0.6</v>
      </c>
      <c r="R396" s="3">
        <v>0</v>
      </c>
      <c r="S396">
        <f t="shared" si="8"/>
        <v>0</v>
      </c>
    </row>
    <row r="397" spans="1:19" ht="30">
      <c r="A397" s="3">
        <v>41</v>
      </c>
      <c r="B397" s="3" t="s">
        <v>179</v>
      </c>
      <c r="C397" s="67" t="s">
        <v>904</v>
      </c>
      <c r="D397" s="3" t="s">
        <v>901</v>
      </c>
      <c r="E397" s="3">
        <v>1</v>
      </c>
      <c r="F397" s="3">
        <v>19</v>
      </c>
      <c r="G397" s="3">
        <v>108</v>
      </c>
      <c r="H397" s="3">
        <v>23</v>
      </c>
      <c r="I397" s="3">
        <v>35</v>
      </c>
      <c r="J397" s="3">
        <v>4</v>
      </c>
      <c r="K397" s="3">
        <v>0.32300000000000001</v>
      </c>
      <c r="L397" s="2">
        <v>0</v>
      </c>
      <c r="M397" s="3">
        <v>0.6</v>
      </c>
      <c r="N397" s="3">
        <v>5.7</v>
      </c>
      <c r="O397" s="3">
        <v>1.2</v>
      </c>
      <c r="P397" s="3">
        <v>1.8</v>
      </c>
      <c r="Q397" s="3">
        <v>0.2</v>
      </c>
      <c r="R397" s="3">
        <v>0</v>
      </c>
      <c r="S397">
        <f t="shared" si="8"/>
        <v>0</v>
      </c>
    </row>
    <row r="398" spans="1:19">
      <c r="A398" s="3">
        <v>46</v>
      </c>
      <c r="B398" s="3" t="s">
        <v>20</v>
      </c>
      <c r="C398" s="67" t="s">
        <v>909</v>
      </c>
      <c r="D398" s="3" t="s">
        <v>143</v>
      </c>
      <c r="E398" s="3">
        <v>1</v>
      </c>
      <c r="F398" s="3">
        <v>22</v>
      </c>
      <c r="G398" s="3">
        <v>163</v>
      </c>
      <c r="H398" s="3">
        <v>48</v>
      </c>
      <c r="I398" s="3">
        <v>36</v>
      </c>
      <c r="J398" s="3">
        <v>4</v>
      </c>
      <c r="K398" s="3">
        <v>0.40500000000000003</v>
      </c>
      <c r="L398" s="3">
        <v>0.5</v>
      </c>
      <c r="M398" s="3">
        <v>0.45</v>
      </c>
      <c r="N398" s="3">
        <v>7.4</v>
      </c>
      <c r="O398" s="3">
        <v>2.2000000000000002</v>
      </c>
      <c r="P398" s="3">
        <v>1.6</v>
      </c>
      <c r="Q398" s="3">
        <v>0.2</v>
      </c>
      <c r="R398" s="3">
        <v>0</v>
      </c>
      <c r="S398">
        <f t="shared" si="8"/>
        <v>0</v>
      </c>
    </row>
    <row r="399" spans="1:19">
      <c r="A399" s="3">
        <v>48</v>
      </c>
      <c r="B399" s="3" t="s">
        <v>99</v>
      </c>
      <c r="C399" s="67" t="s">
        <v>911</v>
      </c>
      <c r="D399" s="2"/>
      <c r="E399" s="3">
        <v>2</v>
      </c>
      <c r="F399" s="3">
        <v>98</v>
      </c>
      <c r="G399" s="3">
        <v>1667</v>
      </c>
      <c r="H399" s="3">
        <v>458</v>
      </c>
      <c r="I399" s="3">
        <v>256</v>
      </c>
      <c r="J399" s="3">
        <v>82</v>
      </c>
      <c r="K399" s="3">
        <v>0.371</v>
      </c>
      <c r="L399" s="3">
        <v>0.33500000000000002</v>
      </c>
      <c r="M399" s="3">
        <v>0.76900000000000002</v>
      </c>
      <c r="N399" s="3">
        <v>17</v>
      </c>
      <c r="O399" s="3">
        <v>4.7</v>
      </c>
      <c r="P399" s="3">
        <v>2.6</v>
      </c>
      <c r="Q399" s="3">
        <v>0.8</v>
      </c>
      <c r="R399" s="3">
        <v>0</v>
      </c>
      <c r="S399">
        <f t="shared" si="8"/>
        <v>0</v>
      </c>
    </row>
    <row r="400" spans="1:19">
      <c r="A400" s="3">
        <v>53</v>
      </c>
      <c r="B400" s="3" t="s">
        <v>23</v>
      </c>
      <c r="C400" s="67" t="s">
        <v>915</v>
      </c>
      <c r="D400" s="2"/>
      <c r="E400" s="3">
        <v>1</v>
      </c>
      <c r="F400" s="3">
        <v>13</v>
      </c>
      <c r="G400" s="3">
        <v>38</v>
      </c>
      <c r="H400" s="3">
        <v>14</v>
      </c>
      <c r="I400" s="3">
        <v>14</v>
      </c>
      <c r="J400" s="3">
        <v>3</v>
      </c>
      <c r="K400" s="3">
        <v>0.33300000000000002</v>
      </c>
      <c r="L400" s="3">
        <v>0.125</v>
      </c>
      <c r="M400" s="3">
        <v>0.75</v>
      </c>
      <c r="N400" s="3">
        <v>2.9</v>
      </c>
      <c r="O400" s="3">
        <v>1.1000000000000001</v>
      </c>
      <c r="P400" s="3">
        <v>1.1000000000000001</v>
      </c>
      <c r="Q400" s="3">
        <v>0.2</v>
      </c>
      <c r="R400" s="3">
        <v>0</v>
      </c>
      <c r="S400">
        <f t="shared" si="8"/>
        <v>0</v>
      </c>
    </row>
    <row r="401" spans="1:19">
      <c r="A401" s="3">
        <v>55</v>
      </c>
      <c r="B401" s="3" t="s">
        <v>47</v>
      </c>
      <c r="C401" s="67" t="s">
        <v>918</v>
      </c>
      <c r="D401" s="3" t="s">
        <v>78</v>
      </c>
      <c r="E401" s="3">
        <v>1</v>
      </c>
      <c r="F401" s="3">
        <v>5</v>
      </c>
      <c r="G401" s="3">
        <v>28</v>
      </c>
      <c r="H401" s="3">
        <v>12</v>
      </c>
      <c r="I401" s="3">
        <v>4</v>
      </c>
      <c r="J401" s="3">
        <v>3</v>
      </c>
      <c r="K401" s="3">
        <v>0.28599999999999998</v>
      </c>
      <c r="L401" s="3">
        <v>0.25</v>
      </c>
      <c r="M401" s="3">
        <v>1</v>
      </c>
      <c r="N401" s="3">
        <v>5.6</v>
      </c>
      <c r="O401" s="3">
        <v>2.4</v>
      </c>
      <c r="P401" s="3">
        <v>0.8</v>
      </c>
      <c r="Q401" s="3">
        <v>0.6</v>
      </c>
      <c r="R401" s="3">
        <v>0</v>
      </c>
      <c r="S401">
        <f t="shared" si="8"/>
        <v>0</v>
      </c>
    </row>
    <row r="402" spans="1:19" ht="30">
      <c r="A402" s="3">
        <v>56</v>
      </c>
      <c r="B402" s="3" t="s">
        <v>23</v>
      </c>
      <c r="C402" s="67" t="s">
        <v>919</v>
      </c>
      <c r="D402" s="3" t="s">
        <v>300</v>
      </c>
      <c r="E402" s="3">
        <v>2</v>
      </c>
      <c r="F402" s="3">
        <v>25</v>
      </c>
      <c r="G402" s="3">
        <v>232</v>
      </c>
      <c r="H402" s="3">
        <v>69</v>
      </c>
      <c r="I402" s="3">
        <v>52</v>
      </c>
      <c r="J402" s="3">
        <v>30</v>
      </c>
      <c r="K402" s="3">
        <v>0.39400000000000002</v>
      </c>
      <c r="L402" s="3">
        <v>0.35699999999999998</v>
      </c>
      <c r="M402" s="3">
        <v>0.5</v>
      </c>
      <c r="N402" s="3">
        <v>9.3000000000000007</v>
      </c>
      <c r="O402" s="3">
        <v>2.8</v>
      </c>
      <c r="P402" s="3">
        <v>2.1</v>
      </c>
      <c r="Q402" s="3">
        <v>1.2</v>
      </c>
      <c r="R402" s="3">
        <v>0</v>
      </c>
      <c r="S402">
        <f t="shared" si="8"/>
        <v>0</v>
      </c>
    </row>
    <row r="403" spans="1:19" ht="30">
      <c r="A403" s="3">
        <v>56</v>
      </c>
      <c r="B403" s="3" t="s">
        <v>44</v>
      </c>
      <c r="C403" s="67" t="s">
        <v>993</v>
      </c>
      <c r="D403" s="3" t="s">
        <v>27</v>
      </c>
      <c r="E403" s="3">
        <v>1</v>
      </c>
      <c r="F403" s="3">
        <v>6</v>
      </c>
      <c r="G403" s="3">
        <v>29</v>
      </c>
      <c r="H403" s="3">
        <v>5</v>
      </c>
      <c r="I403" s="3">
        <v>4</v>
      </c>
      <c r="J403" s="3">
        <v>0</v>
      </c>
      <c r="K403" s="3">
        <v>0.4</v>
      </c>
      <c r="L403" s="2"/>
      <c r="M403" s="3">
        <v>1</v>
      </c>
      <c r="N403" s="3">
        <v>4.8</v>
      </c>
      <c r="O403" s="3">
        <v>0.8</v>
      </c>
      <c r="P403" s="3">
        <v>0.7</v>
      </c>
      <c r="Q403" s="3">
        <v>0</v>
      </c>
      <c r="R403" s="3">
        <v>0</v>
      </c>
      <c r="S403">
        <f t="shared" si="8"/>
        <v>0</v>
      </c>
    </row>
    <row r="404" spans="1:19">
      <c r="A404" s="3">
        <v>33</v>
      </c>
      <c r="B404" s="3" t="s">
        <v>76</v>
      </c>
      <c r="C404" s="67" t="s">
        <v>1126</v>
      </c>
      <c r="D404" s="3" t="s">
        <v>536</v>
      </c>
      <c r="E404" s="3">
        <v>1</v>
      </c>
      <c r="F404" s="3">
        <v>7</v>
      </c>
      <c r="G404" s="3">
        <v>38</v>
      </c>
      <c r="H404" s="3">
        <v>19</v>
      </c>
      <c r="I404" s="3">
        <v>6</v>
      </c>
      <c r="J404" s="3">
        <v>4</v>
      </c>
      <c r="K404" s="3">
        <v>0.5</v>
      </c>
      <c r="L404" s="3">
        <v>0.4</v>
      </c>
      <c r="M404" s="3">
        <v>0.75</v>
      </c>
      <c r="N404" s="3">
        <v>5.4</v>
      </c>
      <c r="O404" s="3">
        <v>2.7</v>
      </c>
      <c r="P404" s="3">
        <v>0.9</v>
      </c>
      <c r="Q404" s="3">
        <v>0.6</v>
      </c>
      <c r="R404" s="3">
        <v>0</v>
      </c>
      <c r="S404">
        <f t="shared" si="8"/>
        <v>0</v>
      </c>
    </row>
    <row r="405" spans="1:19" ht="30">
      <c r="A405" s="3">
        <v>41</v>
      </c>
      <c r="B405" s="3" t="s">
        <v>152</v>
      </c>
      <c r="C405" s="67" t="s">
        <v>1137</v>
      </c>
      <c r="D405" s="3" t="s">
        <v>608</v>
      </c>
      <c r="E405" s="3">
        <v>2</v>
      </c>
      <c r="F405" s="3">
        <v>24</v>
      </c>
      <c r="G405" s="3">
        <v>174</v>
      </c>
      <c r="H405" s="3">
        <v>42</v>
      </c>
      <c r="I405" s="3">
        <v>25</v>
      </c>
      <c r="J405" s="3">
        <v>9</v>
      </c>
      <c r="K405" s="3">
        <v>0.41499999999999998</v>
      </c>
      <c r="L405" s="3">
        <v>0.46200000000000002</v>
      </c>
      <c r="M405" s="3">
        <v>1</v>
      </c>
      <c r="N405" s="3">
        <v>7.3</v>
      </c>
      <c r="O405" s="3">
        <v>1.8</v>
      </c>
      <c r="P405" s="3">
        <v>1</v>
      </c>
      <c r="Q405" s="3">
        <v>0.4</v>
      </c>
      <c r="R405" s="3">
        <v>0</v>
      </c>
      <c r="S405">
        <f t="shared" si="8"/>
        <v>0</v>
      </c>
    </row>
    <row r="406" spans="1:19">
      <c r="A406" s="3">
        <v>42</v>
      </c>
      <c r="B406" s="3" t="s">
        <v>66</v>
      </c>
      <c r="C406" s="67" t="s">
        <v>1138</v>
      </c>
      <c r="D406" s="3" t="s">
        <v>208</v>
      </c>
      <c r="E406" s="3">
        <v>1</v>
      </c>
      <c r="F406" s="3">
        <v>8</v>
      </c>
      <c r="G406" s="3">
        <v>84</v>
      </c>
      <c r="H406" s="3">
        <v>35</v>
      </c>
      <c r="I406" s="3">
        <v>9</v>
      </c>
      <c r="J406" s="3">
        <v>19</v>
      </c>
      <c r="K406" s="3">
        <v>0.33300000000000002</v>
      </c>
      <c r="L406" s="3">
        <v>0.27300000000000002</v>
      </c>
      <c r="M406" s="3">
        <v>0.85699999999999998</v>
      </c>
      <c r="N406" s="3">
        <v>10.5</v>
      </c>
      <c r="O406" s="3">
        <v>4.4000000000000004</v>
      </c>
      <c r="P406" s="3">
        <v>1.1000000000000001</v>
      </c>
      <c r="Q406" s="3">
        <v>2.4</v>
      </c>
      <c r="R406" s="3">
        <v>0</v>
      </c>
      <c r="S406">
        <f t="shared" si="8"/>
        <v>0</v>
      </c>
    </row>
    <row r="407" spans="1:19" ht="30">
      <c r="A407" s="3">
        <v>37</v>
      </c>
      <c r="B407" s="3" t="s">
        <v>28</v>
      </c>
      <c r="C407" s="67" t="s">
        <v>1269</v>
      </c>
      <c r="D407" s="3" t="s">
        <v>49</v>
      </c>
      <c r="E407" s="3">
        <v>1</v>
      </c>
      <c r="F407" s="3">
        <v>24</v>
      </c>
      <c r="G407" s="3">
        <v>119</v>
      </c>
      <c r="H407" s="3">
        <v>57</v>
      </c>
      <c r="I407" s="3">
        <v>24</v>
      </c>
      <c r="J407" s="3">
        <v>3</v>
      </c>
      <c r="K407" s="3">
        <v>0.39300000000000002</v>
      </c>
      <c r="L407" s="3">
        <v>0.308</v>
      </c>
      <c r="M407" s="3">
        <v>0.71399999999999997</v>
      </c>
      <c r="N407" s="3">
        <v>5</v>
      </c>
      <c r="O407" s="3">
        <v>2.4</v>
      </c>
      <c r="P407" s="3">
        <v>1</v>
      </c>
      <c r="Q407" s="3">
        <v>0.1</v>
      </c>
      <c r="R407" s="92">
        <v>0</v>
      </c>
      <c r="S407">
        <f t="shared" si="8"/>
        <v>0</v>
      </c>
    </row>
    <row r="408" spans="1:19" ht="30">
      <c r="A408" s="3">
        <v>46</v>
      </c>
      <c r="B408" s="3" t="s">
        <v>31</v>
      </c>
      <c r="C408" s="67" t="s">
        <v>1276</v>
      </c>
      <c r="D408" s="3" t="s">
        <v>635</v>
      </c>
      <c r="E408" s="3">
        <v>3</v>
      </c>
      <c r="F408" s="3">
        <v>49</v>
      </c>
      <c r="G408" s="3">
        <v>475</v>
      </c>
      <c r="H408" s="3">
        <v>197</v>
      </c>
      <c r="I408" s="3">
        <v>34</v>
      </c>
      <c r="J408" s="3">
        <v>24</v>
      </c>
      <c r="K408" s="3">
        <v>0.39300000000000002</v>
      </c>
      <c r="L408" s="3">
        <v>0.34499999999999997</v>
      </c>
      <c r="M408" s="3">
        <v>0.875</v>
      </c>
      <c r="N408" s="3">
        <v>9.6999999999999993</v>
      </c>
      <c r="O408" s="3">
        <v>4</v>
      </c>
      <c r="P408" s="3">
        <v>0.7</v>
      </c>
      <c r="Q408" s="3">
        <v>0.5</v>
      </c>
      <c r="R408" s="92">
        <v>0</v>
      </c>
      <c r="S408">
        <f t="shared" si="8"/>
        <v>0</v>
      </c>
    </row>
    <row r="409" spans="1:19">
      <c r="A409" s="3">
        <v>48</v>
      </c>
      <c r="B409" s="3" t="s">
        <v>184</v>
      </c>
      <c r="C409" s="67" t="s">
        <v>1278</v>
      </c>
      <c r="D409" s="3" t="s">
        <v>917</v>
      </c>
      <c r="E409" s="3">
        <v>1</v>
      </c>
      <c r="F409" s="3">
        <v>3</v>
      </c>
      <c r="G409" s="3">
        <v>9</v>
      </c>
      <c r="H409" s="3">
        <v>0</v>
      </c>
      <c r="I409" s="3">
        <v>3</v>
      </c>
      <c r="J409" s="3">
        <v>0</v>
      </c>
      <c r="K409" s="3">
        <v>0</v>
      </c>
      <c r="L409" s="2"/>
      <c r="M409" s="2"/>
      <c r="N409" s="3">
        <v>3</v>
      </c>
      <c r="O409" s="3">
        <v>0</v>
      </c>
      <c r="P409" s="3">
        <v>1</v>
      </c>
      <c r="Q409" s="3">
        <v>0</v>
      </c>
      <c r="R409" s="92">
        <v>0</v>
      </c>
      <c r="S409">
        <f t="shared" si="8"/>
        <v>0</v>
      </c>
    </row>
    <row r="410" spans="1:19">
      <c r="A410" s="3">
        <v>46</v>
      </c>
      <c r="B410" s="3" t="s">
        <v>323</v>
      </c>
      <c r="C410" s="67" t="s">
        <v>1341</v>
      </c>
      <c r="D410" s="3" t="s">
        <v>744</v>
      </c>
      <c r="E410" s="3">
        <v>1</v>
      </c>
      <c r="F410" s="3">
        <v>1</v>
      </c>
      <c r="G410" s="3">
        <v>2</v>
      </c>
      <c r="H410" s="3">
        <v>0</v>
      </c>
      <c r="I410" s="3">
        <v>0</v>
      </c>
      <c r="J410" s="3">
        <v>0</v>
      </c>
      <c r="K410" s="2"/>
      <c r="L410" s="2"/>
      <c r="M410" s="2"/>
      <c r="N410" s="3">
        <v>2</v>
      </c>
      <c r="O410" s="3">
        <v>0</v>
      </c>
      <c r="P410" s="3">
        <v>0</v>
      </c>
      <c r="Q410" s="3">
        <v>0</v>
      </c>
      <c r="R410" s="92">
        <v>0</v>
      </c>
      <c r="S410">
        <f t="shared" si="8"/>
        <v>0</v>
      </c>
    </row>
    <row r="411" spans="1:19">
      <c r="A411" s="3">
        <v>50</v>
      </c>
      <c r="B411" s="3" t="s">
        <v>20</v>
      </c>
      <c r="C411" s="67" t="s">
        <v>1345</v>
      </c>
      <c r="D411" s="3" t="s">
        <v>182</v>
      </c>
      <c r="E411" s="3">
        <v>2</v>
      </c>
      <c r="F411" s="3">
        <v>26</v>
      </c>
      <c r="G411" s="3">
        <v>181</v>
      </c>
      <c r="H411" s="3">
        <v>39</v>
      </c>
      <c r="I411" s="3">
        <v>61</v>
      </c>
      <c r="J411" s="3">
        <v>5</v>
      </c>
      <c r="K411" s="3">
        <v>0.314</v>
      </c>
      <c r="L411" s="2"/>
      <c r="M411" s="3">
        <v>0.7</v>
      </c>
      <c r="N411" s="3">
        <v>7</v>
      </c>
      <c r="O411" s="3">
        <v>1.5</v>
      </c>
      <c r="P411" s="3">
        <v>2.2999999999999998</v>
      </c>
      <c r="Q411" s="3">
        <v>0.2</v>
      </c>
      <c r="R411" s="92">
        <v>0</v>
      </c>
      <c r="S411">
        <f t="shared" si="8"/>
        <v>0</v>
      </c>
    </row>
    <row r="412" spans="1:19">
      <c r="A412" s="3">
        <v>53</v>
      </c>
      <c r="B412" s="3" t="s">
        <v>184</v>
      </c>
      <c r="C412" s="67" t="s">
        <v>1349</v>
      </c>
      <c r="D412" s="2"/>
      <c r="E412" s="3">
        <v>1</v>
      </c>
      <c r="F412" s="3">
        <v>3</v>
      </c>
      <c r="G412" s="3">
        <v>21</v>
      </c>
      <c r="H412" s="3">
        <v>7</v>
      </c>
      <c r="I412" s="3">
        <v>3</v>
      </c>
      <c r="J412" s="3">
        <v>2</v>
      </c>
      <c r="K412" s="3">
        <v>0.33300000000000002</v>
      </c>
      <c r="L412" s="3">
        <v>0</v>
      </c>
      <c r="M412" s="3">
        <v>1</v>
      </c>
      <c r="N412" s="3">
        <v>7</v>
      </c>
      <c r="O412" s="3">
        <v>2.2999999999999998</v>
      </c>
      <c r="P412" s="3">
        <v>1</v>
      </c>
      <c r="Q412" s="3">
        <v>0.7</v>
      </c>
      <c r="R412" s="92">
        <v>0</v>
      </c>
      <c r="S412">
        <f t="shared" si="8"/>
        <v>0</v>
      </c>
    </row>
    <row r="413" spans="1:19" ht="30">
      <c r="A413" s="3">
        <v>56</v>
      </c>
      <c r="B413" s="3" t="s">
        <v>135</v>
      </c>
      <c r="C413" s="67" t="s">
        <v>1352</v>
      </c>
      <c r="D413" s="3" t="s">
        <v>1353</v>
      </c>
      <c r="E413" s="3">
        <v>3</v>
      </c>
      <c r="F413" s="3">
        <v>33</v>
      </c>
      <c r="G413" s="3">
        <v>157</v>
      </c>
      <c r="H413" s="3">
        <v>20</v>
      </c>
      <c r="I413" s="3">
        <v>25</v>
      </c>
      <c r="J413" s="3">
        <v>3</v>
      </c>
      <c r="K413" s="3">
        <v>0.46700000000000003</v>
      </c>
      <c r="L413" s="2"/>
      <c r="M413" s="3">
        <v>0.46200000000000002</v>
      </c>
      <c r="N413" s="3">
        <v>4.8</v>
      </c>
      <c r="O413" s="3">
        <v>0.6</v>
      </c>
      <c r="P413" s="3">
        <v>0.8</v>
      </c>
      <c r="Q413" s="3">
        <v>0.1</v>
      </c>
      <c r="R413" s="92">
        <v>0</v>
      </c>
      <c r="S413">
        <f t="shared" si="8"/>
        <v>0</v>
      </c>
    </row>
    <row r="414" spans="1:19">
      <c r="A414" s="3">
        <v>48</v>
      </c>
      <c r="B414" s="3" t="s">
        <v>323</v>
      </c>
      <c r="C414" s="67" t="s">
        <v>1407</v>
      </c>
      <c r="D414" s="3" t="s">
        <v>728</v>
      </c>
      <c r="E414" s="3">
        <v>1</v>
      </c>
      <c r="F414" s="3">
        <v>8</v>
      </c>
      <c r="G414" s="3">
        <v>32</v>
      </c>
      <c r="H414" s="3">
        <v>10</v>
      </c>
      <c r="I414" s="3">
        <v>2</v>
      </c>
      <c r="J414" s="3">
        <v>1</v>
      </c>
      <c r="K414" s="3">
        <v>0.4</v>
      </c>
      <c r="L414" s="3">
        <v>0</v>
      </c>
      <c r="M414" s="3">
        <v>0.5</v>
      </c>
      <c r="N414" s="3">
        <v>4</v>
      </c>
      <c r="O414" s="3">
        <v>1.3</v>
      </c>
      <c r="P414" s="3">
        <v>0.3</v>
      </c>
      <c r="Q414" s="3">
        <v>0.1</v>
      </c>
      <c r="R414" s="90">
        <v>0</v>
      </c>
      <c r="S414">
        <f t="shared" si="8"/>
        <v>0</v>
      </c>
    </row>
    <row r="415" spans="1:19">
      <c r="A415" s="61">
        <v>39</v>
      </c>
      <c r="B415" s="61" t="s">
        <v>99</v>
      </c>
      <c r="C415" s="122" t="s">
        <v>1466</v>
      </c>
      <c r="D415" s="61" t="s">
        <v>84</v>
      </c>
      <c r="E415" s="61">
        <v>4</v>
      </c>
      <c r="F415" s="61">
        <v>183</v>
      </c>
      <c r="G415" s="61">
        <v>3335</v>
      </c>
      <c r="H415" s="61">
        <v>1189</v>
      </c>
      <c r="I415" s="61">
        <v>402</v>
      </c>
      <c r="J415" s="61">
        <v>257</v>
      </c>
      <c r="K415" s="61">
        <v>0.46500000000000002</v>
      </c>
      <c r="L415" s="61">
        <v>0.28299999999999997</v>
      </c>
      <c r="M415" s="61">
        <v>0.70199999999999996</v>
      </c>
      <c r="N415" s="50">
        <v>18.2</v>
      </c>
      <c r="O415" s="61">
        <v>6.5</v>
      </c>
      <c r="P415" s="61">
        <v>2.2000000000000002</v>
      </c>
      <c r="Q415" s="61">
        <v>1.4</v>
      </c>
      <c r="R415" s="92">
        <v>0</v>
      </c>
      <c r="S415">
        <f t="shared" si="8"/>
        <v>0</v>
      </c>
    </row>
    <row r="416" spans="1:19" ht="30">
      <c r="A416" s="61">
        <v>42</v>
      </c>
      <c r="B416" s="61" t="s">
        <v>36</v>
      </c>
      <c r="C416" s="66" t="s">
        <v>1467</v>
      </c>
      <c r="D416" s="61" t="s">
        <v>59</v>
      </c>
      <c r="E416" s="61">
        <v>1</v>
      </c>
      <c r="F416" s="61">
        <v>37</v>
      </c>
      <c r="G416" s="61">
        <v>303</v>
      </c>
      <c r="H416" s="61">
        <v>90</v>
      </c>
      <c r="I416" s="61">
        <v>35</v>
      </c>
      <c r="J416" s="61">
        <v>29</v>
      </c>
      <c r="K416" s="61">
        <v>0.36499999999999999</v>
      </c>
      <c r="L416" s="61">
        <v>0.4</v>
      </c>
      <c r="M416" s="61">
        <v>0.85699999999999998</v>
      </c>
      <c r="N416" s="50">
        <v>8.1999999999999993</v>
      </c>
      <c r="O416" s="61">
        <v>2.4</v>
      </c>
      <c r="P416" s="61">
        <v>0.9</v>
      </c>
      <c r="Q416" s="61">
        <v>0.8</v>
      </c>
      <c r="R416" s="92">
        <v>0</v>
      </c>
      <c r="S416">
        <f t="shared" si="8"/>
        <v>0</v>
      </c>
    </row>
    <row r="417" spans="1:19">
      <c r="A417" s="61">
        <v>58</v>
      </c>
      <c r="B417" s="61" t="s">
        <v>31</v>
      </c>
      <c r="C417" s="66" t="s">
        <v>1468</v>
      </c>
      <c r="D417" s="61" t="s">
        <v>173</v>
      </c>
      <c r="E417" s="61">
        <v>1</v>
      </c>
      <c r="F417" s="61">
        <v>2</v>
      </c>
      <c r="G417" s="61">
        <v>23</v>
      </c>
      <c r="H417" s="61">
        <v>9</v>
      </c>
      <c r="I417" s="61">
        <v>4</v>
      </c>
      <c r="J417" s="61">
        <v>1</v>
      </c>
      <c r="K417" s="61">
        <v>0.3</v>
      </c>
      <c r="L417" s="61">
        <v>0.25</v>
      </c>
      <c r="M417" s="61">
        <v>1</v>
      </c>
      <c r="N417" s="50">
        <v>11.5</v>
      </c>
      <c r="O417" s="61">
        <v>4.5</v>
      </c>
      <c r="P417" s="61">
        <v>2</v>
      </c>
      <c r="Q417" s="61">
        <v>0.5</v>
      </c>
      <c r="R417" s="92">
        <v>0</v>
      </c>
      <c r="S417">
        <f t="shared" si="8"/>
        <v>0</v>
      </c>
    </row>
    <row r="418" spans="1:19" ht="30">
      <c r="A418" s="51">
        <v>36</v>
      </c>
      <c r="B418" s="51" t="s">
        <v>25</v>
      </c>
      <c r="C418" s="112" t="s">
        <v>1469</v>
      </c>
      <c r="D418" s="51" t="s">
        <v>46</v>
      </c>
      <c r="E418" s="51">
        <v>2</v>
      </c>
      <c r="F418" s="51">
        <v>52</v>
      </c>
      <c r="G418" s="51">
        <v>433</v>
      </c>
      <c r="H418" s="51">
        <v>162</v>
      </c>
      <c r="I418" s="51">
        <v>96</v>
      </c>
      <c r="J418" s="51">
        <v>14</v>
      </c>
      <c r="K418" s="51">
        <v>0.42499999999999999</v>
      </c>
      <c r="L418" s="51">
        <v>0</v>
      </c>
      <c r="M418" s="51">
        <v>0.57799999999999996</v>
      </c>
      <c r="N418" s="51">
        <v>8.3000000000000007</v>
      </c>
      <c r="O418" s="51">
        <v>3.1</v>
      </c>
      <c r="P418" s="51">
        <v>1.8</v>
      </c>
      <c r="Q418" s="51">
        <v>0.3</v>
      </c>
      <c r="R418" s="92">
        <v>0</v>
      </c>
      <c r="S418">
        <f t="shared" si="8"/>
        <v>0</v>
      </c>
    </row>
    <row r="419" spans="1:19" ht="30">
      <c r="A419" s="51">
        <v>51</v>
      </c>
      <c r="B419" s="51" t="s">
        <v>99</v>
      </c>
      <c r="C419" s="112" t="s">
        <v>1470</v>
      </c>
      <c r="D419" s="51" t="s">
        <v>511</v>
      </c>
      <c r="E419" s="51">
        <v>1</v>
      </c>
      <c r="F419" s="51">
        <v>1</v>
      </c>
      <c r="G419" s="51">
        <v>0</v>
      </c>
      <c r="H419" s="51">
        <v>0</v>
      </c>
      <c r="I419" s="51">
        <v>0</v>
      </c>
      <c r="J419" s="51">
        <v>0</v>
      </c>
      <c r="K419" s="51">
        <v>0</v>
      </c>
      <c r="L419" s="51">
        <v>0</v>
      </c>
      <c r="M419" s="51">
        <v>0</v>
      </c>
      <c r="N419" s="51">
        <v>0</v>
      </c>
      <c r="O419" s="51">
        <v>0</v>
      </c>
      <c r="P419" s="51">
        <v>0</v>
      </c>
      <c r="Q419" s="51">
        <v>0</v>
      </c>
      <c r="R419" s="92">
        <v>0</v>
      </c>
      <c r="S419">
        <f t="shared" si="8"/>
        <v>0</v>
      </c>
    </row>
    <row r="420" spans="1:19" ht="30">
      <c r="A420" s="3">
        <v>35</v>
      </c>
      <c r="B420" s="3" t="s">
        <v>34</v>
      </c>
      <c r="C420" s="67" t="s">
        <v>1401</v>
      </c>
      <c r="D420" s="3" t="s">
        <v>1094</v>
      </c>
      <c r="E420" s="3">
        <v>4</v>
      </c>
      <c r="F420" s="3">
        <v>83</v>
      </c>
      <c r="G420" s="3">
        <v>820</v>
      </c>
      <c r="H420" s="3">
        <v>278</v>
      </c>
      <c r="I420" s="3">
        <v>82</v>
      </c>
      <c r="J420" s="3">
        <v>29</v>
      </c>
      <c r="K420" s="3">
        <v>0.38400000000000001</v>
      </c>
      <c r="L420" s="3">
        <v>0.36699999999999999</v>
      </c>
      <c r="M420" s="3">
        <v>0.64200000000000002</v>
      </c>
      <c r="N420" s="3">
        <v>9.9</v>
      </c>
      <c r="O420" s="3">
        <v>3.3</v>
      </c>
      <c r="P420" s="3">
        <v>1</v>
      </c>
      <c r="Q420" s="3">
        <v>0.3</v>
      </c>
      <c r="R420" s="90">
        <v>-0.1</v>
      </c>
      <c r="S420">
        <f t="shared" si="8"/>
        <v>-2.5000000000000001E-2</v>
      </c>
    </row>
    <row r="421" spans="1:19" ht="30">
      <c r="A421" s="3">
        <v>43</v>
      </c>
      <c r="B421" s="3" t="s">
        <v>36</v>
      </c>
      <c r="C421" s="67" t="s">
        <v>620</v>
      </c>
      <c r="D421" s="3" t="s">
        <v>621</v>
      </c>
      <c r="E421" s="3">
        <v>3</v>
      </c>
      <c r="F421" s="3">
        <v>39</v>
      </c>
      <c r="G421" s="3">
        <v>349</v>
      </c>
      <c r="H421" s="3">
        <v>147</v>
      </c>
      <c r="I421" s="3">
        <v>45</v>
      </c>
      <c r="J421" s="3">
        <v>21</v>
      </c>
      <c r="K421" s="3">
        <v>0.41599999999999998</v>
      </c>
      <c r="L421" s="3">
        <v>0.27100000000000002</v>
      </c>
      <c r="M421" s="3">
        <v>0.68</v>
      </c>
      <c r="N421" s="3">
        <v>8.9</v>
      </c>
      <c r="O421" s="3">
        <v>3.8</v>
      </c>
      <c r="P421" s="3">
        <v>1.2</v>
      </c>
      <c r="Q421" s="3">
        <v>0.5</v>
      </c>
      <c r="R421" s="3">
        <v>-0.1</v>
      </c>
      <c r="S421">
        <f t="shared" si="8"/>
        <v>-3.3333333333333333E-2</v>
      </c>
    </row>
    <row r="422" spans="1:19" ht="30">
      <c r="A422" s="3">
        <v>55</v>
      </c>
      <c r="B422" s="3" t="s">
        <v>47</v>
      </c>
      <c r="C422" s="67" t="s">
        <v>632</v>
      </c>
      <c r="D422" s="3" t="s">
        <v>633</v>
      </c>
      <c r="E422" s="3">
        <v>3</v>
      </c>
      <c r="F422" s="3">
        <v>24</v>
      </c>
      <c r="G422" s="3">
        <v>235</v>
      </c>
      <c r="H422" s="3">
        <v>97</v>
      </c>
      <c r="I422" s="3">
        <v>36</v>
      </c>
      <c r="J422" s="3">
        <v>10</v>
      </c>
      <c r="K422" s="3">
        <v>0.41599999999999998</v>
      </c>
      <c r="L422" s="3">
        <v>0.313</v>
      </c>
      <c r="M422" s="3">
        <v>0.76500000000000001</v>
      </c>
      <c r="N422" s="3">
        <v>9.8000000000000007</v>
      </c>
      <c r="O422" s="3">
        <v>4</v>
      </c>
      <c r="P422" s="3">
        <v>1.5</v>
      </c>
      <c r="Q422" s="3">
        <v>0.4</v>
      </c>
      <c r="R422" s="3">
        <v>-0.1</v>
      </c>
      <c r="S422">
        <f t="shared" si="8"/>
        <v>-3.3333333333333333E-2</v>
      </c>
    </row>
    <row r="423" spans="1:19">
      <c r="A423" s="3">
        <v>38</v>
      </c>
      <c r="B423" s="3" t="s">
        <v>23</v>
      </c>
      <c r="C423" s="67" t="s">
        <v>1198</v>
      </c>
      <c r="D423" s="3" t="s">
        <v>208</v>
      </c>
      <c r="E423" s="3">
        <v>3</v>
      </c>
      <c r="F423" s="3">
        <v>69</v>
      </c>
      <c r="G423" s="3">
        <v>934</v>
      </c>
      <c r="H423" s="3">
        <v>295</v>
      </c>
      <c r="I423" s="3">
        <v>169</v>
      </c>
      <c r="J423" s="3">
        <v>37</v>
      </c>
      <c r="K423" s="3">
        <v>0.35</v>
      </c>
      <c r="L423" s="3">
        <v>0.29199999999999998</v>
      </c>
      <c r="M423" s="3">
        <v>0.70599999999999996</v>
      </c>
      <c r="N423" s="3">
        <v>13.5</v>
      </c>
      <c r="O423" s="3">
        <v>4.3</v>
      </c>
      <c r="P423" s="3">
        <v>2.4</v>
      </c>
      <c r="Q423" s="3">
        <v>0.5</v>
      </c>
      <c r="R423" s="3">
        <v>-0.1</v>
      </c>
      <c r="S423">
        <f t="shared" si="8"/>
        <v>-3.3333333333333333E-2</v>
      </c>
    </row>
    <row r="424" spans="1:19" ht="30">
      <c r="A424" s="3">
        <v>52</v>
      </c>
      <c r="B424" s="3" t="s">
        <v>135</v>
      </c>
      <c r="C424" s="67" t="s">
        <v>1145</v>
      </c>
      <c r="D424" s="3" t="s">
        <v>798</v>
      </c>
      <c r="E424" s="3">
        <v>5</v>
      </c>
      <c r="F424" s="3">
        <v>103</v>
      </c>
      <c r="G424" s="3">
        <v>1185</v>
      </c>
      <c r="H424" s="3">
        <v>293</v>
      </c>
      <c r="I424" s="3">
        <v>151</v>
      </c>
      <c r="J424" s="3">
        <v>183</v>
      </c>
      <c r="K424" s="3">
        <v>0.36399999999999999</v>
      </c>
      <c r="L424" s="3">
        <v>0.17</v>
      </c>
      <c r="M424" s="3">
        <v>0.70699999999999996</v>
      </c>
      <c r="N424" s="3">
        <v>11.5</v>
      </c>
      <c r="O424" s="3">
        <v>2.8</v>
      </c>
      <c r="P424" s="3">
        <v>1.5</v>
      </c>
      <c r="Q424" s="3">
        <v>1.8</v>
      </c>
      <c r="R424" s="3">
        <v>-0.2</v>
      </c>
      <c r="S424">
        <f t="shared" si="8"/>
        <v>-0.04</v>
      </c>
    </row>
    <row r="425" spans="1:19">
      <c r="A425" s="3">
        <v>34</v>
      </c>
      <c r="B425" s="3" t="s">
        <v>66</v>
      </c>
      <c r="C425" s="88" t="s">
        <v>614</v>
      </c>
      <c r="D425" s="2"/>
      <c r="E425" s="3">
        <v>4</v>
      </c>
      <c r="F425" s="3">
        <v>177</v>
      </c>
      <c r="G425" s="3">
        <v>3753</v>
      </c>
      <c r="H425" s="3">
        <v>1373</v>
      </c>
      <c r="I425" s="3">
        <v>489</v>
      </c>
      <c r="J425" s="3">
        <v>518</v>
      </c>
      <c r="K425" s="3">
        <v>0.372</v>
      </c>
      <c r="L425" s="3">
        <v>0.31</v>
      </c>
      <c r="M425" s="3">
        <v>0.79300000000000004</v>
      </c>
      <c r="N425" s="3">
        <v>21.2</v>
      </c>
      <c r="O425" s="3">
        <v>7.8</v>
      </c>
      <c r="P425" s="3">
        <v>2.8</v>
      </c>
      <c r="Q425" s="3">
        <v>2.9</v>
      </c>
      <c r="R425" s="3">
        <v>-0.2</v>
      </c>
      <c r="S425">
        <f t="shared" ref="S425:S488" si="9">R425/E425</f>
        <v>-0.05</v>
      </c>
    </row>
    <row r="426" spans="1:19" ht="30">
      <c r="A426" s="3">
        <v>40</v>
      </c>
      <c r="B426" s="3" t="s">
        <v>152</v>
      </c>
      <c r="C426" s="67" t="s">
        <v>618</v>
      </c>
      <c r="D426" s="3" t="s">
        <v>619</v>
      </c>
      <c r="E426" s="3">
        <v>2</v>
      </c>
      <c r="F426" s="3">
        <v>25</v>
      </c>
      <c r="G426" s="3">
        <v>87</v>
      </c>
      <c r="H426" s="3">
        <v>27</v>
      </c>
      <c r="I426" s="3">
        <v>27</v>
      </c>
      <c r="J426" s="3">
        <v>5</v>
      </c>
      <c r="K426" s="3">
        <v>0.27800000000000002</v>
      </c>
      <c r="L426" s="3">
        <v>0.2</v>
      </c>
      <c r="M426" s="3">
        <v>0.5</v>
      </c>
      <c r="N426" s="3">
        <v>3.5</v>
      </c>
      <c r="O426" s="3">
        <v>1.1000000000000001</v>
      </c>
      <c r="P426" s="3">
        <v>1.1000000000000001</v>
      </c>
      <c r="Q426" s="3">
        <v>0.2</v>
      </c>
      <c r="R426" s="3">
        <v>-0.1</v>
      </c>
      <c r="S426">
        <f t="shared" si="9"/>
        <v>-0.05</v>
      </c>
    </row>
    <row r="427" spans="1:19">
      <c r="A427" s="3">
        <v>35</v>
      </c>
      <c r="B427" s="3" t="s">
        <v>184</v>
      </c>
      <c r="C427" s="67" t="s">
        <v>677</v>
      </c>
      <c r="D427" s="2"/>
      <c r="E427" s="3">
        <v>2</v>
      </c>
      <c r="F427" s="3">
        <v>12</v>
      </c>
      <c r="G427" s="3">
        <v>185</v>
      </c>
      <c r="H427" s="3">
        <v>43</v>
      </c>
      <c r="I427" s="3">
        <v>20</v>
      </c>
      <c r="J427" s="3">
        <v>8</v>
      </c>
      <c r="K427" s="3">
        <v>0.32600000000000001</v>
      </c>
      <c r="L427" s="3">
        <v>0.35499999999999998</v>
      </c>
      <c r="M427" s="3">
        <v>1</v>
      </c>
      <c r="N427" s="3">
        <v>15.4</v>
      </c>
      <c r="O427" s="3">
        <v>3.6</v>
      </c>
      <c r="P427" s="3">
        <v>1.7</v>
      </c>
      <c r="Q427" s="3">
        <v>0.7</v>
      </c>
      <c r="R427" s="3">
        <v>-0.1</v>
      </c>
      <c r="S427">
        <f t="shared" si="9"/>
        <v>-0.05</v>
      </c>
    </row>
    <row r="428" spans="1:19" ht="30">
      <c r="A428" s="3">
        <v>37</v>
      </c>
      <c r="B428" s="3" t="s">
        <v>20</v>
      </c>
      <c r="C428" s="67" t="s">
        <v>679</v>
      </c>
      <c r="D428" s="2"/>
      <c r="E428" s="3">
        <v>2</v>
      </c>
      <c r="F428" s="3">
        <v>23</v>
      </c>
      <c r="G428" s="3">
        <v>160</v>
      </c>
      <c r="H428" s="3">
        <v>44</v>
      </c>
      <c r="I428" s="3">
        <v>35</v>
      </c>
      <c r="J428" s="3">
        <v>6</v>
      </c>
      <c r="K428" s="3">
        <v>0.3</v>
      </c>
      <c r="L428" s="3">
        <v>0.314</v>
      </c>
      <c r="M428" s="3">
        <v>0.5</v>
      </c>
      <c r="N428" s="3">
        <v>7</v>
      </c>
      <c r="O428" s="3">
        <v>1.9</v>
      </c>
      <c r="P428" s="3">
        <v>1.5</v>
      </c>
      <c r="Q428" s="3">
        <v>0.3</v>
      </c>
      <c r="R428" s="3">
        <v>-0.1</v>
      </c>
      <c r="S428">
        <f t="shared" si="9"/>
        <v>-0.05</v>
      </c>
    </row>
    <row r="429" spans="1:19">
      <c r="A429" s="3">
        <v>59</v>
      </c>
      <c r="B429" s="3" t="s">
        <v>323</v>
      </c>
      <c r="C429" s="67" t="s">
        <v>780</v>
      </c>
      <c r="D429" s="3" t="s">
        <v>65</v>
      </c>
      <c r="E429" s="3">
        <v>2</v>
      </c>
      <c r="F429" s="3">
        <v>5</v>
      </c>
      <c r="G429" s="3">
        <v>25</v>
      </c>
      <c r="H429" s="3">
        <v>1</v>
      </c>
      <c r="I429" s="3">
        <v>6</v>
      </c>
      <c r="J429" s="3">
        <v>0</v>
      </c>
      <c r="K429" s="3">
        <v>0</v>
      </c>
      <c r="L429" s="3">
        <v>0</v>
      </c>
      <c r="M429" s="3">
        <v>0.5</v>
      </c>
      <c r="N429" s="3">
        <v>5</v>
      </c>
      <c r="O429" s="3">
        <v>0.2</v>
      </c>
      <c r="P429" s="3">
        <v>1.2</v>
      </c>
      <c r="Q429" s="3">
        <v>0</v>
      </c>
      <c r="R429" s="3">
        <v>-0.1</v>
      </c>
      <c r="S429">
        <f t="shared" si="9"/>
        <v>-0.05</v>
      </c>
    </row>
    <row r="430" spans="1:19" ht="30">
      <c r="A430" s="3">
        <v>49</v>
      </c>
      <c r="B430" s="3" t="s">
        <v>99</v>
      </c>
      <c r="C430" s="67" t="s">
        <v>1065</v>
      </c>
      <c r="D430" s="3" t="s">
        <v>1066</v>
      </c>
      <c r="E430" s="3">
        <v>2</v>
      </c>
      <c r="F430" s="3">
        <v>36</v>
      </c>
      <c r="G430" s="3">
        <v>167</v>
      </c>
      <c r="H430" s="3">
        <v>44</v>
      </c>
      <c r="I430" s="3">
        <v>36</v>
      </c>
      <c r="J430" s="3">
        <v>7</v>
      </c>
      <c r="K430" s="3">
        <v>0.29599999999999999</v>
      </c>
      <c r="L430" s="3">
        <v>0.2</v>
      </c>
      <c r="M430" s="3">
        <v>0.84599999999999997</v>
      </c>
      <c r="N430" s="3">
        <v>4.5999999999999996</v>
      </c>
      <c r="O430" s="3">
        <v>1.2</v>
      </c>
      <c r="P430" s="3">
        <v>1</v>
      </c>
      <c r="Q430" s="3">
        <v>0.2</v>
      </c>
      <c r="R430" s="3">
        <v>-0.1</v>
      </c>
      <c r="S430">
        <f t="shared" si="9"/>
        <v>-0.05</v>
      </c>
    </row>
    <row r="431" spans="1:19" ht="30">
      <c r="A431" s="3">
        <v>35</v>
      </c>
      <c r="B431" s="3" t="s">
        <v>36</v>
      </c>
      <c r="C431" s="67" t="s">
        <v>1267</v>
      </c>
      <c r="D431" s="3" t="s">
        <v>63</v>
      </c>
      <c r="E431" s="3">
        <v>2</v>
      </c>
      <c r="F431" s="3">
        <v>24</v>
      </c>
      <c r="G431" s="3">
        <v>120</v>
      </c>
      <c r="H431" s="3">
        <v>28</v>
      </c>
      <c r="I431" s="3">
        <v>24</v>
      </c>
      <c r="J431" s="3">
        <v>9</v>
      </c>
      <c r="K431" s="3">
        <v>0.314</v>
      </c>
      <c r="L431" s="3">
        <v>0.2</v>
      </c>
      <c r="M431" s="3">
        <v>0.71399999999999997</v>
      </c>
      <c r="N431" s="3">
        <v>5</v>
      </c>
      <c r="O431" s="3">
        <v>1.2</v>
      </c>
      <c r="P431" s="3">
        <v>1</v>
      </c>
      <c r="Q431" s="3">
        <v>0.4</v>
      </c>
      <c r="R431" s="92">
        <v>-0.1</v>
      </c>
      <c r="S431">
        <f t="shared" si="9"/>
        <v>-0.05</v>
      </c>
    </row>
    <row r="432" spans="1:19" ht="30">
      <c r="A432" s="3">
        <v>34</v>
      </c>
      <c r="B432" s="3" t="s">
        <v>124</v>
      </c>
      <c r="C432" s="67" t="s">
        <v>1330</v>
      </c>
      <c r="D432" s="3" t="s">
        <v>147</v>
      </c>
      <c r="E432" s="3">
        <v>2</v>
      </c>
      <c r="F432" s="3">
        <v>47</v>
      </c>
      <c r="G432" s="3">
        <v>401</v>
      </c>
      <c r="H432" s="3">
        <v>157</v>
      </c>
      <c r="I432" s="3">
        <v>49</v>
      </c>
      <c r="J432" s="3">
        <v>56</v>
      </c>
      <c r="K432" s="3">
        <v>0.45800000000000002</v>
      </c>
      <c r="L432" s="3">
        <v>0.4</v>
      </c>
      <c r="M432" s="3">
        <v>0.67900000000000005</v>
      </c>
      <c r="N432" s="3">
        <v>8.5</v>
      </c>
      <c r="O432" s="3">
        <v>3.3</v>
      </c>
      <c r="P432" s="3">
        <v>1</v>
      </c>
      <c r="Q432" s="3">
        <v>1.2</v>
      </c>
      <c r="R432" s="92">
        <v>-0.1</v>
      </c>
      <c r="S432">
        <f t="shared" si="9"/>
        <v>-0.05</v>
      </c>
    </row>
    <row r="433" spans="1:19" ht="30">
      <c r="A433" s="51">
        <v>33</v>
      </c>
      <c r="B433" s="51" t="s">
        <v>79</v>
      </c>
      <c r="C433" s="112" t="s">
        <v>1471</v>
      </c>
      <c r="D433" s="51" t="s">
        <v>224</v>
      </c>
      <c r="E433" s="51">
        <v>2</v>
      </c>
      <c r="F433" s="51">
        <v>13</v>
      </c>
      <c r="G433" s="51">
        <v>39</v>
      </c>
      <c r="H433" s="51">
        <v>14</v>
      </c>
      <c r="I433" s="51">
        <v>12</v>
      </c>
      <c r="J433" s="51">
        <v>3</v>
      </c>
      <c r="K433" s="51">
        <v>0.318</v>
      </c>
      <c r="L433" s="51">
        <v>0</v>
      </c>
      <c r="M433" s="51">
        <v>0</v>
      </c>
      <c r="N433" s="51">
        <v>3</v>
      </c>
      <c r="O433" s="51">
        <v>1.1000000000000001</v>
      </c>
      <c r="P433" s="51">
        <v>0.9</v>
      </c>
      <c r="Q433" s="51">
        <v>0.2</v>
      </c>
      <c r="R433" s="92">
        <v>-0.1</v>
      </c>
      <c r="S433">
        <f t="shared" si="9"/>
        <v>-0.05</v>
      </c>
    </row>
    <row r="434" spans="1:19" ht="45">
      <c r="A434" s="3">
        <v>60</v>
      </c>
      <c r="B434" s="3" t="s">
        <v>66</v>
      </c>
      <c r="C434" s="67" t="s">
        <v>781</v>
      </c>
      <c r="D434" s="3" t="s">
        <v>325</v>
      </c>
      <c r="E434" s="3">
        <v>3</v>
      </c>
      <c r="F434" s="3">
        <v>22</v>
      </c>
      <c r="G434" s="3">
        <v>87</v>
      </c>
      <c r="H434" s="3">
        <v>21</v>
      </c>
      <c r="I434" s="3">
        <v>23</v>
      </c>
      <c r="J434" s="3">
        <v>3</v>
      </c>
      <c r="K434" s="3">
        <v>0.375</v>
      </c>
      <c r="L434" s="2"/>
      <c r="M434" s="3">
        <v>0.47399999999999998</v>
      </c>
      <c r="N434" s="3">
        <v>4</v>
      </c>
      <c r="O434" s="3">
        <v>1</v>
      </c>
      <c r="P434" s="3">
        <v>1</v>
      </c>
      <c r="Q434" s="3">
        <v>0.1</v>
      </c>
      <c r="R434" s="3">
        <v>-0.2</v>
      </c>
      <c r="S434">
        <f t="shared" si="9"/>
        <v>-6.6666666666666666E-2</v>
      </c>
    </row>
    <row r="435" spans="1:19" ht="30">
      <c r="A435" s="3">
        <v>34</v>
      </c>
      <c r="B435" s="3" t="s">
        <v>31</v>
      </c>
      <c r="C435" s="67" t="s">
        <v>973</v>
      </c>
      <c r="D435" s="3" t="s">
        <v>121</v>
      </c>
      <c r="E435" s="3">
        <v>3</v>
      </c>
      <c r="F435" s="3">
        <v>41</v>
      </c>
      <c r="G435" s="3">
        <v>762</v>
      </c>
      <c r="H435" s="3">
        <v>161</v>
      </c>
      <c r="I435" s="3">
        <v>103</v>
      </c>
      <c r="J435" s="3">
        <v>28</v>
      </c>
      <c r="K435" s="3">
        <v>0.32800000000000001</v>
      </c>
      <c r="L435" s="3">
        <v>0.28599999999999998</v>
      </c>
      <c r="M435" s="3">
        <v>0.85</v>
      </c>
      <c r="N435" s="3">
        <v>18.600000000000001</v>
      </c>
      <c r="O435" s="3">
        <v>3.9</v>
      </c>
      <c r="P435" s="3">
        <v>2.5</v>
      </c>
      <c r="Q435" s="3">
        <v>0.7</v>
      </c>
      <c r="R435" s="3">
        <v>-0.2</v>
      </c>
      <c r="S435">
        <f t="shared" si="9"/>
        <v>-6.6666666666666666E-2</v>
      </c>
    </row>
    <row r="436" spans="1:19">
      <c r="A436" s="3">
        <v>41</v>
      </c>
      <c r="B436" s="3" t="s">
        <v>31</v>
      </c>
      <c r="C436" s="67" t="s">
        <v>1272</v>
      </c>
      <c r="D436" s="3" t="s">
        <v>151</v>
      </c>
      <c r="E436" s="3">
        <v>4</v>
      </c>
      <c r="F436" s="3">
        <v>132</v>
      </c>
      <c r="G436" s="3">
        <v>1464</v>
      </c>
      <c r="H436" s="3">
        <v>430</v>
      </c>
      <c r="I436" s="3">
        <v>126</v>
      </c>
      <c r="J436" s="3">
        <v>189</v>
      </c>
      <c r="K436" s="3">
        <v>0.38400000000000001</v>
      </c>
      <c r="L436" s="3">
        <v>0.32200000000000001</v>
      </c>
      <c r="M436" s="3">
        <v>0.63</v>
      </c>
      <c r="N436" s="3">
        <v>11.1</v>
      </c>
      <c r="O436" s="3">
        <v>3.3</v>
      </c>
      <c r="P436" s="3">
        <v>1</v>
      </c>
      <c r="Q436" s="3">
        <v>1.4</v>
      </c>
      <c r="R436" s="92">
        <v>-0.3</v>
      </c>
      <c r="S436">
        <f t="shared" si="9"/>
        <v>-7.4999999999999997E-2</v>
      </c>
    </row>
    <row r="437" spans="1:19">
      <c r="A437" s="3">
        <v>32</v>
      </c>
      <c r="B437" s="3" t="s">
        <v>76</v>
      </c>
      <c r="C437" s="67" t="s">
        <v>1264</v>
      </c>
      <c r="D437" s="3" t="s">
        <v>1265</v>
      </c>
      <c r="E437" s="3">
        <v>3</v>
      </c>
      <c r="F437" s="3">
        <v>22</v>
      </c>
      <c r="G437" s="3">
        <v>150</v>
      </c>
      <c r="H437" s="3">
        <v>45</v>
      </c>
      <c r="I437" s="3">
        <v>18</v>
      </c>
      <c r="J437" s="3">
        <v>4</v>
      </c>
      <c r="K437" s="3">
        <v>0.34</v>
      </c>
      <c r="L437" s="3">
        <v>0.27600000000000002</v>
      </c>
      <c r="M437" s="3">
        <v>0.33300000000000002</v>
      </c>
      <c r="N437" s="3">
        <v>6.8</v>
      </c>
      <c r="O437" s="3">
        <v>2</v>
      </c>
      <c r="P437" s="3">
        <v>0.8</v>
      </c>
      <c r="Q437" s="3">
        <v>0.2</v>
      </c>
      <c r="R437" s="92">
        <v>-0.3</v>
      </c>
      <c r="S437">
        <f t="shared" si="9"/>
        <v>-9.9999999999999992E-2</v>
      </c>
    </row>
    <row r="438" spans="1:19" ht="30">
      <c r="A438" s="3">
        <v>60</v>
      </c>
      <c r="B438" s="3" t="s">
        <v>41</v>
      </c>
      <c r="C438" s="67" t="s">
        <v>566</v>
      </c>
      <c r="D438" s="2"/>
      <c r="E438" s="3">
        <v>1</v>
      </c>
      <c r="F438" s="3">
        <v>13</v>
      </c>
      <c r="G438" s="3">
        <v>213</v>
      </c>
      <c r="H438" s="3">
        <v>86</v>
      </c>
      <c r="I438" s="3">
        <v>21</v>
      </c>
      <c r="J438" s="3">
        <v>12</v>
      </c>
      <c r="K438" s="3">
        <v>0.46300000000000002</v>
      </c>
      <c r="L438" s="3">
        <v>0.38500000000000001</v>
      </c>
      <c r="M438" s="3">
        <v>0.46700000000000003</v>
      </c>
      <c r="N438" s="3">
        <v>16.399999999999999</v>
      </c>
      <c r="O438" s="3">
        <v>6.6</v>
      </c>
      <c r="P438" s="3">
        <v>1.6</v>
      </c>
      <c r="Q438" s="3">
        <v>0.9</v>
      </c>
      <c r="R438" s="3">
        <v>-0.1</v>
      </c>
      <c r="S438">
        <f t="shared" si="9"/>
        <v>-0.1</v>
      </c>
    </row>
    <row r="439" spans="1:19">
      <c r="A439" s="3">
        <v>54</v>
      </c>
      <c r="B439" s="3" t="s">
        <v>66</v>
      </c>
      <c r="C439" s="67" t="s">
        <v>696</v>
      </c>
      <c r="D439" s="3" t="s">
        <v>108</v>
      </c>
      <c r="E439" s="3">
        <v>1</v>
      </c>
      <c r="F439" s="3">
        <v>4</v>
      </c>
      <c r="G439" s="3">
        <v>28</v>
      </c>
      <c r="H439" s="3">
        <v>11</v>
      </c>
      <c r="I439" s="3">
        <v>7</v>
      </c>
      <c r="J439" s="3">
        <v>1</v>
      </c>
      <c r="K439" s="3">
        <v>0.25</v>
      </c>
      <c r="L439" s="3">
        <v>0.33300000000000002</v>
      </c>
      <c r="M439" s="3">
        <v>0.75</v>
      </c>
      <c r="N439" s="3">
        <v>7</v>
      </c>
      <c r="O439" s="3">
        <v>2.8</v>
      </c>
      <c r="P439" s="3">
        <v>1.8</v>
      </c>
      <c r="Q439" s="3">
        <v>0.3</v>
      </c>
      <c r="R439" s="3">
        <v>-0.1</v>
      </c>
      <c r="S439">
        <f t="shared" si="9"/>
        <v>-0.1</v>
      </c>
    </row>
    <row r="440" spans="1:19">
      <c r="A440" s="3">
        <v>57</v>
      </c>
      <c r="B440" s="3" t="s">
        <v>82</v>
      </c>
      <c r="C440" s="67" t="s">
        <v>777</v>
      </c>
      <c r="D440" s="3" t="s">
        <v>778</v>
      </c>
      <c r="E440" s="3">
        <v>1</v>
      </c>
      <c r="F440" s="3">
        <v>10</v>
      </c>
      <c r="G440" s="3">
        <v>52</v>
      </c>
      <c r="H440" s="3">
        <v>17</v>
      </c>
      <c r="I440" s="3">
        <v>12</v>
      </c>
      <c r="J440" s="3">
        <v>5</v>
      </c>
      <c r="K440" s="3">
        <v>0.25900000000000001</v>
      </c>
      <c r="L440" s="3">
        <v>0.15</v>
      </c>
      <c r="M440" s="2">
        <v>0</v>
      </c>
      <c r="N440" s="3">
        <v>5.2</v>
      </c>
      <c r="O440" s="3">
        <v>1.7</v>
      </c>
      <c r="P440" s="3">
        <v>1.2</v>
      </c>
      <c r="Q440" s="3">
        <v>0.5</v>
      </c>
      <c r="R440" s="3">
        <v>-0.1</v>
      </c>
      <c r="S440">
        <f t="shared" si="9"/>
        <v>-0.1</v>
      </c>
    </row>
    <row r="441" spans="1:19" ht="30">
      <c r="A441" s="3">
        <v>40</v>
      </c>
      <c r="B441" s="3" t="s">
        <v>44</v>
      </c>
      <c r="C441" s="67" t="s">
        <v>903</v>
      </c>
      <c r="D441" s="3" t="s">
        <v>89</v>
      </c>
      <c r="E441" s="3">
        <v>1</v>
      </c>
      <c r="F441" s="3">
        <v>7</v>
      </c>
      <c r="G441" s="3">
        <v>24</v>
      </c>
      <c r="H441" s="3">
        <v>10</v>
      </c>
      <c r="I441" s="3">
        <v>6</v>
      </c>
      <c r="J441" s="3">
        <v>0</v>
      </c>
      <c r="K441" s="3">
        <v>0.23100000000000001</v>
      </c>
      <c r="L441" s="2">
        <v>0</v>
      </c>
      <c r="M441" s="3">
        <v>1</v>
      </c>
      <c r="N441" s="3">
        <v>3.4</v>
      </c>
      <c r="O441" s="3">
        <v>1.4</v>
      </c>
      <c r="P441" s="3">
        <v>0.9</v>
      </c>
      <c r="Q441" s="3">
        <v>0</v>
      </c>
      <c r="R441" s="3">
        <v>-0.1</v>
      </c>
      <c r="S441">
        <f t="shared" si="9"/>
        <v>-0.1</v>
      </c>
    </row>
    <row r="442" spans="1:19">
      <c r="A442" s="3">
        <v>43</v>
      </c>
      <c r="B442" s="3" t="s">
        <v>52</v>
      </c>
      <c r="C442" s="67" t="s">
        <v>906</v>
      </c>
      <c r="D442" s="2"/>
      <c r="E442" s="3">
        <v>2</v>
      </c>
      <c r="F442" s="3">
        <v>19</v>
      </c>
      <c r="G442" s="3">
        <v>125</v>
      </c>
      <c r="H442" s="3">
        <v>24</v>
      </c>
      <c r="I442" s="3">
        <v>22</v>
      </c>
      <c r="J442" s="3">
        <v>2</v>
      </c>
      <c r="K442" s="3">
        <v>0.21199999999999999</v>
      </c>
      <c r="L442" s="3">
        <v>0.105</v>
      </c>
      <c r="M442" s="3">
        <v>0.66700000000000004</v>
      </c>
      <c r="N442" s="3">
        <v>6.6</v>
      </c>
      <c r="O442" s="3">
        <v>1.3</v>
      </c>
      <c r="P442" s="3">
        <v>1.2</v>
      </c>
      <c r="Q442" s="3">
        <v>0.1</v>
      </c>
      <c r="R442" s="3">
        <v>-0.2</v>
      </c>
      <c r="S442">
        <f t="shared" si="9"/>
        <v>-0.1</v>
      </c>
    </row>
    <row r="443" spans="1:19" ht="30">
      <c r="A443" s="3">
        <v>49</v>
      </c>
      <c r="B443" s="3" t="s">
        <v>34</v>
      </c>
      <c r="C443" s="67" t="s">
        <v>912</v>
      </c>
      <c r="D443" s="3" t="s">
        <v>68</v>
      </c>
      <c r="E443" s="3">
        <v>1</v>
      </c>
      <c r="F443" s="3">
        <v>9</v>
      </c>
      <c r="G443" s="3">
        <v>32</v>
      </c>
      <c r="H443" s="3">
        <v>4</v>
      </c>
      <c r="I443" s="3">
        <v>3</v>
      </c>
      <c r="J443" s="3">
        <v>2</v>
      </c>
      <c r="K443" s="3">
        <v>0.1</v>
      </c>
      <c r="L443" s="3">
        <v>0</v>
      </c>
      <c r="M443" s="3">
        <v>1</v>
      </c>
      <c r="N443" s="3">
        <v>3.6</v>
      </c>
      <c r="O443" s="3">
        <v>0.4</v>
      </c>
      <c r="P443" s="3">
        <v>0.3</v>
      </c>
      <c r="Q443" s="3">
        <v>0.2</v>
      </c>
      <c r="R443" s="3">
        <v>-0.1</v>
      </c>
      <c r="S443">
        <f t="shared" si="9"/>
        <v>-0.1</v>
      </c>
    </row>
    <row r="444" spans="1:19">
      <c r="A444" s="3">
        <v>51</v>
      </c>
      <c r="B444" s="3" t="s">
        <v>190</v>
      </c>
      <c r="C444" s="67" t="s">
        <v>913</v>
      </c>
      <c r="D444" s="3" t="s">
        <v>314</v>
      </c>
      <c r="E444" s="3">
        <v>1</v>
      </c>
      <c r="F444" s="3">
        <v>3</v>
      </c>
      <c r="G444" s="3">
        <v>10</v>
      </c>
      <c r="H444" s="3">
        <v>0</v>
      </c>
      <c r="I444" s="3">
        <v>2</v>
      </c>
      <c r="J444" s="3">
        <v>0</v>
      </c>
      <c r="K444" s="3">
        <v>0</v>
      </c>
      <c r="L444" s="3">
        <v>0</v>
      </c>
      <c r="M444" s="2">
        <v>0</v>
      </c>
      <c r="N444" s="3">
        <v>3.3</v>
      </c>
      <c r="O444" s="3">
        <v>0</v>
      </c>
      <c r="P444" s="3">
        <v>0.7</v>
      </c>
      <c r="Q444" s="3">
        <v>0</v>
      </c>
      <c r="R444" s="3">
        <v>-0.1</v>
      </c>
      <c r="S444">
        <f t="shared" si="9"/>
        <v>-0.1</v>
      </c>
    </row>
    <row r="445" spans="1:19">
      <c r="A445" s="3">
        <v>31</v>
      </c>
      <c r="B445" s="3" t="s">
        <v>57</v>
      </c>
      <c r="C445" s="67" t="s">
        <v>1054</v>
      </c>
      <c r="D445" s="2"/>
      <c r="E445" s="3">
        <v>1</v>
      </c>
      <c r="F445" s="3">
        <v>20</v>
      </c>
      <c r="G445" s="3">
        <v>156</v>
      </c>
      <c r="H445" s="3">
        <v>36</v>
      </c>
      <c r="I445" s="3">
        <v>31</v>
      </c>
      <c r="J445" s="3">
        <v>10</v>
      </c>
      <c r="K445" s="3">
        <v>0.35099999999999998</v>
      </c>
      <c r="L445" s="3">
        <v>0.23100000000000001</v>
      </c>
      <c r="M445" s="3">
        <v>0.875</v>
      </c>
      <c r="N445" s="3">
        <v>7.8</v>
      </c>
      <c r="O445" s="3">
        <v>1.8</v>
      </c>
      <c r="P445" s="3">
        <v>1.6</v>
      </c>
      <c r="Q445" s="3">
        <v>0.5</v>
      </c>
      <c r="R445" s="3">
        <v>-0.1</v>
      </c>
      <c r="S445">
        <f t="shared" si="9"/>
        <v>-0.1</v>
      </c>
    </row>
    <row r="446" spans="1:19">
      <c r="A446" s="3">
        <v>42</v>
      </c>
      <c r="B446" s="3" t="s">
        <v>52</v>
      </c>
      <c r="C446" s="67" t="s">
        <v>1060</v>
      </c>
      <c r="D446" s="3" t="s">
        <v>224</v>
      </c>
      <c r="E446" s="3">
        <v>1</v>
      </c>
      <c r="F446" s="3">
        <v>28</v>
      </c>
      <c r="G446" s="3">
        <v>262</v>
      </c>
      <c r="H446" s="3">
        <v>74</v>
      </c>
      <c r="I446" s="3">
        <v>39</v>
      </c>
      <c r="J446" s="3">
        <v>11</v>
      </c>
      <c r="K446" s="3">
        <v>0.34699999999999998</v>
      </c>
      <c r="L446" s="3">
        <v>0.23799999999999999</v>
      </c>
      <c r="M446" s="3">
        <v>0.68</v>
      </c>
      <c r="N446" s="3">
        <v>9.4</v>
      </c>
      <c r="O446" s="3">
        <v>2.6</v>
      </c>
      <c r="P446" s="3">
        <v>1.4</v>
      </c>
      <c r="Q446" s="3">
        <v>0.4</v>
      </c>
      <c r="R446" s="3">
        <v>-0.1</v>
      </c>
      <c r="S446">
        <f t="shared" si="9"/>
        <v>-0.1</v>
      </c>
    </row>
    <row r="447" spans="1:19">
      <c r="A447" s="3">
        <v>47</v>
      </c>
      <c r="B447" s="3" t="s">
        <v>66</v>
      </c>
      <c r="C447" s="67" t="s">
        <v>1063</v>
      </c>
      <c r="D447" s="3" t="s">
        <v>61</v>
      </c>
      <c r="E447" s="3">
        <v>2</v>
      </c>
      <c r="F447" s="3">
        <v>27</v>
      </c>
      <c r="G447" s="3">
        <v>131</v>
      </c>
      <c r="H447" s="3">
        <v>53</v>
      </c>
      <c r="I447" s="3">
        <v>15</v>
      </c>
      <c r="J447" s="3">
        <v>19</v>
      </c>
      <c r="K447" s="3">
        <v>0.31900000000000001</v>
      </c>
      <c r="L447" s="3">
        <v>0.188</v>
      </c>
      <c r="M447" s="3">
        <v>0.76900000000000002</v>
      </c>
      <c r="N447" s="3">
        <v>4.9000000000000004</v>
      </c>
      <c r="O447" s="3">
        <v>2</v>
      </c>
      <c r="P447" s="3">
        <v>0.6</v>
      </c>
      <c r="Q447" s="3">
        <v>0.7</v>
      </c>
      <c r="R447" s="3">
        <v>-0.2</v>
      </c>
      <c r="S447">
        <f t="shared" si="9"/>
        <v>-0.1</v>
      </c>
    </row>
    <row r="448" spans="1:19">
      <c r="A448" s="3">
        <v>35</v>
      </c>
      <c r="B448" s="3" t="s">
        <v>66</v>
      </c>
      <c r="C448" s="67" t="s">
        <v>1128</v>
      </c>
      <c r="D448" s="3" t="s">
        <v>744</v>
      </c>
      <c r="E448" s="3">
        <v>2</v>
      </c>
      <c r="F448" s="3">
        <v>16</v>
      </c>
      <c r="G448" s="3">
        <v>152</v>
      </c>
      <c r="H448" s="3">
        <v>43</v>
      </c>
      <c r="I448" s="3">
        <v>24</v>
      </c>
      <c r="J448" s="3">
        <v>9</v>
      </c>
      <c r="K448" s="3">
        <v>0.26900000000000002</v>
      </c>
      <c r="L448" s="3">
        <v>0.25</v>
      </c>
      <c r="M448" s="3">
        <v>0.69199999999999995</v>
      </c>
      <c r="N448" s="3">
        <v>9.5</v>
      </c>
      <c r="O448" s="3">
        <v>2.7</v>
      </c>
      <c r="P448" s="3">
        <v>1.5</v>
      </c>
      <c r="Q448" s="3">
        <v>0.6</v>
      </c>
      <c r="R448" s="3">
        <v>-0.2</v>
      </c>
      <c r="S448">
        <f t="shared" si="9"/>
        <v>-0.1</v>
      </c>
    </row>
    <row r="449" spans="1:19">
      <c r="A449" s="3">
        <v>40</v>
      </c>
      <c r="B449" s="3" t="s">
        <v>124</v>
      </c>
      <c r="C449" s="67" t="s">
        <v>1136</v>
      </c>
      <c r="D449" s="3" t="s">
        <v>224</v>
      </c>
      <c r="E449" s="3">
        <v>1</v>
      </c>
      <c r="F449" s="3">
        <v>8</v>
      </c>
      <c r="G449" s="3">
        <v>51</v>
      </c>
      <c r="H449" s="3">
        <v>16</v>
      </c>
      <c r="I449" s="3">
        <v>9</v>
      </c>
      <c r="J449" s="3">
        <v>3</v>
      </c>
      <c r="K449" s="3">
        <v>0.26900000000000002</v>
      </c>
      <c r="L449" s="3">
        <v>6.7000000000000004E-2</v>
      </c>
      <c r="M449" s="3">
        <v>1</v>
      </c>
      <c r="N449" s="3">
        <v>6.4</v>
      </c>
      <c r="O449" s="3">
        <v>2</v>
      </c>
      <c r="P449" s="3">
        <v>1.1000000000000001</v>
      </c>
      <c r="Q449" s="3">
        <v>0.4</v>
      </c>
      <c r="R449" s="3">
        <v>-0.1</v>
      </c>
      <c r="S449">
        <f t="shared" si="9"/>
        <v>-0.1</v>
      </c>
    </row>
    <row r="450" spans="1:19">
      <c r="A450" s="3">
        <v>49</v>
      </c>
      <c r="B450" s="3" t="s">
        <v>99</v>
      </c>
      <c r="C450" s="67" t="s">
        <v>1143</v>
      </c>
      <c r="D450" s="3" t="s">
        <v>128</v>
      </c>
      <c r="E450" s="3">
        <v>1</v>
      </c>
      <c r="F450" s="3">
        <v>24</v>
      </c>
      <c r="G450" s="3">
        <v>62</v>
      </c>
      <c r="H450" s="3">
        <v>6</v>
      </c>
      <c r="I450" s="3">
        <v>8</v>
      </c>
      <c r="J450" s="3">
        <v>2</v>
      </c>
      <c r="K450" s="3">
        <v>0.23100000000000001</v>
      </c>
      <c r="L450" s="3">
        <v>0</v>
      </c>
      <c r="M450" s="2"/>
      <c r="N450" s="3">
        <v>2.6</v>
      </c>
      <c r="O450" s="3">
        <v>0.3</v>
      </c>
      <c r="P450" s="3">
        <v>0.3</v>
      </c>
      <c r="Q450" s="3">
        <v>0.1</v>
      </c>
      <c r="R450" s="3">
        <v>-0.1</v>
      </c>
      <c r="S450">
        <f t="shared" si="9"/>
        <v>-0.1</v>
      </c>
    </row>
    <row r="451" spans="1:19">
      <c r="A451" s="3">
        <v>51</v>
      </c>
      <c r="B451" s="3" t="s">
        <v>190</v>
      </c>
      <c r="C451" s="67" t="s">
        <v>1208</v>
      </c>
      <c r="D451" s="3" t="s">
        <v>68</v>
      </c>
      <c r="E451" s="3">
        <v>1</v>
      </c>
      <c r="F451" s="3">
        <v>10</v>
      </c>
      <c r="G451" s="3">
        <v>54</v>
      </c>
      <c r="H451" s="3">
        <v>9</v>
      </c>
      <c r="I451" s="3">
        <v>7</v>
      </c>
      <c r="J451" s="3">
        <v>1</v>
      </c>
      <c r="K451" s="3">
        <v>0.14299999999999999</v>
      </c>
      <c r="L451" s="3">
        <v>0</v>
      </c>
      <c r="M451" s="3">
        <v>0.625</v>
      </c>
      <c r="N451" s="3">
        <v>5.4</v>
      </c>
      <c r="O451" s="3">
        <v>0.9</v>
      </c>
      <c r="P451" s="3">
        <v>0.7</v>
      </c>
      <c r="Q451" s="3">
        <v>0.1</v>
      </c>
      <c r="R451" s="3">
        <v>-0.1</v>
      </c>
      <c r="S451">
        <f t="shared" si="9"/>
        <v>-0.1</v>
      </c>
    </row>
    <row r="452" spans="1:19" ht="30">
      <c r="A452" s="3">
        <v>54</v>
      </c>
      <c r="B452" s="3" t="s">
        <v>66</v>
      </c>
      <c r="C452" s="67" t="s">
        <v>1211</v>
      </c>
      <c r="D452" s="2"/>
      <c r="E452" s="3">
        <v>2</v>
      </c>
      <c r="F452" s="3">
        <v>45</v>
      </c>
      <c r="G452" s="3">
        <v>247</v>
      </c>
      <c r="H452" s="3">
        <v>59</v>
      </c>
      <c r="I452" s="3">
        <v>39</v>
      </c>
      <c r="J452" s="3">
        <v>17</v>
      </c>
      <c r="K452" s="3">
        <v>0.45100000000000001</v>
      </c>
      <c r="L452" s="3">
        <v>0.125</v>
      </c>
      <c r="M452" s="3">
        <v>0.5</v>
      </c>
      <c r="N452" s="3">
        <v>5.5</v>
      </c>
      <c r="O452" s="3">
        <v>1.3</v>
      </c>
      <c r="P452" s="3">
        <v>0.9</v>
      </c>
      <c r="Q452" s="3">
        <v>0.4</v>
      </c>
      <c r="R452" s="3">
        <v>-0.2</v>
      </c>
      <c r="S452">
        <f t="shared" si="9"/>
        <v>-0.1</v>
      </c>
    </row>
    <row r="453" spans="1:19">
      <c r="A453" s="3">
        <v>31</v>
      </c>
      <c r="B453" s="3" t="s">
        <v>1214</v>
      </c>
      <c r="C453" s="67" t="s">
        <v>1328</v>
      </c>
      <c r="D453" s="2"/>
      <c r="E453" s="3">
        <v>1</v>
      </c>
      <c r="F453" s="3">
        <v>12</v>
      </c>
      <c r="G453" s="3">
        <v>82</v>
      </c>
      <c r="H453" s="3">
        <v>24</v>
      </c>
      <c r="I453" s="3">
        <v>15</v>
      </c>
      <c r="J453" s="3">
        <v>2</v>
      </c>
      <c r="K453" s="3">
        <v>0.44</v>
      </c>
      <c r="L453" s="3">
        <v>0</v>
      </c>
      <c r="M453" s="3">
        <v>1</v>
      </c>
      <c r="N453" s="3">
        <v>6.8</v>
      </c>
      <c r="O453" s="3">
        <v>2</v>
      </c>
      <c r="P453" s="3">
        <v>1.3</v>
      </c>
      <c r="Q453" s="3">
        <v>0.2</v>
      </c>
      <c r="R453" s="92">
        <v>-0.1</v>
      </c>
      <c r="S453">
        <f t="shared" si="9"/>
        <v>-0.1</v>
      </c>
    </row>
    <row r="454" spans="1:19">
      <c r="A454" s="61">
        <v>32</v>
      </c>
      <c r="B454" s="61" t="s">
        <v>141</v>
      </c>
      <c r="C454" s="66" t="s">
        <v>1472</v>
      </c>
      <c r="D454" s="61" t="s">
        <v>1414</v>
      </c>
      <c r="E454" s="61">
        <v>1</v>
      </c>
      <c r="F454" s="61">
        <v>8</v>
      </c>
      <c r="G454" s="61">
        <v>20</v>
      </c>
      <c r="H454" s="61">
        <v>8</v>
      </c>
      <c r="I454" s="61">
        <v>3</v>
      </c>
      <c r="J454" s="61">
        <v>0</v>
      </c>
      <c r="K454" s="61">
        <v>0.36399999999999999</v>
      </c>
      <c r="L454" s="61">
        <v>0</v>
      </c>
      <c r="M454" s="61">
        <v>0</v>
      </c>
      <c r="N454" s="50">
        <v>2.5</v>
      </c>
      <c r="O454" s="61">
        <v>1</v>
      </c>
      <c r="P454" s="61">
        <v>0.4</v>
      </c>
      <c r="Q454" s="61">
        <v>0</v>
      </c>
      <c r="R454" s="92">
        <v>-0.1</v>
      </c>
      <c r="S454">
        <f t="shared" si="9"/>
        <v>-0.1</v>
      </c>
    </row>
    <row r="455" spans="1:19">
      <c r="A455" s="61">
        <v>43</v>
      </c>
      <c r="B455" s="61" t="s">
        <v>36</v>
      </c>
      <c r="C455" s="66" t="s">
        <v>1473</v>
      </c>
      <c r="D455" s="61" t="s">
        <v>1094</v>
      </c>
      <c r="E455" s="61">
        <v>1</v>
      </c>
      <c r="F455" s="61">
        <v>7</v>
      </c>
      <c r="G455" s="61">
        <v>19</v>
      </c>
      <c r="H455" s="61">
        <v>3</v>
      </c>
      <c r="I455" s="61">
        <v>2</v>
      </c>
      <c r="J455" s="61">
        <v>2</v>
      </c>
      <c r="K455" s="61">
        <v>0</v>
      </c>
      <c r="L455" s="61">
        <v>0</v>
      </c>
      <c r="M455" s="61">
        <v>0.75</v>
      </c>
      <c r="N455" s="50">
        <v>2.7</v>
      </c>
      <c r="O455" s="61">
        <v>0.4</v>
      </c>
      <c r="P455" s="61">
        <v>0.3</v>
      </c>
      <c r="Q455" s="61">
        <v>0.3</v>
      </c>
      <c r="R455" s="92">
        <v>-0.1</v>
      </c>
      <c r="S455">
        <f t="shared" si="9"/>
        <v>-0.1</v>
      </c>
    </row>
    <row r="456" spans="1:19">
      <c r="A456" s="51">
        <v>40</v>
      </c>
      <c r="B456" s="51" t="s">
        <v>31</v>
      </c>
      <c r="C456" s="112" t="s">
        <v>1474</v>
      </c>
      <c r="D456" s="51"/>
      <c r="E456" s="51">
        <v>1</v>
      </c>
      <c r="F456" s="51">
        <v>10</v>
      </c>
      <c r="G456" s="51">
        <v>28</v>
      </c>
      <c r="H456" s="51">
        <v>6</v>
      </c>
      <c r="I456" s="51">
        <v>0</v>
      </c>
      <c r="J456" s="51">
        <v>2</v>
      </c>
      <c r="K456" s="51">
        <v>0.27300000000000002</v>
      </c>
      <c r="L456" s="51">
        <v>0</v>
      </c>
      <c r="M456" s="51"/>
      <c r="N456" s="51">
        <v>2.8</v>
      </c>
      <c r="O456" s="51">
        <v>0.6</v>
      </c>
      <c r="P456" s="51">
        <v>0</v>
      </c>
      <c r="Q456" s="51">
        <v>0.2</v>
      </c>
      <c r="R456" s="92">
        <v>-0.1</v>
      </c>
      <c r="S456">
        <f t="shared" si="9"/>
        <v>-0.1</v>
      </c>
    </row>
    <row r="457" spans="1:19">
      <c r="A457" s="51">
        <v>52</v>
      </c>
      <c r="B457" s="51" t="s">
        <v>124</v>
      </c>
      <c r="C457" s="112" t="s">
        <v>1475</v>
      </c>
      <c r="D457" s="51" t="s">
        <v>128</v>
      </c>
      <c r="E457" s="51">
        <v>1</v>
      </c>
      <c r="F457" s="51">
        <v>17</v>
      </c>
      <c r="G457" s="51">
        <v>74</v>
      </c>
      <c r="H457" s="51">
        <v>27</v>
      </c>
      <c r="I457" s="51">
        <v>10</v>
      </c>
      <c r="J457" s="51">
        <v>11</v>
      </c>
      <c r="K457" s="51">
        <v>0.28000000000000003</v>
      </c>
      <c r="L457" s="51">
        <v>0.182</v>
      </c>
      <c r="M457" s="51">
        <v>0.91700000000000004</v>
      </c>
      <c r="N457" s="51">
        <v>4.4000000000000004</v>
      </c>
      <c r="O457" s="51">
        <v>1.6</v>
      </c>
      <c r="P457" s="51">
        <v>0.6</v>
      </c>
      <c r="Q457" s="51">
        <v>0.6</v>
      </c>
      <c r="R457" s="92">
        <v>-0.1</v>
      </c>
      <c r="S457">
        <f t="shared" si="9"/>
        <v>-0.1</v>
      </c>
    </row>
    <row r="458" spans="1:19" ht="30">
      <c r="A458" s="51">
        <v>53</v>
      </c>
      <c r="B458" s="51" t="s">
        <v>124</v>
      </c>
      <c r="C458" s="112" t="s">
        <v>1476</v>
      </c>
      <c r="D458" s="51" t="s">
        <v>68</v>
      </c>
      <c r="E458" s="51">
        <v>2</v>
      </c>
      <c r="F458" s="51">
        <v>18</v>
      </c>
      <c r="G458" s="51">
        <v>58</v>
      </c>
      <c r="H458" s="51">
        <v>22</v>
      </c>
      <c r="I458" s="51">
        <v>7</v>
      </c>
      <c r="J458" s="51">
        <v>2</v>
      </c>
      <c r="K458" s="51">
        <v>0.28100000000000003</v>
      </c>
      <c r="L458" s="51">
        <v>0.2</v>
      </c>
      <c r="M458" s="51">
        <v>0.5</v>
      </c>
      <c r="N458" s="51">
        <v>3.2</v>
      </c>
      <c r="O458" s="51">
        <v>1.2</v>
      </c>
      <c r="P458" s="51">
        <v>0.4</v>
      </c>
      <c r="Q458" s="51">
        <v>0.1</v>
      </c>
      <c r="R458" s="92">
        <v>-0.2</v>
      </c>
      <c r="S458">
        <f t="shared" si="9"/>
        <v>-0.1</v>
      </c>
    </row>
    <row r="459" spans="1:19">
      <c r="A459" s="3">
        <v>35</v>
      </c>
      <c r="B459" s="3" t="s">
        <v>179</v>
      </c>
      <c r="C459" s="67" t="s">
        <v>759</v>
      </c>
      <c r="D459" s="3" t="s">
        <v>760</v>
      </c>
      <c r="E459" s="3">
        <v>3</v>
      </c>
      <c r="F459" s="3">
        <v>32</v>
      </c>
      <c r="G459" s="3">
        <v>290</v>
      </c>
      <c r="H459" s="3">
        <v>87</v>
      </c>
      <c r="I459" s="3">
        <v>28</v>
      </c>
      <c r="J459" s="3">
        <v>5</v>
      </c>
      <c r="K459" s="3">
        <v>0.34</v>
      </c>
      <c r="L459" s="3">
        <v>0.20899999999999999</v>
      </c>
      <c r="M459" s="3">
        <v>0.53300000000000003</v>
      </c>
      <c r="N459" s="3">
        <v>9.1</v>
      </c>
      <c r="O459" s="3">
        <v>2.7</v>
      </c>
      <c r="P459" s="3">
        <v>0.9</v>
      </c>
      <c r="Q459" s="3">
        <v>0.2</v>
      </c>
      <c r="R459" s="3">
        <v>-0.4</v>
      </c>
      <c r="S459">
        <f t="shared" si="9"/>
        <v>-0.13333333333333333</v>
      </c>
    </row>
    <row r="460" spans="1:19">
      <c r="A460" s="3">
        <v>31</v>
      </c>
      <c r="B460" s="3" t="s">
        <v>57</v>
      </c>
      <c r="C460" s="67" t="s">
        <v>544</v>
      </c>
      <c r="D460" s="2"/>
      <c r="E460" s="3">
        <v>2</v>
      </c>
      <c r="F460" s="3">
        <v>18</v>
      </c>
      <c r="G460" s="3">
        <v>135</v>
      </c>
      <c r="H460" s="3">
        <v>29</v>
      </c>
      <c r="I460" s="3">
        <v>24</v>
      </c>
      <c r="J460" s="3">
        <v>8</v>
      </c>
      <c r="K460" s="3">
        <v>0.222</v>
      </c>
      <c r="L460" s="3">
        <v>0.192</v>
      </c>
      <c r="M460" s="3">
        <v>0.5</v>
      </c>
      <c r="N460" s="3">
        <v>7.5</v>
      </c>
      <c r="O460" s="3">
        <v>1.6</v>
      </c>
      <c r="P460" s="3">
        <v>1.3</v>
      </c>
      <c r="Q460" s="3">
        <v>0.4</v>
      </c>
      <c r="R460" s="3">
        <v>-0.3</v>
      </c>
      <c r="S460">
        <f t="shared" si="9"/>
        <v>-0.15</v>
      </c>
    </row>
    <row r="461" spans="1:19">
      <c r="A461" s="3">
        <v>52</v>
      </c>
      <c r="B461" s="3" t="s">
        <v>66</v>
      </c>
      <c r="C461" s="5" t="s">
        <v>1070</v>
      </c>
      <c r="D461" s="2"/>
      <c r="E461" s="3">
        <v>2</v>
      </c>
      <c r="F461" s="3">
        <v>96</v>
      </c>
      <c r="G461" s="3">
        <v>1940</v>
      </c>
      <c r="H461" s="3">
        <v>691</v>
      </c>
      <c r="I461" s="3">
        <v>175</v>
      </c>
      <c r="J461" s="3">
        <v>389</v>
      </c>
      <c r="K461" s="3">
        <v>0.39500000000000002</v>
      </c>
      <c r="L461" s="3">
        <v>0.315</v>
      </c>
      <c r="M461" s="3">
        <v>0.81899999999999995</v>
      </c>
      <c r="N461" s="3">
        <v>20.2</v>
      </c>
      <c r="O461" s="3">
        <v>7.2</v>
      </c>
      <c r="P461" s="3">
        <v>1.8</v>
      </c>
      <c r="Q461" s="3">
        <v>4.0999999999999996</v>
      </c>
      <c r="R461" s="3">
        <v>-0.3</v>
      </c>
      <c r="S461">
        <f t="shared" si="9"/>
        <v>-0.15</v>
      </c>
    </row>
    <row r="462" spans="1:19">
      <c r="A462" s="3">
        <v>56</v>
      </c>
      <c r="B462" s="3" t="s">
        <v>23</v>
      </c>
      <c r="C462" s="67" t="s">
        <v>1074</v>
      </c>
      <c r="D462" s="3" t="s">
        <v>397</v>
      </c>
      <c r="E462" s="3">
        <v>2</v>
      </c>
      <c r="F462" s="3">
        <v>44</v>
      </c>
      <c r="G462" s="3">
        <v>457</v>
      </c>
      <c r="H462" s="3">
        <v>97</v>
      </c>
      <c r="I462" s="3">
        <v>69</v>
      </c>
      <c r="J462" s="3">
        <v>29</v>
      </c>
      <c r="K462" s="3">
        <v>0.30399999999999999</v>
      </c>
      <c r="L462" s="3">
        <v>0.222</v>
      </c>
      <c r="M462" s="3">
        <v>0.375</v>
      </c>
      <c r="N462" s="3">
        <v>10.4</v>
      </c>
      <c r="O462" s="3">
        <v>2.2000000000000002</v>
      </c>
      <c r="P462" s="3">
        <v>1.6</v>
      </c>
      <c r="Q462" s="3">
        <v>0.7</v>
      </c>
      <c r="R462" s="3">
        <v>-0.3</v>
      </c>
      <c r="S462">
        <f t="shared" si="9"/>
        <v>-0.15</v>
      </c>
    </row>
    <row r="463" spans="1:19" ht="45">
      <c r="A463" s="3">
        <v>55</v>
      </c>
      <c r="B463" s="3" t="s">
        <v>20</v>
      </c>
      <c r="C463" s="67" t="s">
        <v>1212</v>
      </c>
      <c r="D463" s="3" t="s">
        <v>123</v>
      </c>
      <c r="E463" s="3">
        <v>2</v>
      </c>
      <c r="F463" s="3">
        <v>7</v>
      </c>
      <c r="G463" s="3">
        <v>21</v>
      </c>
      <c r="H463" s="3">
        <v>0</v>
      </c>
      <c r="I463" s="3">
        <v>6</v>
      </c>
      <c r="J463" s="3">
        <v>2</v>
      </c>
      <c r="K463" s="3">
        <v>0</v>
      </c>
      <c r="L463" s="3">
        <v>0</v>
      </c>
      <c r="M463" s="3">
        <v>0</v>
      </c>
      <c r="N463" s="3">
        <v>3</v>
      </c>
      <c r="O463" s="3">
        <v>0</v>
      </c>
      <c r="P463" s="3">
        <v>0.9</v>
      </c>
      <c r="Q463" s="3">
        <v>0.3</v>
      </c>
      <c r="R463" s="3">
        <v>-0.3</v>
      </c>
      <c r="S463">
        <f t="shared" si="9"/>
        <v>-0.15</v>
      </c>
    </row>
    <row r="464" spans="1:19" ht="30">
      <c r="A464" s="3">
        <v>48</v>
      </c>
      <c r="B464" s="3" t="s">
        <v>184</v>
      </c>
      <c r="C464" s="67" t="s">
        <v>555</v>
      </c>
      <c r="D464" s="3" t="s">
        <v>445</v>
      </c>
      <c r="E464" s="3">
        <v>1</v>
      </c>
      <c r="F464" s="3">
        <v>13</v>
      </c>
      <c r="G464" s="3">
        <v>39</v>
      </c>
      <c r="H464" s="3">
        <v>7</v>
      </c>
      <c r="I464" s="3">
        <v>5</v>
      </c>
      <c r="J464" s="3">
        <v>5</v>
      </c>
      <c r="K464" s="3">
        <v>0.214</v>
      </c>
      <c r="L464" s="3">
        <v>0.16700000000000001</v>
      </c>
      <c r="M464" s="2">
        <v>0</v>
      </c>
      <c r="N464" s="3">
        <v>3</v>
      </c>
      <c r="O464" s="3">
        <v>0.5</v>
      </c>
      <c r="P464" s="3">
        <v>0.4</v>
      </c>
      <c r="Q464" s="3">
        <v>0.4</v>
      </c>
      <c r="R464" s="3">
        <v>-0.2</v>
      </c>
      <c r="S464">
        <f t="shared" si="9"/>
        <v>-0.2</v>
      </c>
    </row>
    <row r="465" spans="1:19">
      <c r="A465" s="3">
        <v>39</v>
      </c>
      <c r="B465" s="3" t="s">
        <v>44</v>
      </c>
      <c r="C465" s="67" t="s">
        <v>617</v>
      </c>
      <c r="D465" s="3" t="s">
        <v>68</v>
      </c>
      <c r="E465" s="3">
        <v>2</v>
      </c>
      <c r="F465" s="3">
        <v>54</v>
      </c>
      <c r="G465" s="3">
        <v>498</v>
      </c>
      <c r="H465" s="3">
        <v>157</v>
      </c>
      <c r="I465" s="3">
        <v>67</v>
      </c>
      <c r="J465" s="3">
        <v>28</v>
      </c>
      <c r="K465" s="3">
        <v>0.32800000000000001</v>
      </c>
      <c r="L465" s="3">
        <v>0.28000000000000003</v>
      </c>
      <c r="M465" s="3">
        <v>0.76900000000000002</v>
      </c>
      <c r="N465" s="3">
        <v>9.1999999999999993</v>
      </c>
      <c r="O465" s="3">
        <v>2.9</v>
      </c>
      <c r="P465" s="3">
        <v>1.2</v>
      </c>
      <c r="Q465" s="3">
        <v>0.5</v>
      </c>
      <c r="R465" s="3">
        <v>-0.4</v>
      </c>
      <c r="S465">
        <f t="shared" si="9"/>
        <v>-0.2</v>
      </c>
    </row>
    <row r="466" spans="1:19">
      <c r="A466" s="3">
        <v>53</v>
      </c>
      <c r="B466" s="3" t="s">
        <v>82</v>
      </c>
      <c r="C466" s="67" t="s">
        <v>774</v>
      </c>
      <c r="D466" s="3" t="s">
        <v>59</v>
      </c>
      <c r="E466" s="3">
        <v>1</v>
      </c>
      <c r="F466" s="3">
        <v>11</v>
      </c>
      <c r="G466" s="3">
        <v>81</v>
      </c>
      <c r="H466" s="3">
        <v>20</v>
      </c>
      <c r="I466" s="3">
        <v>7</v>
      </c>
      <c r="J466" s="3">
        <v>13</v>
      </c>
      <c r="K466" s="3">
        <v>0.2</v>
      </c>
      <c r="L466" s="3">
        <v>0.23499999999999999</v>
      </c>
      <c r="M466" s="3">
        <v>0.5</v>
      </c>
      <c r="N466" s="3">
        <v>7.4</v>
      </c>
      <c r="O466" s="3">
        <v>1.8</v>
      </c>
      <c r="P466" s="3">
        <v>0.6</v>
      </c>
      <c r="Q466" s="3">
        <v>1.2</v>
      </c>
      <c r="R466" s="3">
        <v>-0.2</v>
      </c>
      <c r="S466">
        <f t="shared" si="9"/>
        <v>-0.2</v>
      </c>
    </row>
    <row r="467" spans="1:19" ht="30">
      <c r="A467" s="3">
        <v>39</v>
      </c>
      <c r="B467" s="3" t="s">
        <v>66</v>
      </c>
      <c r="C467" s="67" t="s">
        <v>826</v>
      </c>
      <c r="D467" s="3" t="s">
        <v>511</v>
      </c>
      <c r="E467" s="3">
        <v>2</v>
      </c>
      <c r="F467" s="3">
        <v>56</v>
      </c>
      <c r="G467" s="3">
        <v>843</v>
      </c>
      <c r="H467" s="3">
        <v>237</v>
      </c>
      <c r="I467" s="3">
        <v>96</v>
      </c>
      <c r="J467" s="3">
        <v>110</v>
      </c>
      <c r="K467" s="3">
        <v>0.34499999999999997</v>
      </c>
      <c r="L467" s="3">
        <v>0.26300000000000001</v>
      </c>
      <c r="M467" s="3">
        <v>0.77600000000000002</v>
      </c>
      <c r="N467" s="3">
        <v>15.1</v>
      </c>
      <c r="O467" s="3">
        <v>4.2</v>
      </c>
      <c r="P467" s="3">
        <v>1.7</v>
      </c>
      <c r="Q467" s="3">
        <v>2</v>
      </c>
      <c r="R467" s="3">
        <v>-0.4</v>
      </c>
      <c r="S467">
        <f t="shared" si="9"/>
        <v>-0.2</v>
      </c>
    </row>
    <row r="468" spans="1:19">
      <c r="A468" s="3">
        <v>54</v>
      </c>
      <c r="B468" s="3" t="s">
        <v>184</v>
      </c>
      <c r="C468" s="67" t="s">
        <v>916</v>
      </c>
      <c r="D468" s="3" t="s">
        <v>917</v>
      </c>
      <c r="E468" s="3">
        <v>2</v>
      </c>
      <c r="F468" s="3">
        <v>58</v>
      </c>
      <c r="G468" s="3">
        <v>526</v>
      </c>
      <c r="H468" s="3">
        <v>223</v>
      </c>
      <c r="I468" s="3">
        <v>59</v>
      </c>
      <c r="J468" s="3">
        <v>78</v>
      </c>
      <c r="K468" s="3">
        <v>0.36399999999999999</v>
      </c>
      <c r="L468" s="3">
        <v>0.26800000000000002</v>
      </c>
      <c r="M468" s="3">
        <v>0.754</v>
      </c>
      <c r="N468" s="3">
        <v>9.1</v>
      </c>
      <c r="O468" s="3">
        <v>3.8</v>
      </c>
      <c r="P468" s="3">
        <v>1</v>
      </c>
      <c r="Q468" s="3">
        <v>1.3</v>
      </c>
      <c r="R468" s="3">
        <v>-0.4</v>
      </c>
      <c r="S468">
        <f t="shared" si="9"/>
        <v>-0.2</v>
      </c>
    </row>
    <row r="469" spans="1:19">
      <c r="A469" s="3">
        <v>56</v>
      </c>
      <c r="B469" s="3" t="s">
        <v>34</v>
      </c>
      <c r="C469" s="67" t="s">
        <v>1149</v>
      </c>
      <c r="D469" s="3" t="s">
        <v>61</v>
      </c>
      <c r="E469" s="3">
        <v>1</v>
      </c>
      <c r="F469" s="3">
        <v>24</v>
      </c>
      <c r="G469" s="3">
        <v>224</v>
      </c>
      <c r="H469" s="3">
        <v>54</v>
      </c>
      <c r="I469" s="3">
        <v>14</v>
      </c>
      <c r="J469" s="3">
        <v>34</v>
      </c>
      <c r="K469" s="3">
        <v>0.316</v>
      </c>
      <c r="L469" s="3">
        <v>0.28000000000000003</v>
      </c>
      <c r="M469" s="3">
        <v>0.73299999999999998</v>
      </c>
      <c r="N469" s="3">
        <v>9.3000000000000007</v>
      </c>
      <c r="O469" s="3">
        <v>2.2999999999999998</v>
      </c>
      <c r="P469" s="3">
        <v>0.6</v>
      </c>
      <c r="Q469" s="3">
        <v>1.4</v>
      </c>
      <c r="R469" s="3">
        <v>-0.2</v>
      </c>
      <c r="S469">
        <f t="shared" si="9"/>
        <v>-0.2</v>
      </c>
    </row>
    <row r="470" spans="1:19" ht="30">
      <c r="A470" s="3">
        <v>37</v>
      </c>
      <c r="B470" s="3" t="s">
        <v>57</v>
      </c>
      <c r="C470" s="67" t="s">
        <v>1333</v>
      </c>
      <c r="D470" s="3" t="s">
        <v>1066</v>
      </c>
      <c r="E470" s="3">
        <v>1</v>
      </c>
      <c r="F470" s="3">
        <v>5</v>
      </c>
      <c r="G470" s="3">
        <v>39</v>
      </c>
      <c r="H470" s="3">
        <v>4</v>
      </c>
      <c r="I470" s="3">
        <v>3</v>
      </c>
      <c r="J470" s="3">
        <v>6</v>
      </c>
      <c r="K470" s="3">
        <v>0.154</v>
      </c>
      <c r="L470" s="3">
        <v>0</v>
      </c>
      <c r="M470" s="2">
        <v>0</v>
      </c>
      <c r="N470" s="3">
        <v>7.8</v>
      </c>
      <c r="O470" s="3">
        <v>0.8</v>
      </c>
      <c r="P470" s="3">
        <v>0.6</v>
      </c>
      <c r="Q470" s="3">
        <v>1.2</v>
      </c>
      <c r="R470" s="92">
        <v>-0.2</v>
      </c>
      <c r="S470">
        <f t="shared" si="9"/>
        <v>-0.2</v>
      </c>
    </row>
    <row r="471" spans="1:19">
      <c r="A471" s="3">
        <v>38</v>
      </c>
      <c r="B471" s="3" t="s">
        <v>50</v>
      </c>
      <c r="C471" s="67" t="s">
        <v>1334</v>
      </c>
      <c r="D471" s="3" t="s">
        <v>68</v>
      </c>
      <c r="E471" s="3">
        <v>1</v>
      </c>
      <c r="F471" s="3">
        <v>5</v>
      </c>
      <c r="G471" s="3">
        <v>24</v>
      </c>
      <c r="H471" s="3">
        <v>8</v>
      </c>
      <c r="I471" s="3">
        <v>1</v>
      </c>
      <c r="J471" s="3">
        <v>3</v>
      </c>
      <c r="K471" s="3">
        <v>0.42899999999999999</v>
      </c>
      <c r="L471" s="3">
        <v>0.25</v>
      </c>
      <c r="M471" s="3">
        <v>0.5</v>
      </c>
      <c r="N471" s="3">
        <v>4.8</v>
      </c>
      <c r="O471" s="3">
        <v>1.6</v>
      </c>
      <c r="P471" s="3">
        <v>0.2</v>
      </c>
      <c r="Q471" s="3">
        <v>0.6</v>
      </c>
      <c r="R471" s="92">
        <v>-0.2</v>
      </c>
      <c r="S471">
        <f t="shared" si="9"/>
        <v>-0.2</v>
      </c>
    </row>
    <row r="472" spans="1:19" ht="30">
      <c r="A472" s="51">
        <v>59</v>
      </c>
      <c r="B472" s="51" t="s">
        <v>323</v>
      </c>
      <c r="C472" s="112" t="s">
        <v>1477</v>
      </c>
      <c r="D472" s="51" t="s">
        <v>89</v>
      </c>
      <c r="E472" s="51">
        <v>1</v>
      </c>
      <c r="F472" s="51">
        <v>33</v>
      </c>
      <c r="G472" s="51">
        <v>270</v>
      </c>
      <c r="H472" s="51">
        <v>73</v>
      </c>
      <c r="I472" s="51">
        <v>28</v>
      </c>
      <c r="J472" s="51">
        <v>30</v>
      </c>
      <c r="K472" s="51">
        <v>0.315</v>
      </c>
      <c r="L472" s="51">
        <v>0.24</v>
      </c>
      <c r="M472" s="51">
        <v>0.47399999999999998</v>
      </c>
      <c r="N472" s="51">
        <v>8.1999999999999993</v>
      </c>
      <c r="O472" s="51">
        <v>2.2000000000000002</v>
      </c>
      <c r="P472" s="51">
        <v>0.8</v>
      </c>
      <c r="Q472" s="51">
        <v>0.9</v>
      </c>
      <c r="R472" s="92">
        <v>-0.2</v>
      </c>
      <c r="S472">
        <f t="shared" si="9"/>
        <v>-0.2</v>
      </c>
    </row>
    <row r="473" spans="1:19" ht="30">
      <c r="A473" s="3">
        <v>34</v>
      </c>
      <c r="B473" s="3" t="s">
        <v>50</v>
      </c>
      <c r="C473" s="67" t="s">
        <v>1056</v>
      </c>
      <c r="D473" s="3" t="s">
        <v>751</v>
      </c>
      <c r="E473" s="3">
        <v>2</v>
      </c>
      <c r="F473" s="3">
        <v>56</v>
      </c>
      <c r="G473" s="3">
        <v>801</v>
      </c>
      <c r="H473" s="3">
        <v>241</v>
      </c>
      <c r="I473" s="3">
        <v>123</v>
      </c>
      <c r="J473" s="3">
        <v>42</v>
      </c>
      <c r="K473" s="3">
        <v>0.34599999999999997</v>
      </c>
      <c r="L473" s="3">
        <v>0.26300000000000001</v>
      </c>
      <c r="M473" s="3">
        <v>0.75</v>
      </c>
      <c r="N473" s="3">
        <v>14.3</v>
      </c>
      <c r="O473" s="3">
        <v>4.3</v>
      </c>
      <c r="P473" s="3">
        <v>2.2000000000000002</v>
      </c>
      <c r="Q473" s="3">
        <v>0.8</v>
      </c>
      <c r="R473" s="3">
        <v>-0.6</v>
      </c>
      <c r="S473">
        <f t="shared" si="9"/>
        <v>-0.3</v>
      </c>
    </row>
    <row r="474" spans="1:19">
      <c r="A474" s="3">
        <v>43</v>
      </c>
      <c r="B474" s="3" t="s">
        <v>57</v>
      </c>
      <c r="C474" s="67" t="s">
        <v>1139</v>
      </c>
      <c r="D474" s="3" t="s">
        <v>314</v>
      </c>
      <c r="E474" s="3">
        <v>2</v>
      </c>
      <c r="F474" s="3">
        <v>28</v>
      </c>
      <c r="G474" s="3">
        <v>277</v>
      </c>
      <c r="H474" s="3">
        <v>109</v>
      </c>
      <c r="I474" s="3">
        <v>38</v>
      </c>
      <c r="J474" s="3">
        <v>21</v>
      </c>
      <c r="K474" s="3">
        <v>0.33600000000000002</v>
      </c>
      <c r="L474" s="3">
        <v>0.371</v>
      </c>
      <c r="M474" s="3">
        <v>0.76900000000000002</v>
      </c>
      <c r="N474" s="3">
        <v>9.9</v>
      </c>
      <c r="O474" s="3">
        <v>3.9</v>
      </c>
      <c r="P474" s="3">
        <v>1.4</v>
      </c>
      <c r="Q474" s="3">
        <v>0.8</v>
      </c>
      <c r="R474" s="3">
        <v>-0.6</v>
      </c>
      <c r="S474">
        <f t="shared" si="9"/>
        <v>-0.3</v>
      </c>
    </row>
    <row r="475" spans="1:19" ht="45">
      <c r="A475" s="3">
        <v>47</v>
      </c>
      <c r="B475" s="3" t="s">
        <v>193</v>
      </c>
      <c r="C475" s="67" t="s">
        <v>1204</v>
      </c>
      <c r="D475" s="3" t="s">
        <v>1205</v>
      </c>
      <c r="E475" s="3">
        <v>1</v>
      </c>
      <c r="F475" s="3">
        <v>17</v>
      </c>
      <c r="G475" s="3">
        <v>52</v>
      </c>
      <c r="H475" s="3">
        <v>15</v>
      </c>
      <c r="I475" s="3">
        <v>4</v>
      </c>
      <c r="J475" s="3">
        <v>2</v>
      </c>
      <c r="K475" s="3">
        <v>0.25</v>
      </c>
      <c r="L475" s="3">
        <v>0.2</v>
      </c>
      <c r="M475" s="2"/>
      <c r="N475" s="3">
        <v>3.1</v>
      </c>
      <c r="O475" s="3">
        <v>0.9</v>
      </c>
      <c r="P475" s="3">
        <v>0.2</v>
      </c>
      <c r="Q475" s="3">
        <v>0.1</v>
      </c>
      <c r="R475" s="3">
        <v>-0.3</v>
      </c>
      <c r="S475">
        <f t="shared" si="9"/>
        <v>-0.3</v>
      </c>
    </row>
    <row r="476" spans="1:19">
      <c r="A476" s="3">
        <v>49</v>
      </c>
      <c r="B476" s="3" t="s">
        <v>152</v>
      </c>
      <c r="C476" s="67" t="s">
        <v>1279</v>
      </c>
      <c r="D476" s="3" t="s">
        <v>138</v>
      </c>
      <c r="E476" s="3">
        <v>2</v>
      </c>
      <c r="F476" s="3">
        <v>38</v>
      </c>
      <c r="G476" s="3">
        <v>296</v>
      </c>
      <c r="H476" s="3">
        <v>83</v>
      </c>
      <c r="I476" s="3">
        <v>20</v>
      </c>
      <c r="J476" s="3">
        <v>34</v>
      </c>
      <c r="K476" s="3">
        <v>0.33</v>
      </c>
      <c r="L476" s="3">
        <v>0.14299999999999999</v>
      </c>
      <c r="M476" s="3">
        <v>0.72</v>
      </c>
      <c r="N476" s="3">
        <v>7.8</v>
      </c>
      <c r="O476" s="3">
        <v>2.2000000000000002</v>
      </c>
      <c r="P476" s="3">
        <v>0.5</v>
      </c>
      <c r="Q476" s="3">
        <v>0.9</v>
      </c>
      <c r="R476" s="92">
        <v>-0.7</v>
      </c>
      <c r="S476">
        <f t="shared" si="9"/>
        <v>-0.35</v>
      </c>
    </row>
    <row r="477" spans="1:19">
      <c r="A477" s="61">
        <v>55</v>
      </c>
      <c r="B477" s="61" t="s">
        <v>124</v>
      </c>
      <c r="C477" s="66" t="s">
        <v>1478</v>
      </c>
      <c r="D477" s="61" t="s">
        <v>108</v>
      </c>
      <c r="E477" s="61">
        <v>1</v>
      </c>
      <c r="F477" s="61">
        <v>51</v>
      </c>
      <c r="G477" s="61">
        <v>771</v>
      </c>
      <c r="H477" s="61">
        <v>289</v>
      </c>
      <c r="I477" s="61">
        <v>87</v>
      </c>
      <c r="J477" s="61">
        <v>106</v>
      </c>
      <c r="K477" s="61">
        <v>0.41199999999999998</v>
      </c>
      <c r="L477" s="61">
        <v>0.32500000000000001</v>
      </c>
      <c r="M477" s="61">
        <v>0.69099999999999995</v>
      </c>
      <c r="N477" s="50">
        <v>15.1</v>
      </c>
      <c r="O477" s="61">
        <v>5.7</v>
      </c>
      <c r="P477" s="61">
        <v>1.7</v>
      </c>
      <c r="Q477" s="61">
        <v>2.1</v>
      </c>
      <c r="R477" s="92">
        <v>-0.4</v>
      </c>
      <c r="S477">
        <f t="shared" si="9"/>
        <v>-0.4</v>
      </c>
    </row>
    <row r="478" spans="1:19" ht="30">
      <c r="A478" s="3">
        <v>42</v>
      </c>
      <c r="B478" s="3" t="s">
        <v>193</v>
      </c>
      <c r="C478" s="67" t="s">
        <v>905</v>
      </c>
      <c r="D478" s="3" t="s">
        <v>167</v>
      </c>
      <c r="E478" s="3">
        <v>2</v>
      </c>
      <c r="F478" s="3">
        <v>89</v>
      </c>
      <c r="G478" s="3">
        <v>1823</v>
      </c>
      <c r="H478" s="3">
        <v>643</v>
      </c>
      <c r="I478" s="3">
        <v>210</v>
      </c>
      <c r="J478" s="3">
        <v>212</v>
      </c>
      <c r="K478" s="3">
        <v>0.41099999999999998</v>
      </c>
      <c r="L478" s="3">
        <v>0.30499999999999999</v>
      </c>
      <c r="M478" s="3">
        <v>0.78800000000000003</v>
      </c>
      <c r="N478" s="3">
        <v>20.5</v>
      </c>
      <c r="O478" s="3">
        <v>7.2</v>
      </c>
      <c r="P478" s="3">
        <v>2.4</v>
      </c>
      <c r="Q478" s="3">
        <v>2.4</v>
      </c>
      <c r="R478" s="3">
        <v>-0.9</v>
      </c>
      <c r="S478">
        <f t="shared" si="9"/>
        <v>-0.45</v>
      </c>
    </row>
    <row r="479" spans="1:19" ht="30">
      <c r="A479" s="3">
        <v>41</v>
      </c>
      <c r="B479" s="3" t="s">
        <v>124</v>
      </c>
      <c r="C479" s="67" t="s">
        <v>1199</v>
      </c>
      <c r="D479" s="3" t="s">
        <v>138</v>
      </c>
      <c r="E479" s="3">
        <v>2</v>
      </c>
      <c r="F479" s="3">
        <v>61</v>
      </c>
      <c r="G479" s="3">
        <v>491</v>
      </c>
      <c r="H479" s="3">
        <v>174</v>
      </c>
      <c r="I479" s="3">
        <v>33</v>
      </c>
      <c r="J479" s="3">
        <v>57</v>
      </c>
      <c r="K479" s="3">
        <v>0.35399999999999998</v>
      </c>
      <c r="L479" s="3">
        <v>0.36</v>
      </c>
      <c r="M479" s="3">
        <v>0.68400000000000005</v>
      </c>
      <c r="N479" s="3">
        <v>8</v>
      </c>
      <c r="O479" s="3">
        <v>2.9</v>
      </c>
      <c r="P479" s="3">
        <v>0.5</v>
      </c>
      <c r="Q479" s="3">
        <v>0.9</v>
      </c>
      <c r="R479" s="3">
        <v>-0.9</v>
      </c>
      <c r="S479">
        <f t="shared" si="9"/>
        <v>-0.45</v>
      </c>
    </row>
    <row r="480" spans="1:19">
      <c r="A480" s="3">
        <v>41</v>
      </c>
      <c r="B480" s="3" t="s">
        <v>23</v>
      </c>
      <c r="C480" s="85" t="s">
        <v>24</v>
      </c>
      <c r="D480" s="2"/>
      <c r="E480" s="3">
        <v>10</v>
      </c>
      <c r="F480" s="3">
        <v>722</v>
      </c>
      <c r="G480" s="3">
        <v>22773</v>
      </c>
      <c r="H480" s="3">
        <v>15531</v>
      </c>
      <c r="I480" s="3">
        <v>7844</v>
      </c>
      <c r="J480" s="3">
        <v>5151</v>
      </c>
      <c r="K480" s="3">
        <v>0.55900000000000005</v>
      </c>
      <c r="L480" s="3">
        <v>0.36099999999999999</v>
      </c>
      <c r="M480" s="3">
        <v>0.82599999999999996</v>
      </c>
      <c r="N480" s="3">
        <v>31.5</v>
      </c>
      <c r="O480" s="3">
        <v>21.5</v>
      </c>
      <c r="P480" s="3">
        <v>10.9</v>
      </c>
      <c r="Q480" s="3">
        <v>7.1</v>
      </c>
      <c r="R480" s="3">
        <v>123.4</v>
      </c>
      <c r="S480">
        <f t="shared" si="9"/>
        <v>12.34</v>
      </c>
    </row>
  </sheetData>
  <sortState xmlns:xlrd2="http://schemas.microsoft.com/office/spreadsheetml/2017/richdata2" ref="A2:S479">
    <sortCondition descending="1" ref="S2:S479"/>
  </sortState>
  <conditionalFormatting sqref="F30:F480">
    <cfRule type="cellIs" dxfId="7" priority="1" operator="greaterThan">
      <formula>82</formula>
    </cfRule>
  </conditionalFormatting>
  <conditionalFormatting sqref="F300:F329">
    <cfRule type="cellIs" dxfId="6" priority="8" operator="greaterThan">
      <formula>82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AA86-2A3D-4847-835A-C8BEE8A4DB7E}">
  <dimension ref="A1:AK68"/>
  <sheetViews>
    <sheetView zoomScale="115" workbookViewId="0">
      <pane ySplit="1" topLeftCell="A33" activePane="bottomLeft" state="frozen"/>
      <selection pane="bottomLeft" activeCell="B33" sqref="B33:S62"/>
    </sheetView>
  </sheetViews>
  <sheetFormatPr defaultColWidth="8.875" defaultRowHeight="15.95"/>
  <cols>
    <col min="1" max="1" width="3" style="64" bestFit="1" customWidth="1"/>
    <col min="2" max="2" width="2.875" style="64" bestFit="1" customWidth="1"/>
    <col min="3" max="3" width="4.375" style="64" bestFit="1" customWidth="1"/>
    <col min="4" max="4" width="15.625" style="64" bestFit="1" customWidth="1"/>
    <col min="5" max="5" width="13" style="64" bestFit="1" customWidth="1"/>
    <col min="6" max="6" width="3.375" style="64" bestFit="1" customWidth="1"/>
    <col min="7" max="7" width="4.5" style="64" bestFit="1" customWidth="1"/>
    <col min="8" max="10" width="5.375" style="64" bestFit="1" customWidth="1"/>
    <col min="11" max="11" width="4.5" style="64" bestFit="1" customWidth="1"/>
    <col min="12" max="14" width="5.375" style="64" bestFit="1" customWidth="1"/>
    <col min="15" max="15" width="4.5" style="95" bestFit="1" customWidth="1"/>
    <col min="16" max="16" width="4.5" style="64" bestFit="1" customWidth="1"/>
    <col min="17" max="17" width="4" style="64" bestFit="1" customWidth="1"/>
    <col min="18" max="18" width="3.875" style="64" bestFit="1" customWidth="1"/>
    <col min="19" max="19" width="5.375" style="95" bestFit="1" customWidth="1"/>
    <col min="20" max="20" width="5.875" style="64" bestFit="1" customWidth="1"/>
    <col min="21" max="22" width="5" style="64" bestFit="1" customWidth="1"/>
    <col min="23" max="23" width="8.875" style="64"/>
    <col min="24" max="24" width="24.375" style="64" customWidth="1"/>
    <col min="25" max="16384" width="8.875" style="64"/>
  </cols>
  <sheetData>
    <row r="1" spans="1:22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0" t="s">
        <v>7</v>
      </c>
      <c r="P1" s="1" t="s">
        <v>8</v>
      </c>
      <c r="Q1" s="1" t="s">
        <v>9</v>
      </c>
      <c r="R1" s="1" t="s">
        <v>10</v>
      </c>
      <c r="S1" s="50" t="s">
        <v>14</v>
      </c>
      <c r="T1" s="1" t="s">
        <v>15</v>
      </c>
      <c r="U1" s="1" t="s">
        <v>16</v>
      </c>
      <c r="V1" s="1" t="s">
        <v>17</v>
      </c>
    </row>
    <row r="2" spans="1:22" hidden="1">
      <c r="A2" s="1">
        <v>1</v>
      </c>
      <c r="B2" s="61">
        <v>1</v>
      </c>
      <c r="C2" s="61" t="s">
        <v>99</v>
      </c>
      <c r="D2" s="61" t="s">
        <v>1479</v>
      </c>
      <c r="E2" s="61" t="s">
        <v>126</v>
      </c>
      <c r="F2" s="61">
        <v>15</v>
      </c>
      <c r="G2" s="61">
        <v>723</v>
      </c>
      <c r="H2" s="61">
        <v>22054</v>
      </c>
      <c r="I2" s="61">
        <v>12573</v>
      </c>
      <c r="J2" s="61">
        <v>2324</v>
      </c>
      <c r="K2" s="61">
        <v>3770</v>
      </c>
      <c r="L2" s="61">
        <v>0.45600000000000002</v>
      </c>
      <c r="M2" s="61">
        <v>0.316</v>
      </c>
      <c r="N2" s="61">
        <v>0.83099999999999996</v>
      </c>
      <c r="O2" s="50">
        <v>30.5</v>
      </c>
      <c r="P2" s="61">
        <v>17.399999999999999</v>
      </c>
      <c r="Q2" s="61">
        <v>3.2</v>
      </c>
      <c r="R2" s="61">
        <v>5.2</v>
      </c>
      <c r="S2" s="50">
        <v>44.6</v>
      </c>
      <c r="T2" s="61">
        <v>9.7000000000000003E-2</v>
      </c>
      <c r="U2" s="61">
        <v>1.2</v>
      </c>
      <c r="V2" s="61">
        <v>18.2</v>
      </c>
    </row>
    <row r="3" spans="1:22" hidden="1">
      <c r="A3" s="1">
        <v>2</v>
      </c>
      <c r="B3" s="61">
        <v>2</v>
      </c>
      <c r="C3" s="61" t="s">
        <v>72</v>
      </c>
      <c r="D3" s="61" t="s">
        <v>1480</v>
      </c>
      <c r="E3" s="61" t="s">
        <v>432</v>
      </c>
      <c r="F3" s="61">
        <v>11</v>
      </c>
      <c r="G3" s="61">
        <v>609</v>
      </c>
      <c r="H3" s="61">
        <v>13903</v>
      </c>
      <c r="I3" s="61">
        <v>7568</v>
      </c>
      <c r="J3" s="61">
        <v>2861</v>
      </c>
      <c r="K3" s="61">
        <v>788</v>
      </c>
      <c r="L3" s="61">
        <v>0.46500000000000002</v>
      </c>
      <c r="M3" s="61">
        <v>0.34899999999999998</v>
      </c>
      <c r="N3" s="61">
        <v>0.75900000000000001</v>
      </c>
      <c r="O3" s="50">
        <v>22.8</v>
      </c>
      <c r="P3" s="61">
        <v>12.4</v>
      </c>
      <c r="Q3" s="61">
        <v>4.7</v>
      </c>
      <c r="R3" s="61">
        <v>1.3</v>
      </c>
      <c r="S3" s="50">
        <v>15.6</v>
      </c>
      <c r="T3" s="61">
        <v>5.3999999999999999E-2</v>
      </c>
      <c r="U3" s="61">
        <v>-1.7</v>
      </c>
      <c r="V3" s="61">
        <v>0.9</v>
      </c>
    </row>
    <row r="4" spans="1:22" hidden="1">
      <c r="A4" s="1">
        <v>3</v>
      </c>
      <c r="B4" s="61">
        <v>3</v>
      </c>
      <c r="C4" s="61" t="s">
        <v>135</v>
      </c>
      <c r="D4" s="61" t="s">
        <v>1481</v>
      </c>
      <c r="E4" s="61" t="s">
        <v>105</v>
      </c>
      <c r="F4" s="61">
        <v>8</v>
      </c>
      <c r="G4" s="61">
        <v>547</v>
      </c>
      <c r="H4" s="61">
        <v>16919</v>
      </c>
      <c r="I4" s="61">
        <v>7574</v>
      </c>
      <c r="J4" s="61">
        <v>1706</v>
      </c>
      <c r="K4" s="61">
        <v>1607</v>
      </c>
      <c r="L4" s="61">
        <v>0.42899999999999999</v>
      </c>
      <c r="M4" s="61">
        <v>0.373</v>
      </c>
      <c r="N4" s="61">
        <v>0.82</v>
      </c>
      <c r="O4" s="50">
        <v>30.9</v>
      </c>
      <c r="P4" s="61">
        <v>13.8</v>
      </c>
      <c r="Q4" s="61">
        <v>3.1</v>
      </c>
      <c r="R4" s="61">
        <v>2.9</v>
      </c>
      <c r="S4" s="50">
        <v>21.8</v>
      </c>
      <c r="T4" s="61">
        <v>6.2E-2</v>
      </c>
      <c r="U4" s="61">
        <v>-0.9</v>
      </c>
      <c r="V4" s="61">
        <v>4.7</v>
      </c>
    </row>
    <row r="5" spans="1:22" hidden="1">
      <c r="A5" s="1">
        <v>4</v>
      </c>
      <c r="B5" s="61">
        <v>4</v>
      </c>
      <c r="C5" s="61" t="s">
        <v>141</v>
      </c>
      <c r="D5" s="61" t="s">
        <v>1482</v>
      </c>
      <c r="E5" s="61" t="s">
        <v>63</v>
      </c>
      <c r="F5" s="61">
        <v>17</v>
      </c>
      <c r="G5" s="61">
        <v>1210</v>
      </c>
      <c r="H5" s="61">
        <v>40409</v>
      </c>
      <c r="I5" s="61">
        <v>25834</v>
      </c>
      <c r="J5" s="61">
        <v>8552</v>
      </c>
      <c r="K5" s="61">
        <v>9775</v>
      </c>
      <c r="L5" s="61">
        <v>0.439</v>
      </c>
      <c r="M5" s="61">
        <v>0.30499999999999999</v>
      </c>
      <c r="N5" s="61">
        <v>0.77300000000000002</v>
      </c>
      <c r="O5" s="50">
        <v>33.4</v>
      </c>
      <c r="P5" s="61">
        <v>21.4</v>
      </c>
      <c r="Q5" s="61">
        <v>7.1</v>
      </c>
      <c r="R5" s="61">
        <v>8.1</v>
      </c>
      <c r="S5" s="50">
        <v>112.9</v>
      </c>
      <c r="T5" s="61">
        <v>0.13400000000000001</v>
      </c>
      <c r="U5" s="61">
        <v>3.8</v>
      </c>
      <c r="V5" s="61">
        <v>58.7</v>
      </c>
    </row>
    <row r="6" spans="1:22" hidden="1">
      <c r="A6" s="1">
        <v>5</v>
      </c>
      <c r="B6" s="61">
        <v>5</v>
      </c>
      <c r="C6" s="61" t="s">
        <v>152</v>
      </c>
      <c r="D6" s="61" t="s">
        <v>1483</v>
      </c>
      <c r="E6" s="61" t="s">
        <v>63</v>
      </c>
      <c r="F6" s="61">
        <v>17</v>
      </c>
      <c r="G6" s="61">
        <v>948</v>
      </c>
      <c r="H6" s="61">
        <v>27461</v>
      </c>
      <c r="I6" s="61">
        <v>15403</v>
      </c>
      <c r="J6" s="61">
        <v>9480</v>
      </c>
      <c r="K6" s="61">
        <v>2170</v>
      </c>
      <c r="L6" s="61">
        <v>0.438</v>
      </c>
      <c r="M6" s="61">
        <v>0.36899999999999999</v>
      </c>
      <c r="N6" s="61">
        <v>0.82799999999999996</v>
      </c>
      <c r="O6" s="50">
        <v>29</v>
      </c>
      <c r="P6" s="61">
        <v>16.2</v>
      </c>
      <c r="Q6" s="61">
        <v>10</v>
      </c>
      <c r="R6" s="61">
        <v>2.2999999999999998</v>
      </c>
      <c r="S6" s="50">
        <v>94.8</v>
      </c>
      <c r="T6" s="61">
        <v>0.16600000000000001</v>
      </c>
      <c r="U6" s="61">
        <v>3.2</v>
      </c>
      <c r="V6" s="61">
        <v>36.299999999999997</v>
      </c>
    </row>
    <row r="7" spans="1:22" hidden="1">
      <c r="A7" s="1">
        <v>6</v>
      </c>
      <c r="B7" s="61">
        <v>6</v>
      </c>
      <c r="C7" s="61" t="s">
        <v>50</v>
      </c>
      <c r="D7" s="61" t="s">
        <v>1484</v>
      </c>
      <c r="E7" s="65"/>
      <c r="F7" s="61">
        <v>14</v>
      </c>
      <c r="G7" s="61">
        <v>777</v>
      </c>
      <c r="H7" s="61">
        <v>22410</v>
      </c>
      <c r="I7" s="61">
        <v>11607</v>
      </c>
      <c r="J7" s="61">
        <v>3618</v>
      </c>
      <c r="K7" s="61">
        <v>1469</v>
      </c>
      <c r="L7" s="61">
        <v>0.42799999999999999</v>
      </c>
      <c r="M7" s="61">
        <v>0.38100000000000001</v>
      </c>
      <c r="N7" s="61">
        <v>0.876</v>
      </c>
      <c r="O7" s="50">
        <v>28.8</v>
      </c>
      <c r="P7" s="61">
        <v>14.9</v>
      </c>
      <c r="Q7" s="61">
        <v>4.7</v>
      </c>
      <c r="R7" s="61">
        <v>1.9</v>
      </c>
      <c r="S7" s="50">
        <v>65.400000000000006</v>
      </c>
      <c r="T7" s="61">
        <v>0.14000000000000001</v>
      </c>
      <c r="U7" s="61">
        <v>1.7</v>
      </c>
      <c r="V7" s="61">
        <v>20.8</v>
      </c>
    </row>
    <row r="8" spans="1:22" hidden="1">
      <c r="A8" s="1">
        <v>7</v>
      </c>
      <c r="B8" s="61">
        <v>7</v>
      </c>
      <c r="C8" s="61" t="s">
        <v>28</v>
      </c>
      <c r="D8" s="61" t="s">
        <v>1485</v>
      </c>
      <c r="E8" s="61" t="s">
        <v>195</v>
      </c>
      <c r="F8" s="61">
        <v>17</v>
      </c>
      <c r="G8" s="61">
        <v>925</v>
      </c>
      <c r="H8" s="61">
        <v>28884</v>
      </c>
      <c r="I8" s="61">
        <v>14134</v>
      </c>
      <c r="J8" s="61">
        <v>2113</v>
      </c>
      <c r="K8" s="61">
        <v>2508</v>
      </c>
      <c r="L8" s="61">
        <v>0.43</v>
      </c>
      <c r="M8" s="61">
        <v>0.372</v>
      </c>
      <c r="N8" s="61">
        <v>0.81</v>
      </c>
      <c r="O8" s="50">
        <v>31.2</v>
      </c>
      <c r="P8" s="61">
        <v>15.3</v>
      </c>
      <c r="Q8" s="61">
        <v>2.2999999999999998</v>
      </c>
      <c r="R8" s="61">
        <v>2.7</v>
      </c>
      <c r="S8" s="50">
        <v>42.1</v>
      </c>
      <c r="T8" s="61">
        <v>7.0000000000000007E-2</v>
      </c>
      <c r="U8" s="61">
        <v>-0.8</v>
      </c>
      <c r="V8" s="61">
        <v>9</v>
      </c>
    </row>
    <row r="9" spans="1:22" hidden="1">
      <c r="A9" s="1">
        <v>8</v>
      </c>
      <c r="B9" s="61">
        <v>8</v>
      </c>
      <c r="C9" s="61" t="s">
        <v>57</v>
      </c>
      <c r="D9" s="61" t="s">
        <v>1486</v>
      </c>
      <c r="E9" s="61" t="s">
        <v>87</v>
      </c>
      <c r="F9" s="61">
        <v>2</v>
      </c>
      <c r="G9" s="61">
        <v>67</v>
      </c>
      <c r="H9" s="61">
        <v>745</v>
      </c>
      <c r="I9" s="61">
        <v>282</v>
      </c>
      <c r="J9" s="61">
        <v>120</v>
      </c>
      <c r="K9" s="61">
        <v>44</v>
      </c>
      <c r="L9" s="61">
        <v>0.41</v>
      </c>
      <c r="M9" s="61">
        <v>0.34</v>
      </c>
      <c r="N9" s="61">
        <v>0.69799999999999995</v>
      </c>
      <c r="O9" s="50">
        <v>11.1</v>
      </c>
      <c r="P9" s="61">
        <v>4.2</v>
      </c>
      <c r="Q9" s="61">
        <v>1.8</v>
      </c>
      <c r="R9" s="61">
        <v>0.7</v>
      </c>
      <c r="S9" s="50">
        <v>0.5</v>
      </c>
      <c r="T9" s="61">
        <v>0.03</v>
      </c>
      <c r="U9" s="61">
        <v>-3.6</v>
      </c>
      <c r="V9" s="61">
        <v>-0.3</v>
      </c>
    </row>
    <row r="10" spans="1:22" hidden="1">
      <c r="A10" s="1">
        <v>9</v>
      </c>
      <c r="B10" s="61">
        <v>9</v>
      </c>
      <c r="C10" s="61" t="s">
        <v>1095</v>
      </c>
      <c r="D10" s="61" t="s">
        <v>1487</v>
      </c>
      <c r="E10" s="61" t="s">
        <v>530</v>
      </c>
      <c r="F10" s="61">
        <v>14</v>
      </c>
      <c r="G10" s="61">
        <v>976</v>
      </c>
      <c r="H10" s="61">
        <v>22851</v>
      </c>
      <c r="I10" s="61">
        <v>9259</v>
      </c>
      <c r="J10" s="61">
        <v>1805</v>
      </c>
      <c r="K10" s="61">
        <v>3761</v>
      </c>
      <c r="L10" s="61">
        <v>0.41199999999999998</v>
      </c>
      <c r="M10" s="61">
        <v>0.38100000000000001</v>
      </c>
      <c r="N10" s="61">
        <v>0.86699999999999999</v>
      </c>
      <c r="O10" s="50">
        <v>23.4</v>
      </c>
      <c r="P10" s="61">
        <v>9.5</v>
      </c>
      <c r="Q10" s="61">
        <v>1.8</v>
      </c>
      <c r="R10" s="61">
        <v>3.9</v>
      </c>
      <c r="S10" s="50">
        <v>47.7</v>
      </c>
      <c r="T10" s="61">
        <v>0.1</v>
      </c>
      <c r="U10" s="61">
        <v>-0.7</v>
      </c>
      <c r="V10" s="61">
        <v>7.6</v>
      </c>
    </row>
    <row r="11" spans="1:22" hidden="1">
      <c r="A11" s="1">
        <v>10</v>
      </c>
      <c r="B11" s="61">
        <v>10</v>
      </c>
      <c r="C11" s="61" t="s">
        <v>1214</v>
      </c>
      <c r="D11" s="61" t="s">
        <v>1488</v>
      </c>
      <c r="E11" s="61" t="s">
        <v>121</v>
      </c>
      <c r="F11" s="61">
        <v>17</v>
      </c>
      <c r="G11" s="61">
        <v>1076</v>
      </c>
      <c r="H11" s="61">
        <v>32600</v>
      </c>
      <c r="I11" s="61">
        <v>17095</v>
      </c>
      <c r="J11" s="61">
        <v>6575</v>
      </c>
      <c r="K11" s="61">
        <v>1559</v>
      </c>
      <c r="L11" s="61">
        <v>0.495</v>
      </c>
      <c r="M11" s="61">
        <v>0.35099999999999998</v>
      </c>
      <c r="N11" s="61">
        <v>0.79700000000000004</v>
      </c>
      <c r="O11" s="50">
        <v>30.3</v>
      </c>
      <c r="P11" s="61">
        <v>15.9</v>
      </c>
      <c r="Q11" s="61">
        <v>6.1</v>
      </c>
      <c r="R11" s="61">
        <v>1.4</v>
      </c>
      <c r="S11" s="50">
        <v>88.7</v>
      </c>
      <c r="T11" s="61">
        <v>0.13100000000000001</v>
      </c>
      <c r="U11" s="61">
        <v>1.3</v>
      </c>
      <c r="V11" s="61">
        <v>26.8</v>
      </c>
    </row>
    <row r="12" spans="1:22" hidden="1">
      <c r="A12" s="1">
        <v>11</v>
      </c>
      <c r="B12" s="61">
        <v>11</v>
      </c>
      <c r="C12" s="61" t="s">
        <v>41</v>
      </c>
      <c r="D12" s="61" t="s">
        <v>1489</v>
      </c>
      <c r="E12" s="61" t="s">
        <v>224</v>
      </c>
      <c r="F12" s="61">
        <v>11</v>
      </c>
      <c r="G12" s="61">
        <v>586</v>
      </c>
      <c r="H12" s="61">
        <v>12486</v>
      </c>
      <c r="I12" s="61">
        <v>4909</v>
      </c>
      <c r="J12" s="61">
        <v>1235</v>
      </c>
      <c r="K12" s="61">
        <v>1674</v>
      </c>
      <c r="L12" s="61">
        <v>0.41099999999999998</v>
      </c>
      <c r="M12" s="61">
        <v>0.36099999999999999</v>
      </c>
      <c r="N12" s="61">
        <v>0.81799999999999995</v>
      </c>
      <c r="O12" s="50">
        <v>21.3</v>
      </c>
      <c r="P12" s="61">
        <v>8.4</v>
      </c>
      <c r="Q12" s="61">
        <v>2.1</v>
      </c>
      <c r="R12" s="61">
        <v>2.9</v>
      </c>
      <c r="S12" s="50">
        <v>18.600000000000001</v>
      </c>
      <c r="T12" s="61">
        <v>7.1999999999999995E-2</v>
      </c>
      <c r="U12" s="61">
        <v>-1.6</v>
      </c>
      <c r="V12" s="61">
        <v>1.1000000000000001</v>
      </c>
    </row>
    <row r="13" spans="1:22" hidden="1">
      <c r="A13" s="1">
        <v>12</v>
      </c>
      <c r="B13" s="61">
        <v>12</v>
      </c>
      <c r="C13" s="61" t="s">
        <v>36</v>
      </c>
      <c r="D13" s="61" t="s">
        <v>1490</v>
      </c>
      <c r="E13" s="61" t="s">
        <v>1491</v>
      </c>
      <c r="F13" s="61">
        <v>8</v>
      </c>
      <c r="G13" s="61">
        <v>588</v>
      </c>
      <c r="H13" s="61">
        <v>14819</v>
      </c>
      <c r="I13" s="61">
        <v>5210</v>
      </c>
      <c r="J13" s="61">
        <v>3880</v>
      </c>
      <c r="K13" s="61">
        <v>635</v>
      </c>
      <c r="L13" s="61">
        <v>0.496</v>
      </c>
      <c r="M13" s="61">
        <v>0.14299999999999999</v>
      </c>
      <c r="N13" s="61">
        <v>0.65700000000000003</v>
      </c>
      <c r="O13" s="50">
        <v>25.2</v>
      </c>
      <c r="P13" s="61">
        <v>8.9</v>
      </c>
      <c r="Q13" s="61">
        <v>6.6</v>
      </c>
      <c r="R13" s="61">
        <v>1.1000000000000001</v>
      </c>
      <c r="S13" s="50">
        <v>23.8</v>
      </c>
      <c r="T13" s="61">
        <v>7.6999999999999999E-2</v>
      </c>
      <c r="U13" s="61">
        <v>-2.6</v>
      </c>
      <c r="V13" s="61">
        <v>-2.4</v>
      </c>
    </row>
    <row r="14" spans="1:22" hidden="1">
      <c r="A14" s="1">
        <v>13</v>
      </c>
      <c r="B14" s="61">
        <v>13</v>
      </c>
      <c r="C14" s="61" t="s">
        <v>124</v>
      </c>
      <c r="D14" s="61" t="s">
        <v>1492</v>
      </c>
      <c r="E14" s="61" t="s">
        <v>138</v>
      </c>
      <c r="F14" s="61">
        <v>9</v>
      </c>
      <c r="G14" s="61">
        <v>481</v>
      </c>
      <c r="H14" s="61">
        <v>10564</v>
      </c>
      <c r="I14" s="61">
        <v>3250</v>
      </c>
      <c r="J14" s="61">
        <v>1413</v>
      </c>
      <c r="K14" s="61">
        <v>468</v>
      </c>
      <c r="L14" s="61">
        <v>0.42599999999999999</v>
      </c>
      <c r="M14" s="61">
        <v>0.40200000000000002</v>
      </c>
      <c r="N14" s="61">
        <v>0.70599999999999996</v>
      </c>
      <c r="O14" s="50">
        <v>22</v>
      </c>
      <c r="P14" s="61">
        <v>6.8</v>
      </c>
      <c r="Q14" s="61">
        <v>2.9</v>
      </c>
      <c r="R14" s="61">
        <v>1</v>
      </c>
      <c r="S14" s="50">
        <v>11.2</v>
      </c>
      <c r="T14" s="61">
        <v>5.0999999999999997E-2</v>
      </c>
      <c r="U14" s="61">
        <v>-1.4</v>
      </c>
      <c r="V14" s="61">
        <v>1.6</v>
      </c>
    </row>
    <row r="15" spans="1:22" hidden="1">
      <c r="A15" s="1">
        <v>14</v>
      </c>
      <c r="B15" s="61">
        <v>14</v>
      </c>
      <c r="C15" s="61" t="s">
        <v>25</v>
      </c>
      <c r="D15" s="61" t="s">
        <v>1493</v>
      </c>
      <c r="E15" s="61" t="s">
        <v>145</v>
      </c>
      <c r="F15" s="61">
        <v>6</v>
      </c>
      <c r="G15" s="61">
        <v>252</v>
      </c>
      <c r="H15" s="61">
        <v>3841</v>
      </c>
      <c r="I15" s="61">
        <v>1789</v>
      </c>
      <c r="J15" s="61">
        <v>1078</v>
      </c>
      <c r="K15" s="61">
        <v>187</v>
      </c>
      <c r="L15" s="61">
        <v>0.45300000000000001</v>
      </c>
      <c r="M15" s="61">
        <v>0.24099999999999999</v>
      </c>
      <c r="N15" s="61">
        <v>0.74</v>
      </c>
      <c r="O15" s="50">
        <v>15.2</v>
      </c>
      <c r="P15" s="61">
        <v>7.1</v>
      </c>
      <c r="Q15" s="61">
        <v>4.3</v>
      </c>
      <c r="R15" s="61">
        <v>0.7</v>
      </c>
      <c r="S15" s="50">
        <v>5.8</v>
      </c>
      <c r="T15" s="61">
        <v>7.1999999999999995E-2</v>
      </c>
      <c r="U15" s="61">
        <v>-1.6</v>
      </c>
      <c r="V15" s="61">
        <v>0.4</v>
      </c>
    </row>
    <row r="16" spans="1:22" hidden="1">
      <c r="A16" s="1">
        <v>15</v>
      </c>
      <c r="B16" s="61">
        <v>15</v>
      </c>
      <c r="C16" s="61" t="s">
        <v>323</v>
      </c>
      <c r="D16" s="61" t="s">
        <v>1494</v>
      </c>
      <c r="E16" s="61" t="s">
        <v>121</v>
      </c>
      <c r="F16" s="61">
        <v>16</v>
      </c>
      <c r="G16" s="61">
        <v>992</v>
      </c>
      <c r="H16" s="61">
        <v>20937</v>
      </c>
      <c r="I16" s="61">
        <v>8326</v>
      </c>
      <c r="J16" s="61">
        <v>4660</v>
      </c>
      <c r="K16" s="61">
        <v>819</v>
      </c>
      <c r="L16" s="61">
        <v>0.53700000000000003</v>
      </c>
      <c r="M16" s="61">
        <v>0.29699999999999999</v>
      </c>
      <c r="N16" s="61">
        <v>0.74299999999999999</v>
      </c>
      <c r="O16" s="50">
        <v>21.1</v>
      </c>
      <c r="P16" s="61">
        <v>8.4</v>
      </c>
      <c r="Q16" s="61">
        <v>4.7</v>
      </c>
      <c r="R16" s="61">
        <v>0.8</v>
      </c>
      <c r="S16" s="50">
        <v>49.6</v>
      </c>
      <c r="T16" s="61">
        <v>0.114</v>
      </c>
      <c r="U16" s="61">
        <v>-1.1000000000000001</v>
      </c>
      <c r="V16" s="61">
        <v>4.5999999999999996</v>
      </c>
    </row>
    <row r="17" spans="1:22" hidden="1">
      <c r="A17" s="1">
        <v>16</v>
      </c>
      <c r="B17" s="61">
        <v>16</v>
      </c>
      <c r="C17" s="61" t="s">
        <v>66</v>
      </c>
      <c r="D17" s="61" t="s">
        <v>1495</v>
      </c>
      <c r="E17" s="61" t="s">
        <v>128</v>
      </c>
      <c r="F17" s="61">
        <v>10</v>
      </c>
      <c r="G17" s="61">
        <v>705</v>
      </c>
      <c r="H17" s="61">
        <v>10640</v>
      </c>
      <c r="I17" s="61">
        <v>5592</v>
      </c>
      <c r="J17" s="61">
        <v>2875</v>
      </c>
      <c r="K17" s="61">
        <v>461</v>
      </c>
      <c r="L17" s="61">
        <v>0.45900000000000002</v>
      </c>
      <c r="M17" s="61">
        <v>0.35599999999999998</v>
      </c>
      <c r="N17" s="61">
        <v>0.79700000000000004</v>
      </c>
      <c r="O17" s="50">
        <v>15.1</v>
      </c>
      <c r="P17" s="61">
        <v>7.9</v>
      </c>
      <c r="Q17" s="61">
        <v>4.0999999999999996</v>
      </c>
      <c r="R17" s="61">
        <v>0.7</v>
      </c>
      <c r="S17" s="50">
        <v>25.8</v>
      </c>
      <c r="T17" s="61">
        <v>0.11600000000000001</v>
      </c>
      <c r="U17" s="61">
        <v>-2.2000000000000002</v>
      </c>
      <c r="V17" s="61">
        <v>-0.6</v>
      </c>
    </row>
    <row r="18" spans="1:22" hidden="1">
      <c r="A18" s="1">
        <v>17</v>
      </c>
      <c r="B18" s="61">
        <v>17</v>
      </c>
      <c r="C18" s="61" t="s">
        <v>163</v>
      </c>
      <c r="D18" s="61" t="s">
        <v>1496</v>
      </c>
      <c r="E18" s="61" t="s">
        <v>1094</v>
      </c>
      <c r="F18" s="61">
        <v>9</v>
      </c>
      <c r="G18" s="61">
        <v>662</v>
      </c>
      <c r="H18" s="61">
        <v>16389</v>
      </c>
      <c r="I18" s="61">
        <v>6611</v>
      </c>
      <c r="J18" s="61">
        <v>4173</v>
      </c>
      <c r="K18" s="61">
        <v>885</v>
      </c>
      <c r="L18" s="61">
        <v>0.46500000000000002</v>
      </c>
      <c r="M18" s="61">
        <v>0.25</v>
      </c>
      <c r="N18" s="61">
        <v>0.755</v>
      </c>
      <c r="O18" s="50">
        <v>24.8</v>
      </c>
      <c r="P18" s="61">
        <v>10</v>
      </c>
      <c r="Q18" s="61">
        <v>6.3</v>
      </c>
      <c r="R18" s="61">
        <v>1.3</v>
      </c>
      <c r="S18" s="50">
        <v>35.9</v>
      </c>
      <c r="T18" s="61">
        <v>0.105</v>
      </c>
      <c r="U18" s="61">
        <v>-1.1000000000000001</v>
      </c>
      <c r="V18" s="61">
        <v>3.5</v>
      </c>
    </row>
    <row r="19" spans="1:22" hidden="1">
      <c r="A19" s="1">
        <v>18</v>
      </c>
      <c r="B19" s="61">
        <v>18</v>
      </c>
      <c r="C19" s="61" t="s">
        <v>69</v>
      </c>
      <c r="D19" s="61" t="s">
        <v>1497</v>
      </c>
      <c r="E19" s="61" t="s">
        <v>147</v>
      </c>
      <c r="F19" s="61">
        <v>16</v>
      </c>
      <c r="G19" s="61">
        <v>909</v>
      </c>
      <c r="H19" s="61">
        <v>14676</v>
      </c>
      <c r="I19" s="61">
        <v>6907</v>
      </c>
      <c r="J19" s="61">
        <v>4577</v>
      </c>
      <c r="K19" s="61">
        <v>386</v>
      </c>
      <c r="L19" s="61">
        <v>0.57799999999999996</v>
      </c>
      <c r="M19" s="61">
        <v>0.192</v>
      </c>
      <c r="N19" s="61">
        <v>0.60399999999999998</v>
      </c>
      <c r="O19" s="50">
        <v>16.100000000000001</v>
      </c>
      <c r="P19" s="61">
        <v>7.6</v>
      </c>
      <c r="Q19" s="61">
        <v>5</v>
      </c>
      <c r="R19" s="61">
        <v>0.4</v>
      </c>
      <c r="S19" s="50">
        <v>43.7</v>
      </c>
      <c r="T19" s="61">
        <v>0.14299999999999999</v>
      </c>
      <c r="U19" s="61">
        <v>0</v>
      </c>
      <c r="V19" s="61">
        <v>7.3</v>
      </c>
    </row>
    <row r="20" spans="1:22" hidden="1">
      <c r="A20" s="1">
        <v>19</v>
      </c>
      <c r="B20" s="61">
        <v>19</v>
      </c>
      <c r="C20" s="61" t="s">
        <v>76</v>
      </c>
      <c r="D20" s="61" t="s">
        <v>1498</v>
      </c>
      <c r="E20" s="61" t="s">
        <v>798</v>
      </c>
      <c r="F20" s="61">
        <v>8</v>
      </c>
      <c r="G20" s="61">
        <v>534</v>
      </c>
      <c r="H20" s="61">
        <v>11925</v>
      </c>
      <c r="I20" s="61">
        <v>5081</v>
      </c>
      <c r="J20" s="61">
        <v>3639</v>
      </c>
      <c r="K20" s="61">
        <v>449</v>
      </c>
      <c r="L20" s="61">
        <v>0.505</v>
      </c>
      <c r="M20" s="61">
        <v>0</v>
      </c>
      <c r="N20" s="61">
        <v>0.61699999999999999</v>
      </c>
      <c r="O20" s="50">
        <v>22.3</v>
      </c>
      <c r="P20" s="61">
        <v>9.5</v>
      </c>
      <c r="Q20" s="61">
        <v>6.8</v>
      </c>
      <c r="R20" s="61">
        <v>0.8</v>
      </c>
      <c r="S20" s="50">
        <v>21.9</v>
      </c>
      <c r="T20" s="61">
        <v>8.7999999999999995E-2</v>
      </c>
      <c r="U20" s="61">
        <v>-1.8</v>
      </c>
      <c r="V20" s="61">
        <v>0.5</v>
      </c>
    </row>
    <row r="21" spans="1:22" hidden="1">
      <c r="A21" s="1">
        <v>20</v>
      </c>
      <c r="B21" s="61">
        <v>20</v>
      </c>
      <c r="C21" s="61" t="s">
        <v>1095</v>
      </c>
      <c r="D21" s="61" t="s">
        <v>1499</v>
      </c>
      <c r="E21" s="65"/>
      <c r="F21" s="61">
        <v>7</v>
      </c>
      <c r="G21" s="61">
        <v>293</v>
      </c>
      <c r="H21" s="61">
        <v>3905</v>
      </c>
      <c r="I21" s="61">
        <v>1553</v>
      </c>
      <c r="J21" s="61">
        <v>1150</v>
      </c>
      <c r="K21" s="61">
        <v>143</v>
      </c>
      <c r="L21" s="61">
        <v>0.503</v>
      </c>
      <c r="M21" s="61">
        <v>0.28599999999999998</v>
      </c>
      <c r="N21" s="61">
        <v>0.79700000000000004</v>
      </c>
      <c r="O21" s="50">
        <v>13.3</v>
      </c>
      <c r="P21" s="61">
        <v>5.3</v>
      </c>
      <c r="Q21" s="61">
        <v>3.9</v>
      </c>
      <c r="R21" s="61">
        <v>0.5</v>
      </c>
      <c r="S21" s="50">
        <v>7.5</v>
      </c>
      <c r="T21" s="61">
        <v>9.2999999999999999E-2</v>
      </c>
      <c r="U21" s="61">
        <v>-2.8</v>
      </c>
      <c r="V21" s="61">
        <v>-0.8</v>
      </c>
    </row>
    <row r="22" spans="1:22" hidden="1">
      <c r="A22" s="1">
        <v>21</v>
      </c>
      <c r="B22" s="61">
        <v>21</v>
      </c>
      <c r="C22" s="61" t="s">
        <v>1214</v>
      </c>
      <c r="D22" s="61" t="s">
        <v>1500</v>
      </c>
      <c r="E22" s="61" t="s">
        <v>200</v>
      </c>
      <c r="F22" s="61">
        <v>12</v>
      </c>
      <c r="G22" s="61">
        <v>649</v>
      </c>
      <c r="H22" s="61">
        <v>16769</v>
      </c>
      <c r="I22" s="61">
        <v>8001</v>
      </c>
      <c r="J22" s="61">
        <v>3413</v>
      </c>
      <c r="K22" s="61">
        <v>586</v>
      </c>
      <c r="L22" s="61">
        <v>0.42199999999999999</v>
      </c>
      <c r="M22" s="61">
        <v>0.38</v>
      </c>
      <c r="N22" s="61">
        <v>0.85399999999999998</v>
      </c>
      <c r="O22" s="50">
        <v>25.8</v>
      </c>
      <c r="P22" s="61">
        <v>12.3</v>
      </c>
      <c r="Q22" s="61">
        <v>5.3</v>
      </c>
      <c r="R22" s="61">
        <v>0.9</v>
      </c>
      <c r="S22" s="50">
        <v>46.7</v>
      </c>
      <c r="T22" s="61">
        <v>0.13400000000000001</v>
      </c>
      <c r="U22" s="61">
        <v>1</v>
      </c>
      <c r="V22" s="61">
        <v>12.8</v>
      </c>
    </row>
    <row r="23" spans="1:22" hidden="1">
      <c r="A23" s="1">
        <v>22</v>
      </c>
      <c r="B23" s="61">
        <v>22</v>
      </c>
      <c r="C23" s="61" t="s">
        <v>179</v>
      </c>
      <c r="D23" s="61" t="s">
        <v>1501</v>
      </c>
      <c r="E23" s="61" t="s">
        <v>561</v>
      </c>
      <c r="F23" s="61">
        <v>12</v>
      </c>
      <c r="G23" s="61">
        <v>811</v>
      </c>
      <c r="H23" s="61">
        <v>21938</v>
      </c>
      <c r="I23" s="61">
        <v>7765</v>
      </c>
      <c r="J23" s="61">
        <v>2127</v>
      </c>
      <c r="K23" s="61">
        <v>1353</v>
      </c>
      <c r="L23" s="61">
        <v>0.45100000000000001</v>
      </c>
      <c r="M23" s="61">
        <v>0.38800000000000001</v>
      </c>
      <c r="N23" s="61">
        <v>0.85299999999999998</v>
      </c>
      <c r="O23" s="50">
        <v>27.1</v>
      </c>
      <c r="P23" s="61">
        <v>9.6</v>
      </c>
      <c r="Q23" s="61">
        <v>2.6</v>
      </c>
      <c r="R23" s="61">
        <v>1.7</v>
      </c>
      <c r="S23" s="50">
        <v>39.299999999999997</v>
      </c>
      <c r="T23" s="61">
        <v>8.5999999999999993E-2</v>
      </c>
      <c r="U23" s="61">
        <v>-0.6</v>
      </c>
      <c r="V23" s="61">
        <v>7.9</v>
      </c>
    </row>
    <row r="24" spans="1:22" hidden="1">
      <c r="A24" s="1">
        <v>23</v>
      </c>
      <c r="B24" s="61">
        <v>23</v>
      </c>
      <c r="C24" s="61" t="s">
        <v>193</v>
      </c>
      <c r="D24" s="61" t="s">
        <v>1502</v>
      </c>
      <c r="E24" s="61" t="s">
        <v>404</v>
      </c>
      <c r="F24" s="61">
        <v>11</v>
      </c>
      <c r="G24" s="61">
        <v>686</v>
      </c>
      <c r="H24" s="61">
        <v>11271</v>
      </c>
      <c r="I24" s="61">
        <v>3913</v>
      </c>
      <c r="J24" s="61">
        <v>3452</v>
      </c>
      <c r="K24" s="61">
        <v>359</v>
      </c>
      <c r="L24" s="61">
        <v>0.53400000000000003</v>
      </c>
      <c r="M24" s="61">
        <v>0</v>
      </c>
      <c r="N24" s="61">
        <v>0.58199999999999996</v>
      </c>
      <c r="O24" s="50">
        <v>16.399999999999999</v>
      </c>
      <c r="P24" s="61">
        <v>5.7</v>
      </c>
      <c r="Q24" s="61">
        <v>5</v>
      </c>
      <c r="R24" s="61">
        <v>0.5</v>
      </c>
      <c r="S24" s="50">
        <v>28.3</v>
      </c>
      <c r="T24" s="61">
        <v>0.12</v>
      </c>
      <c r="U24" s="61">
        <v>-1.3</v>
      </c>
      <c r="V24" s="61">
        <v>2</v>
      </c>
    </row>
    <row r="25" spans="1:22" hidden="1">
      <c r="A25" s="1">
        <v>24</v>
      </c>
      <c r="B25" s="61">
        <v>24</v>
      </c>
      <c r="C25" s="61" t="s">
        <v>141</v>
      </c>
      <c r="D25" s="61" t="s">
        <v>1503</v>
      </c>
      <c r="E25" s="65"/>
      <c r="F25" s="61">
        <v>14</v>
      </c>
      <c r="G25" s="61">
        <v>919</v>
      </c>
      <c r="H25" s="61">
        <v>25127</v>
      </c>
      <c r="I25" s="61">
        <v>11028</v>
      </c>
      <c r="J25" s="61">
        <v>6513</v>
      </c>
      <c r="K25" s="61">
        <v>749</v>
      </c>
      <c r="L25" s="61">
        <v>0.51300000000000001</v>
      </c>
      <c r="M25" s="61">
        <v>0.35899999999999999</v>
      </c>
      <c r="N25" s="61">
        <v>0.75700000000000001</v>
      </c>
      <c r="O25" s="50">
        <v>27.3</v>
      </c>
      <c r="P25" s="61">
        <v>12</v>
      </c>
      <c r="Q25" s="61">
        <v>7.1</v>
      </c>
      <c r="R25" s="61">
        <v>0.8</v>
      </c>
      <c r="S25" s="50">
        <v>73</v>
      </c>
      <c r="T25" s="61">
        <v>0.13900000000000001</v>
      </c>
      <c r="U25" s="61">
        <v>0.5</v>
      </c>
      <c r="V25" s="61">
        <v>15.7</v>
      </c>
    </row>
    <row r="26" spans="1:22" hidden="1">
      <c r="A26" s="1">
        <v>25</v>
      </c>
      <c r="B26" s="61">
        <v>25</v>
      </c>
      <c r="C26" s="61" t="s">
        <v>52</v>
      </c>
      <c r="D26" s="61" t="s">
        <v>1504</v>
      </c>
      <c r="E26" s="65"/>
      <c r="F26" s="61">
        <v>17</v>
      </c>
      <c r="G26" s="61">
        <v>1103</v>
      </c>
      <c r="H26" s="61">
        <v>32130</v>
      </c>
      <c r="I26" s="61">
        <v>11112</v>
      </c>
      <c r="J26" s="61">
        <v>5395</v>
      </c>
      <c r="K26" s="61">
        <v>3529</v>
      </c>
      <c r="L26" s="61">
        <v>0.436</v>
      </c>
      <c r="M26" s="61">
        <v>0.36599999999999999</v>
      </c>
      <c r="N26" s="61">
        <v>0.83099999999999996</v>
      </c>
      <c r="O26" s="50">
        <v>29.1</v>
      </c>
      <c r="P26" s="61">
        <v>10.1</v>
      </c>
      <c r="Q26" s="61">
        <v>4.9000000000000004</v>
      </c>
      <c r="R26" s="61">
        <v>3.2</v>
      </c>
      <c r="S26" s="50">
        <v>72.3</v>
      </c>
      <c r="T26" s="61">
        <v>0.108</v>
      </c>
      <c r="U26" s="61">
        <v>1.5</v>
      </c>
      <c r="V26" s="61">
        <v>28.2</v>
      </c>
    </row>
    <row r="27" spans="1:22" hidden="1">
      <c r="A27" s="1">
        <v>26</v>
      </c>
      <c r="B27" s="61">
        <v>26</v>
      </c>
      <c r="C27" s="61" t="s">
        <v>79</v>
      </c>
      <c r="D27" s="61" t="s">
        <v>1505</v>
      </c>
      <c r="E27" s="61" t="s">
        <v>1506</v>
      </c>
      <c r="F27" s="61">
        <v>15</v>
      </c>
      <c r="G27" s="61">
        <v>915</v>
      </c>
      <c r="H27" s="61">
        <v>24501</v>
      </c>
      <c r="I27" s="61">
        <v>9545</v>
      </c>
      <c r="J27" s="61">
        <v>2731</v>
      </c>
      <c r="K27" s="61">
        <v>2807</v>
      </c>
      <c r="L27" s="61">
        <v>0.45700000000000002</v>
      </c>
      <c r="M27" s="61">
        <v>0.38</v>
      </c>
      <c r="N27" s="61">
        <v>0.80600000000000005</v>
      </c>
      <c r="O27" s="50">
        <v>26.8</v>
      </c>
      <c r="P27" s="61">
        <v>10.4</v>
      </c>
      <c r="Q27" s="61">
        <v>3</v>
      </c>
      <c r="R27" s="61">
        <v>3.1</v>
      </c>
      <c r="S27" s="50">
        <v>71</v>
      </c>
      <c r="T27" s="61">
        <v>0.13900000000000001</v>
      </c>
      <c r="U27" s="61">
        <v>1.1000000000000001</v>
      </c>
      <c r="V27" s="61">
        <v>19.399999999999999</v>
      </c>
    </row>
    <row r="28" spans="1:22" hidden="1">
      <c r="A28" s="1">
        <v>27</v>
      </c>
      <c r="B28" s="61">
        <v>27</v>
      </c>
      <c r="C28" s="61" t="s">
        <v>1098</v>
      </c>
      <c r="D28" s="61" t="s">
        <v>1507</v>
      </c>
      <c r="E28" s="61" t="s">
        <v>138</v>
      </c>
      <c r="F28" s="61">
        <v>9</v>
      </c>
      <c r="G28" s="61">
        <v>503</v>
      </c>
      <c r="H28" s="61">
        <v>8945</v>
      </c>
      <c r="I28" s="61">
        <v>3282</v>
      </c>
      <c r="J28" s="61">
        <v>1768</v>
      </c>
      <c r="K28" s="61">
        <v>409</v>
      </c>
      <c r="L28" s="61">
        <v>0.44400000000000001</v>
      </c>
      <c r="M28" s="61">
        <v>0.35199999999999998</v>
      </c>
      <c r="N28" s="61">
        <v>0.76500000000000001</v>
      </c>
      <c r="O28" s="50">
        <v>17.8</v>
      </c>
      <c r="P28" s="61">
        <v>6.5</v>
      </c>
      <c r="Q28" s="61">
        <v>3.5</v>
      </c>
      <c r="R28" s="61">
        <v>0.8</v>
      </c>
      <c r="S28" s="50">
        <v>12.3</v>
      </c>
      <c r="T28" s="61">
        <v>6.6000000000000003E-2</v>
      </c>
      <c r="U28" s="61">
        <v>-2.2000000000000002</v>
      </c>
      <c r="V28" s="61">
        <v>-0.4</v>
      </c>
    </row>
    <row r="29" spans="1:22" hidden="1">
      <c r="A29" s="1">
        <v>28</v>
      </c>
      <c r="B29" s="61">
        <v>28</v>
      </c>
      <c r="C29" s="61" t="s">
        <v>152</v>
      </c>
      <c r="D29" s="61" t="s">
        <v>1508</v>
      </c>
      <c r="E29" s="61" t="s">
        <v>68</v>
      </c>
      <c r="F29" s="61">
        <v>4</v>
      </c>
      <c r="G29" s="61">
        <v>253</v>
      </c>
      <c r="H29" s="61">
        <v>4259</v>
      </c>
      <c r="I29" s="61">
        <v>1541</v>
      </c>
      <c r="J29" s="61">
        <v>600</v>
      </c>
      <c r="K29" s="61">
        <v>183</v>
      </c>
      <c r="L29" s="61">
        <v>0.40600000000000003</v>
      </c>
      <c r="M29" s="61">
        <v>0.30399999999999999</v>
      </c>
      <c r="N29" s="61">
        <v>0.70099999999999996</v>
      </c>
      <c r="O29" s="50">
        <v>16.8</v>
      </c>
      <c r="P29" s="61">
        <v>6.1</v>
      </c>
      <c r="Q29" s="61">
        <v>2.4</v>
      </c>
      <c r="R29" s="61">
        <v>0.7</v>
      </c>
      <c r="S29" s="50">
        <v>1.5</v>
      </c>
      <c r="T29" s="61">
        <v>1.7000000000000001E-2</v>
      </c>
      <c r="U29" s="61">
        <v>-2.8</v>
      </c>
      <c r="V29" s="61">
        <v>-0.9</v>
      </c>
    </row>
    <row r="30" spans="1:22" hidden="1">
      <c r="A30" s="1">
        <v>29</v>
      </c>
      <c r="B30" s="61">
        <v>29</v>
      </c>
      <c r="C30" s="61" t="s">
        <v>34</v>
      </c>
      <c r="D30" s="61" t="s">
        <v>1509</v>
      </c>
      <c r="E30" s="61" t="s">
        <v>195</v>
      </c>
      <c r="F30" s="61">
        <v>6</v>
      </c>
      <c r="G30" s="61">
        <v>138</v>
      </c>
      <c r="H30" s="61">
        <v>2111</v>
      </c>
      <c r="I30" s="61">
        <v>810</v>
      </c>
      <c r="J30" s="61">
        <v>437</v>
      </c>
      <c r="K30" s="61">
        <v>80</v>
      </c>
      <c r="L30" s="61">
        <v>0.50700000000000001</v>
      </c>
      <c r="M30" s="61">
        <v>0.33300000000000002</v>
      </c>
      <c r="N30" s="61">
        <v>0.72</v>
      </c>
      <c r="O30" s="50">
        <v>15.3</v>
      </c>
      <c r="P30" s="61">
        <v>5.9</v>
      </c>
      <c r="Q30" s="61">
        <v>3.2</v>
      </c>
      <c r="R30" s="61">
        <v>0.6</v>
      </c>
      <c r="S30" s="50">
        <v>3.8</v>
      </c>
      <c r="T30" s="61">
        <v>8.6999999999999994E-2</v>
      </c>
      <c r="U30" s="61">
        <v>-2.1</v>
      </c>
      <c r="V30" s="61">
        <v>0</v>
      </c>
    </row>
    <row r="31" spans="1:22" hidden="1">
      <c r="A31" s="1">
        <v>30</v>
      </c>
      <c r="B31" s="61">
        <v>30</v>
      </c>
      <c r="C31" s="61" t="s">
        <v>190</v>
      </c>
      <c r="D31" s="61" t="s">
        <v>1510</v>
      </c>
      <c r="E31" s="61" t="s">
        <v>1066</v>
      </c>
      <c r="F31" s="61">
        <v>2</v>
      </c>
      <c r="G31" s="61">
        <v>38</v>
      </c>
      <c r="H31" s="61">
        <v>247</v>
      </c>
      <c r="I31" s="61">
        <v>73</v>
      </c>
      <c r="J31" s="61">
        <v>54</v>
      </c>
      <c r="K31" s="61">
        <v>13</v>
      </c>
      <c r="L31" s="61">
        <v>0.47599999999999998</v>
      </c>
      <c r="M31" s="61">
        <v>0</v>
      </c>
      <c r="N31" s="61">
        <v>0.56499999999999995</v>
      </c>
      <c r="O31" s="50">
        <v>6.5</v>
      </c>
      <c r="P31" s="61">
        <v>1.9</v>
      </c>
      <c r="Q31" s="61">
        <v>1.4</v>
      </c>
      <c r="R31" s="61">
        <v>0.3</v>
      </c>
      <c r="S31" s="50">
        <v>0.1</v>
      </c>
      <c r="T31" s="61">
        <v>2.7E-2</v>
      </c>
      <c r="U31" s="61">
        <v>-4.3</v>
      </c>
      <c r="V31" s="61">
        <v>-0.1</v>
      </c>
    </row>
    <row r="32" spans="1:22" s="119" customFormat="1" hidden="1">
      <c r="A32" s="68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75"/>
      <c r="P32" s="117"/>
      <c r="Q32" s="117"/>
      <c r="R32" s="117"/>
      <c r="S32" s="75"/>
      <c r="T32" s="117"/>
      <c r="U32" s="117"/>
      <c r="V32" s="117"/>
    </row>
    <row r="33" spans="1:24" ht="20.100000000000001" customHeight="1">
      <c r="A33" s="1">
        <v>31</v>
      </c>
      <c r="B33" s="61">
        <v>31</v>
      </c>
      <c r="C33" s="61" t="s">
        <v>135</v>
      </c>
      <c r="D33" s="62" t="s">
        <v>136</v>
      </c>
      <c r="E33" s="65"/>
      <c r="F33" s="61">
        <v>6</v>
      </c>
      <c r="G33" s="61">
        <v>271</v>
      </c>
      <c r="H33" s="61">
        <v>6744</v>
      </c>
      <c r="I33" s="61">
        <v>3405</v>
      </c>
      <c r="J33" s="61">
        <v>1807</v>
      </c>
      <c r="K33" s="61">
        <v>199</v>
      </c>
      <c r="L33" s="61">
        <v>0.51800000000000002</v>
      </c>
      <c r="M33" s="65"/>
      <c r="N33" s="61">
        <v>0.76</v>
      </c>
      <c r="O33" s="50">
        <v>24.9</v>
      </c>
      <c r="P33" s="61">
        <v>12.6</v>
      </c>
      <c r="Q33" s="61">
        <v>6.7</v>
      </c>
      <c r="R33" s="61">
        <v>0.7</v>
      </c>
      <c r="S33" s="92">
        <v>18.8</v>
      </c>
      <c r="T33" s="61">
        <v>0.13400000000000001</v>
      </c>
      <c r="U33" s="61">
        <v>-0.7</v>
      </c>
      <c r="V33" s="61">
        <v>2.2000000000000002</v>
      </c>
      <c r="X33" s="1" t="s">
        <v>294</v>
      </c>
    </row>
    <row r="34" spans="1:24">
      <c r="A34" s="1">
        <v>32</v>
      </c>
      <c r="B34" s="61">
        <v>32</v>
      </c>
      <c r="C34" s="61" t="s">
        <v>141</v>
      </c>
      <c r="D34" s="66" t="s">
        <v>1472</v>
      </c>
      <c r="E34" s="61" t="s">
        <v>1414</v>
      </c>
      <c r="F34" s="61">
        <v>1</v>
      </c>
      <c r="G34" s="61">
        <v>8</v>
      </c>
      <c r="H34" s="61">
        <v>20</v>
      </c>
      <c r="I34" s="61">
        <v>8</v>
      </c>
      <c r="J34" s="61">
        <v>3</v>
      </c>
      <c r="K34" s="61">
        <v>0</v>
      </c>
      <c r="L34" s="61">
        <v>0.36399999999999999</v>
      </c>
      <c r="M34" s="61">
        <v>0</v>
      </c>
      <c r="N34" s="61">
        <v>0</v>
      </c>
      <c r="O34" s="50">
        <v>2.5</v>
      </c>
      <c r="P34" s="61">
        <v>1</v>
      </c>
      <c r="Q34" s="61">
        <v>0.4</v>
      </c>
      <c r="R34" s="61">
        <v>0</v>
      </c>
      <c r="S34" s="92">
        <v>-0.1</v>
      </c>
      <c r="T34" s="61">
        <v>-0.13100000000000001</v>
      </c>
      <c r="U34" s="61">
        <v>-10.1</v>
      </c>
      <c r="V34" s="61">
        <v>0</v>
      </c>
      <c r="X34" s="53" t="s">
        <v>296</v>
      </c>
    </row>
    <row r="35" spans="1:24">
      <c r="A35" s="1">
        <v>33</v>
      </c>
      <c r="B35" s="61">
        <v>33</v>
      </c>
      <c r="C35" s="61" t="s">
        <v>124</v>
      </c>
      <c r="D35" s="122" t="s">
        <v>1454</v>
      </c>
      <c r="E35" s="61" t="s">
        <v>126</v>
      </c>
      <c r="F35" s="61">
        <v>4</v>
      </c>
      <c r="G35" s="61">
        <v>130</v>
      </c>
      <c r="H35" s="61">
        <v>1488</v>
      </c>
      <c r="I35" s="61">
        <v>344</v>
      </c>
      <c r="J35" s="61">
        <v>513</v>
      </c>
      <c r="K35" s="61">
        <v>55</v>
      </c>
      <c r="L35" s="61">
        <v>0.53400000000000003</v>
      </c>
      <c r="M35" s="61">
        <v>0</v>
      </c>
      <c r="N35" s="61">
        <v>0.375</v>
      </c>
      <c r="O35" s="50">
        <v>11.4</v>
      </c>
      <c r="P35" s="61">
        <v>2.6</v>
      </c>
      <c r="Q35" s="61">
        <v>3.9</v>
      </c>
      <c r="R35" s="61">
        <v>0.4</v>
      </c>
      <c r="S35" s="92">
        <v>2.9</v>
      </c>
      <c r="T35" s="61">
        <v>9.1999999999999998E-2</v>
      </c>
      <c r="U35" s="61">
        <v>-2.7</v>
      </c>
      <c r="V35" s="61">
        <v>-0.3</v>
      </c>
      <c r="X35" s="54" t="s">
        <v>298</v>
      </c>
    </row>
    <row r="36" spans="1:24">
      <c r="A36" s="1">
        <v>34</v>
      </c>
      <c r="B36" s="61">
        <v>34</v>
      </c>
      <c r="C36" s="61" t="s">
        <v>135</v>
      </c>
      <c r="D36" s="62" t="s">
        <v>137</v>
      </c>
      <c r="E36" s="61" t="s">
        <v>138</v>
      </c>
      <c r="F36" s="61">
        <v>9</v>
      </c>
      <c r="G36" s="61">
        <v>646</v>
      </c>
      <c r="H36" s="61">
        <v>17245</v>
      </c>
      <c r="I36" s="61">
        <v>5743</v>
      </c>
      <c r="J36" s="61">
        <v>1585</v>
      </c>
      <c r="K36" s="61">
        <v>2412</v>
      </c>
      <c r="L36" s="61">
        <v>0.41699999999999998</v>
      </c>
      <c r="M36" s="61">
        <v>0.35099999999999998</v>
      </c>
      <c r="N36" s="61">
        <v>0.79300000000000004</v>
      </c>
      <c r="O36" s="50">
        <v>26.7</v>
      </c>
      <c r="P36" s="61">
        <v>8.9</v>
      </c>
      <c r="Q36" s="61">
        <v>2.5</v>
      </c>
      <c r="R36" s="61">
        <v>3.7</v>
      </c>
      <c r="S36" s="92">
        <v>32.299999999999997</v>
      </c>
      <c r="T36" s="61">
        <v>0.09</v>
      </c>
      <c r="U36" s="61">
        <v>-0.6</v>
      </c>
      <c r="V36" s="61">
        <v>5.9</v>
      </c>
      <c r="X36" s="58" t="s">
        <v>39</v>
      </c>
    </row>
    <row r="37" spans="1:24">
      <c r="A37" s="1">
        <v>35</v>
      </c>
      <c r="B37" s="61">
        <v>35</v>
      </c>
      <c r="C37" s="61" t="s">
        <v>28</v>
      </c>
      <c r="D37" s="123" t="s">
        <v>29</v>
      </c>
      <c r="E37" s="61" t="s">
        <v>30</v>
      </c>
      <c r="F37" s="61">
        <v>17</v>
      </c>
      <c r="G37" s="61">
        <v>1094</v>
      </c>
      <c r="H37" s="61">
        <v>27638</v>
      </c>
      <c r="I37" s="61">
        <v>9415</v>
      </c>
      <c r="J37" s="61">
        <v>10682</v>
      </c>
      <c r="K37" s="61">
        <v>1025</v>
      </c>
      <c r="L37" s="61">
        <v>0.67400000000000004</v>
      </c>
      <c r="M37" s="61">
        <v>0.154</v>
      </c>
      <c r="N37" s="61">
        <v>0.47499999999999998</v>
      </c>
      <c r="O37" s="50">
        <v>25.3</v>
      </c>
      <c r="P37" s="61">
        <v>8.6</v>
      </c>
      <c r="Q37" s="61">
        <v>9.8000000000000007</v>
      </c>
      <c r="R37" s="61">
        <v>0.9</v>
      </c>
      <c r="S37" s="92">
        <v>98.2</v>
      </c>
      <c r="T37" s="61">
        <v>0.17100000000000001</v>
      </c>
      <c r="U37" s="61">
        <v>1.2</v>
      </c>
      <c r="V37" s="61">
        <v>22.1</v>
      </c>
      <c r="X37" s="59" t="s">
        <v>106</v>
      </c>
    </row>
    <row r="38" spans="1:24">
      <c r="A38" s="1">
        <v>36</v>
      </c>
      <c r="B38" s="61">
        <v>36</v>
      </c>
      <c r="C38" s="61" t="s">
        <v>124</v>
      </c>
      <c r="D38" s="121" t="s">
        <v>225</v>
      </c>
      <c r="E38" s="65"/>
      <c r="F38" s="61">
        <v>8</v>
      </c>
      <c r="G38" s="61">
        <v>471</v>
      </c>
      <c r="H38" s="61">
        <v>9216</v>
      </c>
      <c r="I38" s="61">
        <v>2479</v>
      </c>
      <c r="J38" s="61">
        <v>3362</v>
      </c>
      <c r="K38" s="61">
        <v>280</v>
      </c>
      <c r="L38" s="61">
        <v>0.52800000000000002</v>
      </c>
      <c r="M38" s="61">
        <v>0</v>
      </c>
      <c r="N38" s="61">
        <v>0.55100000000000005</v>
      </c>
      <c r="O38" s="50">
        <v>19.600000000000001</v>
      </c>
      <c r="P38" s="61">
        <v>5.3</v>
      </c>
      <c r="Q38" s="61">
        <v>7.1</v>
      </c>
      <c r="R38" s="61">
        <v>0.6</v>
      </c>
      <c r="S38" s="92">
        <v>20.9</v>
      </c>
      <c r="T38" s="61">
        <v>0.109</v>
      </c>
      <c r="U38" s="61">
        <v>-1.9</v>
      </c>
      <c r="V38" s="61">
        <v>0.1</v>
      </c>
      <c r="X38" s="60" t="s">
        <v>678</v>
      </c>
    </row>
    <row r="39" spans="1:24">
      <c r="A39" s="1">
        <v>37</v>
      </c>
      <c r="B39" s="61">
        <v>37</v>
      </c>
      <c r="C39" s="61" t="s">
        <v>57</v>
      </c>
      <c r="D39" s="62" t="s">
        <v>140</v>
      </c>
      <c r="E39" s="61" t="s">
        <v>63</v>
      </c>
      <c r="F39" s="61">
        <v>12</v>
      </c>
      <c r="G39" s="61">
        <v>689</v>
      </c>
      <c r="H39" s="61">
        <v>16038</v>
      </c>
      <c r="I39" s="61">
        <v>4380</v>
      </c>
      <c r="J39" s="61">
        <v>2800</v>
      </c>
      <c r="K39" s="61">
        <v>588</v>
      </c>
      <c r="L39" s="61">
        <v>0.45400000000000001</v>
      </c>
      <c r="M39" s="61">
        <v>0.33400000000000002</v>
      </c>
      <c r="N39" s="61">
        <v>0.65900000000000003</v>
      </c>
      <c r="O39" s="50">
        <v>23.3</v>
      </c>
      <c r="P39" s="61">
        <v>6.4</v>
      </c>
      <c r="Q39" s="61">
        <v>4.0999999999999996</v>
      </c>
      <c r="R39" s="61">
        <v>0.9</v>
      </c>
      <c r="S39" s="92">
        <v>26</v>
      </c>
      <c r="T39" s="61">
        <v>7.8E-2</v>
      </c>
      <c r="U39" s="61">
        <v>-1.5</v>
      </c>
      <c r="V39" s="61">
        <v>2</v>
      </c>
      <c r="X39" s="84" t="s">
        <v>680</v>
      </c>
    </row>
    <row r="40" spans="1:24">
      <c r="A40" s="1">
        <v>38</v>
      </c>
      <c r="B40" s="61">
        <v>38</v>
      </c>
      <c r="C40" s="61" t="s">
        <v>1095</v>
      </c>
      <c r="D40" s="66" t="s">
        <v>1456</v>
      </c>
      <c r="E40" s="61" t="s">
        <v>347</v>
      </c>
      <c r="F40" s="61">
        <v>3</v>
      </c>
      <c r="G40" s="61">
        <v>73</v>
      </c>
      <c r="H40" s="61">
        <v>1379</v>
      </c>
      <c r="I40" s="61">
        <v>363</v>
      </c>
      <c r="J40" s="61">
        <v>158</v>
      </c>
      <c r="K40" s="61">
        <v>119</v>
      </c>
      <c r="L40" s="61">
        <v>0.441</v>
      </c>
      <c r="M40" s="61">
        <v>0.35299999999999998</v>
      </c>
      <c r="N40" s="61">
        <v>0.73599999999999999</v>
      </c>
      <c r="O40" s="50">
        <v>18.899999999999999</v>
      </c>
      <c r="P40" s="61">
        <v>5</v>
      </c>
      <c r="Q40" s="61">
        <v>2.2000000000000002</v>
      </c>
      <c r="R40" s="61">
        <v>1.6</v>
      </c>
      <c r="S40" s="92">
        <v>1.5</v>
      </c>
      <c r="T40" s="61">
        <v>5.0999999999999997E-2</v>
      </c>
      <c r="U40" s="61">
        <v>-1.1000000000000001</v>
      </c>
      <c r="V40" s="61">
        <v>0.3</v>
      </c>
      <c r="X40" s="57" t="s">
        <v>111</v>
      </c>
    </row>
    <row r="41" spans="1:24">
      <c r="A41" s="1">
        <v>39</v>
      </c>
      <c r="B41" s="61">
        <v>39</v>
      </c>
      <c r="C41" s="61" t="s">
        <v>99</v>
      </c>
      <c r="D41" s="122" t="s">
        <v>1466</v>
      </c>
      <c r="E41" s="61" t="s">
        <v>84</v>
      </c>
      <c r="F41" s="61">
        <v>4</v>
      </c>
      <c r="G41" s="61">
        <v>183</v>
      </c>
      <c r="H41" s="61">
        <v>3335</v>
      </c>
      <c r="I41" s="61">
        <v>1189</v>
      </c>
      <c r="J41" s="61">
        <v>402</v>
      </c>
      <c r="K41" s="61">
        <v>257</v>
      </c>
      <c r="L41" s="61">
        <v>0.46500000000000002</v>
      </c>
      <c r="M41" s="61">
        <v>0.28299999999999997</v>
      </c>
      <c r="N41" s="61">
        <v>0.70199999999999996</v>
      </c>
      <c r="O41" s="50">
        <v>18.2</v>
      </c>
      <c r="P41" s="61">
        <v>6.5</v>
      </c>
      <c r="Q41" s="61">
        <v>2.2000000000000002</v>
      </c>
      <c r="R41" s="61">
        <v>1.4</v>
      </c>
      <c r="S41" s="92">
        <v>0</v>
      </c>
      <c r="T41" s="61">
        <v>1E-3</v>
      </c>
      <c r="U41" s="61">
        <v>-4.2</v>
      </c>
      <c r="V41" s="61">
        <v>-1.8</v>
      </c>
    </row>
    <row r="42" spans="1:24">
      <c r="A42" s="1">
        <v>40</v>
      </c>
      <c r="B42" s="61">
        <v>40</v>
      </c>
      <c r="C42" s="61" t="s">
        <v>1214</v>
      </c>
      <c r="D42" s="122" t="s">
        <v>1450</v>
      </c>
      <c r="E42" s="61" t="s">
        <v>126</v>
      </c>
      <c r="F42" s="61">
        <v>6</v>
      </c>
      <c r="G42" s="61">
        <v>222</v>
      </c>
      <c r="H42" s="61">
        <v>4381</v>
      </c>
      <c r="I42" s="61">
        <v>1571</v>
      </c>
      <c r="J42" s="61">
        <v>472</v>
      </c>
      <c r="K42" s="61">
        <v>254</v>
      </c>
      <c r="L42" s="61">
        <v>0.439</v>
      </c>
      <c r="M42" s="61">
        <v>0.32900000000000001</v>
      </c>
      <c r="N42" s="61">
        <v>0.83099999999999996</v>
      </c>
      <c r="O42" s="50">
        <v>19.7</v>
      </c>
      <c r="P42" s="61">
        <v>7.1</v>
      </c>
      <c r="Q42" s="61">
        <v>2.1</v>
      </c>
      <c r="R42" s="61">
        <v>1.1000000000000001</v>
      </c>
      <c r="S42" s="92">
        <v>5.4</v>
      </c>
      <c r="T42" s="61">
        <v>5.8999999999999997E-2</v>
      </c>
      <c r="U42" s="61">
        <v>-2.2000000000000002</v>
      </c>
      <c r="V42" s="61">
        <v>-0.2</v>
      </c>
    </row>
    <row r="43" spans="1:24">
      <c r="A43" s="1">
        <v>41</v>
      </c>
      <c r="B43" s="61">
        <v>41</v>
      </c>
      <c r="C43" s="61" t="s">
        <v>41</v>
      </c>
      <c r="D43" s="66" t="s">
        <v>1464</v>
      </c>
      <c r="E43" s="65"/>
      <c r="F43" s="61">
        <v>2</v>
      </c>
      <c r="G43" s="61">
        <v>45</v>
      </c>
      <c r="H43" s="61">
        <v>431</v>
      </c>
      <c r="I43" s="61">
        <v>126</v>
      </c>
      <c r="J43" s="61">
        <v>106</v>
      </c>
      <c r="K43" s="61">
        <v>24</v>
      </c>
      <c r="L43" s="61">
        <v>0.435</v>
      </c>
      <c r="M43" s="61">
        <v>0</v>
      </c>
      <c r="N43" s="61">
        <v>0.68400000000000005</v>
      </c>
      <c r="O43" s="50">
        <v>9.6</v>
      </c>
      <c r="P43" s="61">
        <v>2.8</v>
      </c>
      <c r="Q43" s="61">
        <v>2.4</v>
      </c>
      <c r="R43" s="61">
        <v>0.5</v>
      </c>
      <c r="S43" s="92">
        <v>0.2</v>
      </c>
      <c r="T43" s="61">
        <v>0.02</v>
      </c>
      <c r="U43" s="61">
        <v>-4.4000000000000004</v>
      </c>
      <c r="V43" s="61">
        <v>-0.3</v>
      </c>
    </row>
    <row r="44" spans="1:24">
      <c r="A44" s="1">
        <v>42</v>
      </c>
      <c r="B44" s="61">
        <v>42</v>
      </c>
      <c r="C44" s="61" t="s">
        <v>36</v>
      </c>
      <c r="D44" s="66" t="s">
        <v>1467</v>
      </c>
      <c r="E44" s="61" t="s">
        <v>59</v>
      </c>
      <c r="F44" s="61">
        <v>1</v>
      </c>
      <c r="G44" s="61">
        <v>37</v>
      </c>
      <c r="H44" s="61">
        <v>303</v>
      </c>
      <c r="I44" s="61">
        <v>90</v>
      </c>
      <c r="J44" s="61">
        <v>35</v>
      </c>
      <c r="K44" s="61">
        <v>29</v>
      </c>
      <c r="L44" s="61">
        <v>0.36499999999999999</v>
      </c>
      <c r="M44" s="61">
        <v>0.4</v>
      </c>
      <c r="N44" s="61">
        <v>0.85699999999999998</v>
      </c>
      <c r="O44" s="50">
        <v>8.1999999999999993</v>
      </c>
      <c r="P44" s="61">
        <v>2.4</v>
      </c>
      <c r="Q44" s="61">
        <v>0.9</v>
      </c>
      <c r="R44" s="61">
        <v>0.8</v>
      </c>
      <c r="S44" s="92">
        <v>0</v>
      </c>
      <c r="T44" s="61">
        <v>6.0000000000000001E-3</v>
      </c>
      <c r="U44" s="61">
        <v>-5.0999999999999996</v>
      </c>
      <c r="V44" s="61">
        <v>-0.2</v>
      </c>
    </row>
    <row r="45" spans="1:24">
      <c r="A45" s="1">
        <v>43</v>
      </c>
      <c r="B45" s="61">
        <v>43</v>
      </c>
      <c r="C45" s="61" t="s">
        <v>36</v>
      </c>
      <c r="D45" s="66" t="s">
        <v>1473</v>
      </c>
      <c r="E45" s="61" t="s">
        <v>1094</v>
      </c>
      <c r="F45" s="61">
        <v>1</v>
      </c>
      <c r="G45" s="61">
        <v>7</v>
      </c>
      <c r="H45" s="61">
        <v>19</v>
      </c>
      <c r="I45" s="61">
        <v>3</v>
      </c>
      <c r="J45" s="61">
        <v>2</v>
      </c>
      <c r="K45" s="61">
        <v>2</v>
      </c>
      <c r="L45" s="61">
        <v>0</v>
      </c>
      <c r="M45" s="61">
        <v>0</v>
      </c>
      <c r="N45" s="61">
        <v>0.75</v>
      </c>
      <c r="O45" s="50">
        <v>2.7</v>
      </c>
      <c r="P45" s="61">
        <v>0.4</v>
      </c>
      <c r="Q45" s="61">
        <v>0.3</v>
      </c>
      <c r="R45" s="61">
        <v>0.3</v>
      </c>
      <c r="S45" s="92">
        <v>-0.1</v>
      </c>
      <c r="T45" s="61">
        <v>-0.158</v>
      </c>
      <c r="U45" s="61">
        <v>-9.1</v>
      </c>
      <c r="V45" s="61">
        <v>0</v>
      </c>
    </row>
    <row r="46" spans="1:24">
      <c r="A46" s="1">
        <v>44</v>
      </c>
      <c r="B46" s="61">
        <v>44</v>
      </c>
      <c r="C46" s="61" t="s">
        <v>193</v>
      </c>
      <c r="D46" s="66" t="s">
        <v>1426</v>
      </c>
      <c r="E46" s="65"/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130">
        <v>0</v>
      </c>
      <c r="P46" s="65">
        <v>0</v>
      </c>
      <c r="Q46" s="65">
        <v>0</v>
      </c>
      <c r="R46" s="65">
        <v>0</v>
      </c>
      <c r="S46" s="93">
        <v>0</v>
      </c>
      <c r="T46" s="65">
        <v>0</v>
      </c>
      <c r="U46" s="65">
        <v>0</v>
      </c>
      <c r="V46" s="65">
        <v>0</v>
      </c>
    </row>
    <row r="47" spans="1:24">
      <c r="A47" s="1">
        <v>45</v>
      </c>
      <c r="B47" s="61">
        <v>45</v>
      </c>
      <c r="C47" s="61" t="s">
        <v>79</v>
      </c>
      <c r="D47" s="63" t="s">
        <v>80</v>
      </c>
      <c r="E47" s="65"/>
      <c r="F47" s="61">
        <v>15</v>
      </c>
      <c r="G47" s="61">
        <v>946</v>
      </c>
      <c r="H47" s="61">
        <v>25603</v>
      </c>
      <c r="I47" s="61">
        <v>12568</v>
      </c>
      <c r="J47" s="61">
        <v>2816</v>
      </c>
      <c r="K47" s="61">
        <v>4405</v>
      </c>
      <c r="L47" s="61">
        <v>0.45900000000000002</v>
      </c>
      <c r="M47" s="61">
        <v>0.36199999999999999</v>
      </c>
      <c r="N47" s="61">
        <v>0.76600000000000001</v>
      </c>
      <c r="O47" s="50">
        <v>27.1</v>
      </c>
      <c r="P47" s="61">
        <v>13.3</v>
      </c>
      <c r="Q47" s="61">
        <v>3</v>
      </c>
      <c r="R47" s="61">
        <v>4.7</v>
      </c>
      <c r="S47" s="92">
        <v>56.7</v>
      </c>
      <c r="T47" s="61">
        <v>0.106</v>
      </c>
      <c r="U47" s="61">
        <v>0.5</v>
      </c>
      <c r="V47" s="61">
        <v>15.9</v>
      </c>
    </row>
    <row r="48" spans="1:24">
      <c r="A48" s="1">
        <v>46</v>
      </c>
      <c r="B48" s="61">
        <v>46</v>
      </c>
      <c r="C48" s="61" t="s">
        <v>141</v>
      </c>
      <c r="D48" s="66" t="s">
        <v>1427</v>
      </c>
      <c r="E48" s="61" t="s">
        <v>1241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130">
        <v>0</v>
      </c>
      <c r="P48" s="65">
        <v>0</v>
      </c>
      <c r="Q48" s="65">
        <v>0</v>
      </c>
      <c r="R48" s="65">
        <v>0</v>
      </c>
      <c r="S48" s="93">
        <v>0</v>
      </c>
      <c r="T48" s="65">
        <v>0</v>
      </c>
      <c r="U48" s="65">
        <v>0</v>
      </c>
      <c r="V48" s="65">
        <v>0</v>
      </c>
    </row>
    <row r="49" spans="1:37">
      <c r="A49" s="1">
        <v>47</v>
      </c>
      <c r="B49" s="61">
        <v>47</v>
      </c>
      <c r="C49" s="61" t="s">
        <v>69</v>
      </c>
      <c r="D49" s="122" t="s">
        <v>1449</v>
      </c>
      <c r="E49" s="61" t="s">
        <v>432</v>
      </c>
      <c r="F49" s="61">
        <v>5</v>
      </c>
      <c r="G49" s="61">
        <v>181</v>
      </c>
      <c r="H49" s="61">
        <v>3016</v>
      </c>
      <c r="I49" s="61">
        <v>1079</v>
      </c>
      <c r="J49" s="61">
        <v>401</v>
      </c>
      <c r="K49" s="61">
        <v>153</v>
      </c>
      <c r="L49" s="61">
        <v>0.44600000000000001</v>
      </c>
      <c r="M49" s="61">
        <v>0.36899999999999999</v>
      </c>
      <c r="N49" s="61">
        <v>0.76</v>
      </c>
      <c r="O49" s="50">
        <v>16.7</v>
      </c>
      <c r="P49" s="61">
        <v>6</v>
      </c>
      <c r="Q49" s="61">
        <v>2.2000000000000002</v>
      </c>
      <c r="R49" s="61">
        <v>0.8</v>
      </c>
      <c r="S49" s="92">
        <v>5</v>
      </c>
      <c r="T49" s="61">
        <v>7.9000000000000001E-2</v>
      </c>
      <c r="U49" s="61">
        <v>-1.8</v>
      </c>
      <c r="V49" s="61">
        <v>0.2</v>
      </c>
    </row>
    <row r="50" spans="1:37">
      <c r="A50" s="1">
        <v>48</v>
      </c>
      <c r="B50" s="61">
        <v>48</v>
      </c>
      <c r="C50" s="61" t="s">
        <v>323</v>
      </c>
      <c r="D50" s="66" t="s">
        <v>1458</v>
      </c>
      <c r="E50" s="61" t="s">
        <v>55</v>
      </c>
      <c r="F50" s="61">
        <v>2</v>
      </c>
      <c r="G50" s="61">
        <v>62</v>
      </c>
      <c r="H50" s="61">
        <v>472</v>
      </c>
      <c r="I50" s="61">
        <v>149</v>
      </c>
      <c r="J50" s="61">
        <v>77</v>
      </c>
      <c r="K50" s="61">
        <v>29</v>
      </c>
      <c r="L50" s="61">
        <v>0.51200000000000001</v>
      </c>
      <c r="M50" s="61">
        <v>0.16700000000000001</v>
      </c>
      <c r="N50" s="61">
        <v>0.51400000000000001</v>
      </c>
      <c r="O50" s="50">
        <v>7.6</v>
      </c>
      <c r="P50" s="61">
        <v>2.4</v>
      </c>
      <c r="Q50" s="61">
        <v>1.2</v>
      </c>
      <c r="R50" s="61">
        <v>0.5</v>
      </c>
      <c r="S50" s="92">
        <v>0.8</v>
      </c>
      <c r="T50" s="61">
        <v>8.5999999999999993E-2</v>
      </c>
      <c r="U50" s="61">
        <v>-2</v>
      </c>
      <c r="V50" s="61">
        <v>0</v>
      </c>
    </row>
    <row r="51" spans="1:37">
      <c r="A51" s="1">
        <v>49</v>
      </c>
      <c r="B51" s="61">
        <v>49</v>
      </c>
      <c r="C51" s="61" t="s">
        <v>25</v>
      </c>
      <c r="D51" s="66" t="s">
        <v>1428</v>
      </c>
      <c r="E51" s="61" t="s">
        <v>46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130">
        <v>0</v>
      </c>
      <c r="P51" s="65">
        <v>0</v>
      </c>
      <c r="Q51" s="65">
        <v>0</v>
      </c>
      <c r="R51" s="65">
        <v>0</v>
      </c>
      <c r="S51" s="93">
        <v>0</v>
      </c>
      <c r="T51" s="65">
        <v>0</v>
      </c>
      <c r="U51" s="65">
        <v>0</v>
      </c>
      <c r="V51" s="65">
        <v>0</v>
      </c>
    </row>
    <row r="52" spans="1:37">
      <c r="A52" s="1">
        <v>50</v>
      </c>
      <c r="B52" s="61">
        <v>50</v>
      </c>
      <c r="C52" s="61" t="s">
        <v>141</v>
      </c>
      <c r="D52" s="66" t="s">
        <v>1429</v>
      </c>
      <c r="E52" s="61" t="s">
        <v>200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130">
        <v>0</v>
      </c>
      <c r="P52" s="65">
        <v>0</v>
      </c>
      <c r="Q52" s="65">
        <v>0</v>
      </c>
      <c r="R52" s="65">
        <v>0</v>
      </c>
      <c r="S52" s="93">
        <v>0</v>
      </c>
      <c r="T52" s="65">
        <v>0</v>
      </c>
      <c r="U52" s="65">
        <v>0</v>
      </c>
      <c r="V52" s="65">
        <v>0</v>
      </c>
    </row>
    <row r="53" spans="1:37">
      <c r="A53" s="1">
        <v>51</v>
      </c>
      <c r="B53" s="61">
        <v>51</v>
      </c>
      <c r="C53" s="61" t="s">
        <v>20</v>
      </c>
      <c r="D53" s="66" t="s">
        <v>1430</v>
      </c>
      <c r="E53" s="61" t="s">
        <v>592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130">
        <v>0</v>
      </c>
      <c r="P53" s="65">
        <v>0</v>
      </c>
      <c r="Q53" s="65">
        <v>0</v>
      </c>
      <c r="R53" s="65">
        <v>0</v>
      </c>
      <c r="S53" s="93">
        <v>0</v>
      </c>
      <c r="T53" s="65">
        <v>0</v>
      </c>
      <c r="U53" s="65">
        <v>0</v>
      </c>
      <c r="V53" s="65">
        <v>0</v>
      </c>
    </row>
    <row r="54" spans="1:37">
      <c r="A54" s="1">
        <v>52</v>
      </c>
      <c r="B54" s="61">
        <v>52</v>
      </c>
      <c r="C54" s="61" t="s">
        <v>72</v>
      </c>
      <c r="D54" s="66" t="s">
        <v>1457</v>
      </c>
      <c r="E54" s="61" t="s">
        <v>138</v>
      </c>
      <c r="F54" s="61">
        <v>3</v>
      </c>
      <c r="G54" s="61">
        <v>138</v>
      </c>
      <c r="H54" s="61">
        <v>1039</v>
      </c>
      <c r="I54" s="61">
        <v>308</v>
      </c>
      <c r="J54" s="61">
        <v>203</v>
      </c>
      <c r="K54" s="61">
        <v>26</v>
      </c>
      <c r="L54" s="61">
        <v>0.44900000000000001</v>
      </c>
      <c r="M54" s="61">
        <v>0.23499999999999999</v>
      </c>
      <c r="N54" s="61">
        <v>0.64400000000000002</v>
      </c>
      <c r="O54" s="50">
        <v>7.5</v>
      </c>
      <c r="P54" s="61">
        <v>2.2000000000000002</v>
      </c>
      <c r="Q54" s="61">
        <v>1.5</v>
      </c>
      <c r="R54" s="61">
        <v>0.2</v>
      </c>
      <c r="S54" s="92">
        <v>1.3</v>
      </c>
      <c r="T54" s="61">
        <v>5.8999999999999997E-2</v>
      </c>
      <c r="U54" s="61">
        <v>-5.2</v>
      </c>
      <c r="V54" s="61">
        <v>-0.8</v>
      </c>
    </row>
    <row r="55" spans="1:37">
      <c r="A55" s="1">
        <v>53</v>
      </c>
      <c r="B55" s="61">
        <v>53</v>
      </c>
      <c r="C55" s="61" t="s">
        <v>193</v>
      </c>
      <c r="D55" s="66" t="s">
        <v>1431</v>
      </c>
      <c r="E55" s="65"/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130">
        <v>0</v>
      </c>
      <c r="P55" s="65">
        <v>0</v>
      </c>
      <c r="Q55" s="65">
        <v>0</v>
      </c>
      <c r="R55" s="65">
        <v>0</v>
      </c>
      <c r="S55" s="93">
        <v>0</v>
      </c>
      <c r="T55" s="65">
        <v>0</v>
      </c>
      <c r="U55" s="65">
        <v>0</v>
      </c>
      <c r="V55" s="65">
        <v>0</v>
      </c>
    </row>
    <row r="56" spans="1:37">
      <c r="A56" s="1">
        <v>54</v>
      </c>
      <c r="B56" s="61">
        <v>54</v>
      </c>
      <c r="C56" s="61" t="s">
        <v>52</v>
      </c>
      <c r="D56" s="66" t="s">
        <v>1432</v>
      </c>
      <c r="E56" s="61" t="s">
        <v>55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130">
        <v>0</v>
      </c>
      <c r="P56" s="65">
        <v>0</v>
      </c>
      <c r="Q56" s="65">
        <v>0</v>
      </c>
      <c r="R56" s="65">
        <v>0</v>
      </c>
      <c r="S56" s="93">
        <v>0</v>
      </c>
      <c r="T56" s="65">
        <v>0</v>
      </c>
      <c r="U56" s="65">
        <v>0</v>
      </c>
      <c r="V56" s="65">
        <v>0</v>
      </c>
    </row>
    <row r="57" spans="1:37">
      <c r="A57" s="1">
        <v>55</v>
      </c>
      <c r="B57" s="61">
        <v>55</v>
      </c>
      <c r="C57" s="61" t="s">
        <v>124</v>
      </c>
      <c r="D57" s="66" t="s">
        <v>1478</v>
      </c>
      <c r="E57" s="61" t="s">
        <v>108</v>
      </c>
      <c r="F57" s="61">
        <v>1</v>
      </c>
      <c r="G57" s="61">
        <v>51</v>
      </c>
      <c r="H57" s="61">
        <v>771</v>
      </c>
      <c r="I57" s="61">
        <v>289</v>
      </c>
      <c r="J57" s="61">
        <v>87</v>
      </c>
      <c r="K57" s="61">
        <v>106</v>
      </c>
      <c r="L57" s="61">
        <v>0.41199999999999998</v>
      </c>
      <c r="M57" s="61">
        <v>0.32500000000000001</v>
      </c>
      <c r="N57" s="61">
        <v>0.69099999999999995</v>
      </c>
      <c r="O57" s="50">
        <v>15.1</v>
      </c>
      <c r="P57" s="61">
        <v>5.7</v>
      </c>
      <c r="Q57" s="61">
        <v>1.7</v>
      </c>
      <c r="R57" s="61">
        <v>2.1</v>
      </c>
      <c r="S57" s="92">
        <v>-0.4</v>
      </c>
      <c r="T57" s="61">
        <v>-2.8000000000000001E-2</v>
      </c>
      <c r="U57" s="61">
        <v>-5.2</v>
      </c>
      <c r="V57" s="61">
        <v>-0.6</v>
      </c>
    </row>
    <row r="58" spans="1:37">
      <c r="A58" s="1">
        <v>56</v>
      </c>
      <c r="B58" s="61">
        <v>56</v>
      </c>
      <c r="C58" s="61" t="s">
        <v>141</v>
      </c>
      <c r="D58" s="66" t="s">
        <v>1461</v>
      </c>
      <c r="E58" s="61" t="s">
        <v>138</v>
      </c>
      <c r="F58" s="61">
        <v>1</v>
      </c>
      <c r="G58" s="61">
        <v>25</v>
      </c>
      <c r="H58" s="61">
        <v>95</v>
      </c>
      <c r="I58" s="61">
        <v>23</v>
      </c>
      <c r="J58" s="61">
        <v>26</v>
      </c>
      <c r="K58" s="61">
        <v>3</v>
      </c>
      <c r="L58" s="61">
        <v>0.52900000000000003</v>
      </c>
      <c r="M58" s="65"/>
      <c r="N58" s="61">
        <v>0.45500000000000002</v>
      </c>
      <c r="O58" s="50">
        <v>3.8</v>
      </c>
      <c r="P58" s="61">
        <v>0.9</v>
      </c>
      <c r="Q58" s="61">
        <v>1</v>
      </c>
      <c r="R58" s="61">
        <v>0.1</v>
      </c>
      <c r="S58" s="92">
        <v>0.2</v>
      </c>
      <c r="T58" s="61">
        <v>9.6000000000000002E-2</v>
      </c>
      <c r="U58" s="61">
        <v>-2.8</v>
      </c>
      <c r="V58" s="61">
        <v>0</v>
      </c>
    </row>
    <row r="59" spans="1:37">
      <c r="A59" s="1">
        <v>57</v>
      </c>
      <c r="B59" s="61">
        <v>57</v>
      </c>
      <c r="C59" s="61" t="s">
        <v>79</v>
      </c>
      <c r="D59" s="66" t="s">
        <v>1433</v>
      </c>
      <c r="E59" s="61" t="s">
        <v>89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130">
        <v>0</v>
      </c>
      <c r="P59" s="65">
        <v>0</v>
      </c>
      <c r="Q59" s="65">
        <v>0</v>
      </c>
      <c r="R59" s="65">
        <v>0</v>
      </c>
      <c r="S59" s="93">
        <v>0</v>
      </c>
      <c r="T59" s="65">
        <v>0</v>
      </c>
      <c r="U59" s="65">
        <v>0</v>
      </c>
      <c r="V59" s="65">
        <v>0</v>
      </c>
    </row>
    <row r="60" spans="1:37">
      <c r="A60" s="1">
        <v>58</v>
      </c>
      <c r="B60" s="61">
        <v>58</v>
      </c>
      <c r="C60" s="61" t="s">
        <v>31</v>
      </c>
      <c r="D60" s="66" t="s">
        <v>1468</v>
      </c>
      <c r="E60" s="61" t="s">
        <v>173</v>
      </c>
      <c r="F60" s="61">
        <v>1</v>
      </c>
      <c r="G60" s="61">
        <v>2</v>
      </c>
      <c r="H60" s="61">
        <v>23</v>
      </c>
      <c r="I60" s="61">
        <v>9</v>
      </c>
      <c r="J60" s="61">
        <v>4</v>
      </c>
      <c r="K60" s="61">
        <v>1</v>
      </c>
      <c r="L60" s="61">
        <v>0.3</v>
      </c>
      <c r="M60" s="61">
        <v>0.25</v>
      </c>
      <c r="N60" s="61">
        <v>1</v>
      </c>
      <c r="O60" s="50">
        <v>11.5</v>
      </c>
      <c r="P60" s="61">
        <v>4.5</v>
      </c>
      <c r="Q60" s="61">
        <v>2</v>
      </c>
      <c r="R60" s="61">
        <v>0.5</v>
      </c>
      <c r="S60" s="92">
        <v>0</v>
      </c>
      <c r="T60" s="61">
        <v>3.6999999999999998E-2</v>
      </c>
      <c r="U60" s="61">
        <v>-2.7</v>
      </c>
      <c r="V60" s="61">
        <v>0</v>
      </c>
    </row>
    <row r="61" spans="1:37">
      <c r="A61" s="1">
        <v>59</v>
      </c>
      <c r="B61" s="61">
        <v>59</v>
      </c>
      <c r="C61" s="61" t="s">
        <v>34</v>
      </c>
      <c r="D61" s="66" t="s">
        <v>1434</v>
      </c>
      <c r="E61" s="61" t="s">
        <v>660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130">
        <v>0</v>
      </c>
      <c r="P61" s="65">
        <v>0</v>
      </c>
      <c r="Q61" s="65">
        <v>0</v>
      </c>
      <c r="R61" s="65">
        <v>0</v>
      </c>
      <c r="S61" s="93">
        <v>0</v>
      </c>
      <c r="T61" s="65">
        <v>0</v>
      </c>
      <c r="U61" s="65">
        <v>0</v>
      </c>
      <c r="V61" s="65">
        <v>0</v>
      </c>
    </row>
    <row r="62" spans="1:37">
      <c r="A62" s="1">
        <v>60</v>
      </c>
      <c r="B62" s="61">
        <v>60</v>
      </c>
      <c r="C62" s="61" t="s">
        <v>190</v>
      </c>
      <c r="D62" s="66" t="s">
        <v>1451</v>
      </c>
      <c r="E62" s="65"/>
      <c r="F62" s="61">
        <v>2</v>
      </c>
      <c r="G62" s="61">
        <v>69</v>
      </c>
      <c r="H62" s="61">
        <v>928</v>
      </c>
      <c r="I62" s="61">
        <v>262</v>
      </c>
      <c r="J62" s="61">
        <v>190</v>
      </c>
      <c r="K62" s="61">
        <v>29</v>
      </c>
      <c r="L62" s="61">
        <v>0.54600000000000004</v>
      </c>
      <c r="M62" s="65"/>
      <c r="N62" s="61">
        <v>0.59399999999999997</v>
      </c>
      <c r="O62" s="50">
        <v>13.4</v>
      </c>
      <c r="P62" s="61">
        <v>3.8</v>
      </c>
      <c r="Q62" s="61">
        <v>2.8</v>
      </c>
      <c r="R62" s="61">
        <v>0.4</v>
      </c>
      <c r="S62" s="92">
        <v>1.8</v>
      </c>
      <c r="T62" s="61">
        <v>9.4E-2</v>
      </c>
      <c r="U62" s="61">
        <v>-3.6</v>
      </c>
      <c r="V62" s="61">
        <v>-0.4</v>
      </c>
    </row>
    <row r="64" spans="1:37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>
      <c r="D65" s="3" t="s">
        <v>1511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>
      <c r="D66" s="3" t="s">
        <v>1512</v>
      </c>
      <c r="E66" s="3" t="s">
        <v>1001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 t="s">
        <v>1513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 t="s">
        <v>1514</v>
      </c>
      <c r="E68" s="3" t="s">
        <v>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</sheetData>
  <conditionalFormatting sqref="G1:G62">
    <cfRule type="cellIs" dxfId="5" priority="1" operator="greaterThan">
      <formula>82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1EAB-DE06-AA43-A8CE-FFE874A1B378}">
  <dimension ref="A1:AK67"/>
  <sheetViews>
    <sheetView zoomScale="125" workbookViewId="0">
      <pane ySplit="1" topLeftCell="A33" activePane="bottomLeft" state="frozen"/>
      <selection pane="bottomLeft" activeCell="B33" sqref="B33:S62"/>
    </sheetView>
  </sheetViews>
  <sheetFormatPr defaultColWidth="8.875" defaultRowHeight="14.1"/>
  <cols>
    <col min="1" max="1" width="3" style="52" bestFit="1" customWidth="1"/>
    <col min="2" max="2" width="2.875" style="52" bestFit="1" customWidth="1"/>
    <col min="3" max="3" width="4.375" style="52" bestFit="1" customWidth="1"/>
    <col min="4" max="4" width="13.625" style="52" bestFit="1" customWidth="1"/>
    <col min="5" max="5" width="14.125" style="52" bestFit="1" customWidth="1"/>
    <col min="6" max="6" width="3.375" style="52" bestFit="1" customWidth="1"/>
    <col min="7" max="7" width="4.5" style="52" bestFit="1" customWidth="1"/>
    <col min="8" max="9" width="5.375" style="52" hidden="1" customWidth="1"/>
    <col min="10" max="11" width="4.5" style="52" hidden="1" customWidth="1"/>
    <col min="12" max="14" width="5.375" style="52" bestFit="1" customWidth="1"/>
    <col min="15" max="16" width="4.5" style="52" bestFit="1" customWidth="1"/>
    <col min="17" max="17" width="4" style="52" bestFit="1" customWidth="1"/>
    <col min="18" max="18" width="3.875" style="52" bestFit="1" customWidth="1"/>
    <col min="19" max="19" width="5.375" style="104" bestFit="1" customWidth="1"/>
    <col min="20" max="20" width="6.625" style="52" bestFit="1" customWidth="1"/>
    <col min="21" max="22" width="5" style="52" hidden="1" customWidth="1"/>
    <col min="23" max="23" width="8.875" style="52"/>
    <col min="24" max="24" width="30.375" style="52" customWidth="1"/>
    <col min="25" max="16384" width="8.875" style="52"/>
  </cols>
  <sheetData>
    <row r="1" spans="1:22" ht="15">
      <c r="A1" s="50" t="s">
        <v>292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7</v>
      </c>
      <c r="P1" s="50" t="s">
        <v>8</v>
      </c>
      <c r="Q1" s="50" t="s">
        <v>9</v>
      </c>
      <c r="R1" s="50" t="s">
        <v>10</v>
      </c>
      <c r="S1" s="50" t="s">
        <v>14</v>
      </c>
      <c r="T1" s="50" t="s">
        <v>15</v>
      </c>
      <c r="U1" s="50" t="s">
        <v>16</v>
      </c>
      <c r="V1" s="50" t="s">
        <v>17</v>
      </c>
    </row>
    <row r="2" spans="1:22" ht="15" hidden="1">
      <c r="A2" s="50">
        <v>1</v>
      </c>
      <c r="B2" s="51">
        <v>1</v>
      </c>
      <c r="C2" s="51" t="s">
        <v>124</v>
      </c>
      <c r="D2" s="51" t="s">
        <v>1515</v>
      </c>
      <c r="E2" s="51" t="s">
        <v>404</v>
      </c>
      <c r="F2" s="51">
        <v>3</v>
      </c>
      <c r="G2" s="51">
        <v>105</v>
      </c>
      <c r="H2" s="51">
        <v>2028</v>
      </c>
      <c r="I2" s="51">
        <v>840</v>
      </c>
      <c r="J2" s="51">
        <v>656</v>
      </c>
      <c r="K2" s="51">
        <v>51</v>
      </c>
      <c r="L2" s="51">
        <v>0.57399999999999995</v>
      </c>
      <c r="M2" s="51">
        <v>0</v>
      </c>
      <c r="N2" s="51">
        <v>0.65800000000000003</v>
      </c>
      <c r="O2" s="51">
        <v>19.3</v>
      </c>
      <c r="P2" s="51">
        <v>8</v>
      </c>
      <c r="Q2" s="51">
        <v>6.2</v>
      </c>
      <c r="R2" s="51">
        <v>0.5</v>
      </c>
      <c r="S2" s="50">
        <v>7.3</v>
      </c>
      <c r="T2" s="51">
        <v>0.17399999999999999</v>
      </c>
      <c r="U2" s="51">
        <v>-0.4</v>
      </c>
      <c r="V2" s="51">
        <v>0.8</v>
      </c>
    </row>
    <row r="3" spans="1:22" ht="15" hidden="1">
      <c r="A3" s="50">
        <v>2</v>
      </c>
      <c r="B3" s="51">
        <v>2</v>
      </c>
      <c r="C3" s="51" t="s">
        <v>141</v>
      </c>
      <c r="D3" s="51" t="s">
        <v>1516</v>
      </c>
      <c r="E3" s="51" t="s">
        <v>530</v>
      </c>
      <c r="F3" s="51">
        <v>17</v>
      </c>
      <c r="G3" s="51">
        <v>1101</v>
      </c>
      <c r="H3" s="51">
        <v>40425</v>
      </c>
      <c r="I3" s="51">
        <v>30008</v>
      </c>
      <c r="J3" s="51">
        <v>7694</v>
      </c>
      <c r="K3" s="51">
        <v>4810</v>
      </c>
      <c r="L3" s="51">
        <v>0.502</v>
      </c>
      <c r="M3" s="51">
        <v>0.38800000000000001</v>
      </c>
      <c r="N3" s="51">
        <v>0.88200000000000001</v>
      </c>
      <c r="O3" s="51">
        <v>36.700000000000003</v>
      </c>
      <c r="P3" s="51">
        <v>27.3</v>
      </c>
      <c r="Q3" s="51">
        <v>7</v>
      </c>
      <c r="R3" s="51">
        <v>4.4000000000000004</v>
      </c>
      <c r="S3" s="50">
        <v>173.8</v>
      </c>
      <c r="T3" s="51">
        <v>0.20599999999999999</v>
      </c>
      <c r="U3" s="51">
        <v>6.5</v>
      </c>
      <c r="V3" s="51">
        <v>86.6</v>
      </c>
    </row>
    <row r="4" spans="1:22" ht="15" hidden="1">
      <c r="A4" s="50">
        <v>3</v>
      </c>
      <c r="B4" s="51">
        <v>3</v>
      </c>
      <c r="C4" s="51" t="s">
        <v>184</v>
      </c>
      <c r="D4" s="51" t="s">
        <v>1517</v>
      </c>
      <c r="E4" s="51" t="s">
        <v>128</v>
      </c>
      <c r="F4" s="51">
        <v>18</v>
      </c>
      <c r="G4" s="51">
        <v>1120</v>
      </c>
      <c r="H4" s="51">
        <v>35372</v>
      </c>
      <c r="I4" s="51">
        <v>14502</v>
      </c>
      <c r="J4" s="51">
        <v>8802</v>
      </c>
      <c r="K4" s="51">
        <v>3579</v>
      </c>
      <c r="L4" s="51">
        <v>0.51</v>
      </c>
      <c r="M4" s="51">
        <v>0.377</v>
      </c>
      <c r="N4" s="51">
        <v>0.76200000000000001</v>
      </c>
      <c r="O4" s="51">
        <v>31.6</v>
      </c>
      <c r="P4" s="51">
        <v>12.9</v>
      </c>
      <c r="Q4" s="51">
        <v>7.9</v>
      </c>
      <c r="R4" s="51">
        <v>3.2</v>
      </c>
      <c r="S4" s="50">
        <v>115.3</v>
      </c>
      <c r="T4" s="51">
        <v>0.156</v>
      </c>
      <c r="U4" s="51">
        <v>2.9</v>
      </c>
      <c r="V4" s="51">
        <v>43.6</v>
      </c>
    </row>
    <row r="5" spans="1:22" ht="15" hidden="1">
      <c r="A5" s="50">
        <v>4</v>
      </c>
      <c r="B5" s="51">
        <v>4</v>
      </c>
      <c r="C5" s="51" t="s">
        <v>152</v>
      </c>
      <c r="D5" s="51" t="s">
        <v>1518</v>
      </c>
      <c r="E5" s="51" t="s">
        <v>404</v>
      </c>
      <c r="F5" s="51">
        <v>18</v>
      </c>
      <c r="G5" s="51">
        <v>1148</v>
      </c>
      <c r="H5" s="51">
        <v>36020</v>
      </c>
      <c r="I5" s="51">
        <v>16275</v>
      </c>
      <c r="J5" s="51">
        <v>3398</v>
      </c>
      <c r="K5" s="51">
        <v>6522</v>
      </c>
      <c r="L5" s="51">
        <v>0.438</v>
      </c>
      <c r="M5" s="51">
        <v>0.38700000000000001</v>
      </c>
      <c r="N5" s="51">
        <v>0.82499999999999996</v>
      </c>
      <c r="O5" s="51">
        <v>31.4</v>
      </c>
      <c r="P5" s="51">
        <v>14.2</v>
      </c>
      <c r="Q5" s="51">
        <v>3</v>
      </c>
      <c r="R5" s="51">
        <v>5.7</v>
      </c>
      <c r="S5" s="50">
        <v>103.8</v>
      </c>
      <c r="T5" s="51">
        <v>0.13800000000000001</v>
      </c>
      <c r="U5" s="51">
        <v>2.4</v>
      </c>
      <c r="V5" s="51">
        <v>40.1</v>
      </c>
    </row>
    <row r="6" spans="1:22" ht="15" hidden="1">
      <c r="A6" s="50">
        <v>5</v>
      </c>
      <c r="B6" s="51">
        <v>5</v>
      </c>
      <c r="C6" s="51" t="s">
        <v>190</v>
      </c>
      <c r="D6" s="51" t="s">
        <v>1519</v>
      </c>
      <c r="E6" s="51" t="s">
        <v>1094</v>
      </c>
      <c r="F6" s="51">
        <v>17</v>
      </c>
      <c r="G6" s="51">
        <v>1200</v>
      </c>
      <c r="H6" s="51">
        <v>33026</v>
      </c>
      <c r="I6" s="51">
        <v>14312</v>
      </c>
      <c r="J6" s="51">
        <v>4847</v>
      </c>
      <c r="K6" s="51">
        <v>1768</v>
      </c>
      <c r="L6" s="51">
        <v>0.45</v>
      </c>
      <c r="M6" s="51">
        <v>0.33700000000000002</v>
      </c>
      <c r="N6" s="51">
        <v>0.80400000000000005</v>
      </c>
      <c r="O6" s="51">
        <v>27.5</v>
      </c>
      <c r="P6" s="51">
        <v>11.9</v>
      </c>
      <c r="Q6" s="51">
        <v>4</v>
      </c>
      <c r="R6" s="51">
        <v>1.5</v>
      </c>
      <c r="S6" s="50">
        <v>55.1</v>
      </c>
      <c r="T6" s="51">
        <v>0.08</v>
      </c>
      <c r="U6" s="51">
        <v>-1.5</v>
      </c>
      <c r="V6" s="51">
        <v>4.4000000000000004</v>
      </c>
    </row>
    <row r="7" spans="1:22" ht="15" hidden="1">
      <c r="A7" s="50">
        <v>6</v>
      </c>
      <c r="B7" s="51">
        <v>6</v>
      </c>
      <c r="C7" s="51" t="s">
        <v>57</v>
      </c>
      <c r="D7" s="51" t="s">
        <v>1520</v>
      </c>
      <c r="E7" s="51"/>
      <c r="F7" s="51">
        <v>5</v>
      </c>
      <c r="G7" s="51">
        <v>272</v>
      </c>
      <c r="H7" s="51">
        <v>6038</v>
      </c>
      <c r="I7" s="51">
        <v>2148</v>
      </c>
      <c r="J7" s="51">
        <v>1339</v>
      </c>
      <c r="K7" s="51">
        <v>192</v>
      </c>
      <c r="L7" s="51">
        <v>0.40400000000000003</v>
      </c>
      <c r="M7" s="51">
        <v>0.33300000000000002</v>
      </c>
      <c r="N7" s="51">
        <v>0.78</v>
      </c>
      <c r="O7" s="51">
        <v>22.2</v>
      </c>
      <c r="P7" s="51">
        <v>7.9</v>
      </c>
      <c r="Q7" s="51">
        <v>4.9000000000000004</v>
      </c>
      <c r="R7" s="51">
        <v>0.7</v>
      </c>
      <c r="S7" s="50">
        <v>3.1</v>
      </c>
      <c r="T7" s="51">
        <v>2.5000000000000001E-2</v>
      </c>
      <c r="U7" s="51">
        <v>-4.3</v>
      </c>
      <c r="V7" s="51">
        <v>-3.5</v>
      </c>
    </row>
    <row r="8" spans="1:22" ht="15" hidden="1">
      <c r="A8" s="50">
        <v>7</v>
      </c>
      <c r="B8" s="51">
        <v>7</v>
      </c>
      <c r="C8" s="51" t="s">
        <v>135</v>
      </c>
      <c r="D8" s="51" t="s">
        <v>1521</v>
      </c>
      <c r="E8" s="51" t="s">
        <v>128</v>
      </c>
      <c r="F8" s="51">
        <v>13</v>
      </c>
      <c r="G8" s="51">
        <v>819</v>
      </c>
      <c r="H8" s="51">
        <v>18771</v>
      </c>
      <c r="I8" s="51">
        <v>7097</v>
      </c>
      <c r="J8" s="51">
        <v>2287</v>
      </c>
      <c r="K8" s="51">
        <v>1250</v>
      </c>
      <c r="L8" s="51">
        <v>0.42499999999999999</v>
      </c>
      <c r="M8" s="51">
        <v>0.28399999999999997</v>
      </c>
      <c r="N8" s="51">
        <v>0.71299999999999997</v>
      </c>
      <c r="O8" s="51">
        <v>22.9</v>
      </c>
      <c r="P8" s="51">
        <v>8.6999999999999993</v>
      </c>
      <c r="Q8" s="51">
        <v>2.8</v>
      </c>
      <c r="R8" s="51">
        <v>1.5</v>
      </c>
      <c r="S8" s="50">
        <v>22.5</v>
      </c>
      <c r="T8" s="51">
        <v>5.8000000000000003E-2</v>
      </c>
      <c r="U8" s="51">
        <v>-1.6</v>
      </c>
      <c r="V8" s="51">
        <v>2</v>
      </c>
    </row>
    <row r="9" spans="1:22" ht="15" hidden="1">
      <c r="A9" s="50">
        <v>8</v>
      </c>
      <c r="B9" s="51">
        <v>8</v>
      </c>
      <c r="C9" s="51" t="s">
        <v>1095</v>
      </c>
      <c r="D9" s="51" t="s">
        <v>1522</v>
      </c>
      <c r="E9" s="51" t="s">
        <v>78</v>
      </c>
      <c r="F9" s="51">
        <v>10</v>
      </c>
      <c r="G9" s="51">
        <v>428</v>
      </c>
      <c r="H9" s="51">
        <v>6949</v>
      </c>
      <c r="I9" s="51">
        <v>2976</v>
      </c>
      <c r="J9" s="51">
        <v>1560</v>
      </c>
      <c r="K9" s="51">
        <v>199</v>
      </c>
      <c r="L9" s="51">
        <v>0.60699999999999998</v>
      </c>
      <c r="M9" s="51">
        <v>0</v>
      </c>
      <c r="N9" s="51">
        <v>0.67400000000000004</v>
      </c>
      <c r="O9" s="51">
        <v>16.2</v>
      </c>
      <c r="P9" s="51">
        <v>7</v>
      </c>
      <c r="Q9" s="51">
        <v>3.6</v>
      </c>
      <c r="R9" s="51">
        <v>0.5</v>
      </c>
      <c r="S9" s="50">
        <v>26.2</v>
      </c>
      <c r="T9" s="51">
        <v>0.18099999999999999</v>
      </c>
      <c r="U9" s="51">
        <v>2.2999999999999998</v>
      </c>
      <c r="V9" s="51">
        <v>7.5</v>
      </c>
    </row>
    <row r="10" spans="1:22" ht="15" hidden="1">
      <c r="A10" s="50">
        <v>9</v>
      </c>
      <c r="B10" s="51">
        <v>9</v>
      </c>
      <c r="C10" s="51" t="s">
        <v>99</v>
      </c>
      <c r="D10" s="51" t="s">
        <v>1523</v>
      </c>
      <c r="E10" s="51" t="s">
        <v>128</v>
      </c>
      <c r="F10" s="51">
        <v>13</v>
      </c>
      <c r="G10" s="51">
        <v>672</v>
      </c>
      <c r="H10" s="51">
        <v>18646</v>
      </c>
      <c r="I10" s="51">
        <v>5881</v>
      </c>
      <c r="J10" s="51">
        <v>6058</v>
      </c>
      <c r="K10" s="51">
        <v>1907</v>
      </c>
      <c r="L10" s="51">
        <v>0.49099999999999999</v>
      </c>
      <c r="M10" s="51">
        <v>0</v>
      </c>
      <c r="N10" s="51">
        <v>0.7</v>
      </c>
      <c r="O10" s="51">
        <v>27.7</v>
      </c>
      <c r="P10" s="51">
        <v>8.8000000000000007</v>
      </c>
      <c r="Q10" s="51">
        <v>9</v>
      </c>
      <c r="R10" s="51">
        <v>2.8</v>
      </c>
      <c r="S10" s="50">
        <v>61.9</v>
      </c>
      <c r="T10" s="51">
        <v>0.159</v>
      </c>
      <c r="U10" s="51">
        <v>2.5</v>
      </c>
      <c r="V10" s="51">
        <v>20.9</v>
      </c>
    </row>
    <row r="11" spans="1:22" ht="15" hidden="1">
      <c r="A11" s="50">
        <v>10</v>
      </c>
      <c r="B11" s="51">
        <v>10</v>
      </c>
      <c r="C11" s="51" t="s">
        <v>36</v>
      </c>
      <c r="D11" s="51" t="s">
        <v>1524</v>
      </c>
      <c r="E11" s="51" t="s">
        <v>38</v>
      </c>
      <c r="F11" s="51">
        <v>10</v>
      </c>
      <c r="G11" s="51">
        <v>684</v>
      </c>
      <c r="H11" s="51">
        <v>15541</v>
      </c>
      <c r="I11" s="51">
        <v>5932</v>
      </c>
      <c r="J11" s="51">
        <v>3893</v>
      </c>
      <c r="K11" s="51">
        <v>1271</v>
      </c>
      <c r="L11" s="51">
        <v>0.45700000000000002</v>
      </c>
      <c r="M11" s="51">
        <v>0.35</v>
      </c>
      <c r="N11" s="51">
        <v>0.71599999999999997</v>
      </c>
      <c r="O11" s="51">
        <v>22.7</v>
      </c>
      <c r="P11" s="51">
        <v>8.6999999999999993</v>
      </c>
      <c r="Q11" s="51">
        <v>5.7</v>
      </c>
      <c r="R11" s="51">
        <v>1.9</v>
      </c>
      <c r="S11" s="50">
        <v>22.6</v>
      </c>
      <c r="T11" s="51">
        <v>7.0000000000000007E-2</v>
      </c>
      <c r="U11" s="51">
        <v>-1.1000000000000001</v>
      </c>
      <c r="V11" s="51">
        <v>3.4</v>
      </c>
    </row>
    <row r="12" spans="1:22" ht="15" hidden="1">
      <c r="A12" s="50">
        <v>11</v>
      </c>
      <c r="B12" s="51">
        <v>11</v>
      </c>
      <c r="C12" s="51" t="s">
        <v>184</v>
      </c>
      <c r="D12" s="51" t="s">
        <v>1525</v>
      </c>
      <c r="E12" s="51" t="s">
        <v>30</v>
      </c>
      <c r="F12" s="51">
        <v>4</v>
      </c>
      <c r="G12" s="51">
        <v>188</v>
      </c>
      <c r="H12" s="51">
        <v>2385</v>
      </c>
      <c r="I12" s="51">
        <v>725</v>
      </c>
      <c r="J12" s="51">
        <v>195</v>
      </c>
      <c r="K12" s="51">
        <v>309</v>
      </c>
      <c r="L12" s="51">
        <v>0.41299999999999998</v>
      </c>
      <c r="M12" s="51">
        <v>0.23499999999999999</v>
      </c>
      <c r="N12" s="51">
        <v>0.77800000000000002</v>
      </c>
      <c r="O12" s="51">
        <v>12.7</v>
      </c>
      <c r="P12" s="51">
        <v>3.9</v>
      </c>
      <c r="Q12" s="51">
        <v>1</v>
      </c>
      <c r="R12" s="51">
        <v>1.6</v>
      </c>
      <c r="S12" s="50">
        <v>1.6</v>
      </c>
      <c r="T12" s="51">
        <v>3.2000000000000001E-2</v>
      </c>
      <c r="U12" s="51">
        <v>-3.9</v>
      </c>
      <c r="V12" s="51">
        <v>-1.1000000000000001</v>
      </c>
    </row>
    <row r="13" spans="1:22" ht="15" hidden="1">
      <c r="A13" s="50">
        <v>12</v>
      </c>
      <c r="B13" s="51">
        <v>12</v>
      </c>
      <c r="C13" s="51" t="s">
        <v>66</v>
      </c>
      <c r="D13" s="51" t="s">
        <v>1526</v>
      </c>
      <c r="E13" s="51" t="s">
        <v>744</v>
      </c>
      <c r="F13" s="51">
        <v>17</v>
      </c>
      <c r="G13" s="51">
        <v>1172</v>
      </c>
      <c r="H13" s="51">
        <v>33012</v>
      </c>
      <c r="I13" s="51">
        <v>14225</v>
      </c>
      <c r="J13" s="51">
        <v>6614</v>
      </c>
      <c r="K13" s="51">
        <v>2135</v>
      </c>
      <c r="L13" s="51">
        <v>0.503</v>
      </c>
      <c r="M13" s="51">
        <v>0.32800000000000001</v>
      </c>
      <c r="N13" s="51">
        <v>0.66100000000000003</v>
      </c>
      <c r="O13" s="51">
        <v>28.2</v>
      </c>
      <c r="P13" s="51">
        <v>12.1</v>
      </c>
      <c r="Q13" s="51">
        <v>5.6</v>
      </c>
      <c r="R13" s="51">
        <v>1.8</v>
      </c>
      <c r="S13" s="50">
        <v>71.900000000000006</v>
      </c>
      <c r="T13" s="51">
        <v>0.105</v>
      </c>
      <c r="U13" s="51">
        <v>0.5</v>
      </c>
      <c r="V13" s="51">
        <v>20.7</v>
      </c>
    </row>
    <row r="14" spans="1:22" ht="15" hidden="1">
      <c r="A14" s="50">
        <v>13</v>
      </c>
      <c r="B14" s="51">
        <v>13</v>
      </c>
      <c r="C14" s="51" t="s">
        <v>1436</v>
      </c>
      <c r="D14" s="51" t="s">
        <v>1527</v>
      </c>
      <c r="E14" s="51" t="s">
        <v>138</v>
      </c>
      <c r="F14" s="51">
        <v>4</v>
      </c>
      <c r="G14" s="51">
        <v>231</v>
      </c>
      <c r="H14" s="51">
        <v>3049</v>
      </c>
      <c r="I14" s="51">
        <v>907</v>
      </c>
      <c r="J14" s="51">
        <v>531</v>
      </c>
      <c r="K14" s="51">
        <v>182</v>
      </c>
      <c r="L14" s="51">
        <v>0.499</v>
      </c>
      <c r="M14" s="51">
        <v>0.26200000000000001</v>
      </c>
      <c r="N14" s="51">
        <v>0.58399999999999996</v>
      </c>
      <c r="O14" s="51">
        <v>13.2</v>
      </c>
      <c r="P14" s="51">
        <v>3.9</v>
      </c>
      <c r="Q14" s="51">
        <v>2.2999999999999998</v>
      </c>
      <c r="R14" s="51">
        <v>0.8</v>
      </c>
      <c r="S14" s="50">
        <v>3.9</v>
      </c>
      <c r="T14" s="51">
        <v>6.0999999999999999E-2</v>
      </c>
      <c r="U14" s="51">
        <v>-0.5</v>
      </c>
      <c r="V14" s="51">
        <v>1.2</v>
      </c>
    </row>
    <row r="15" spans="1:22" ht="15" hidden="1">
      <c r="A15" s="50">
        <v>14</v>
      </c>
      <c r="B15" s="51">
        <v>14</v>
      </c>
      <c r="C15" s="51" t="s">
        <v>28</v>
      </c>
      <c r="D15" s="51" t="s">
        <v>1528</v>
      </c>
      <c r="E15" s="51" t="s">
        <v>182</v>
      </c>
      <c r="F15" s="51">
        <v>4</v>
      </c>
      <c r="G15" s="51">
        <v>296</v>
      </c>
      <c r="H15" s="51">
        <v>8274</v>
      </c>
      <c r="I15" s="51">
        <v>3527</v>
      </c>
      <c r="J15" s="51">
        <v>1233</v>
      </c>
      <c r="K15" s="51">
        <v>353</v>
      </c>
      <c r="L15" s="51">
        <v>0.45200000000000001</v>
      </c>
      <c r="M15" s="51">
        <v>0.29299999999999998</v>
      </c>
      <c r="N15" s="51">
        <v>0.747</v>
      </c>
      <c r="O15" s="51">
        <v>28</v>
      </c>
      <c r="P15" s="51">
        <v>11.9</v>
      </c>
      <c r="Q15" s="51">
        <v>4.2</v>
      </c>
      <c r="R15" s="51">
        <v>1.2</v>
      </c>
      <c r="S15" s="50">
        <v>6.1</v>
      </c>
      <c r="T15" s="51">
        <v>3.5000000000000003E-2</v>
      </c>
      <c r="U15" s="51">
        <v>-3.5</v>
      </c>
      <c r="V15" s="51">
        <v>-3.2</v>
      </c>
    </row>
    <row r="16" spans="1:22" ht="15" hidden="1">
      <c r="A16" s="50">
        <v>15</v>
      </c>
      <c r="B16" s="51">
        <v>15</v>
      </c>
      <c r="C16" s="51" t="s">
        <v>34</v>
      </c>
      <c r="D16" s="51" t="s">
        <v>1529</v>
      </c>
      <c r="E16" s="51" t="s">
        <v>986</v>
      </c>
      <c r="F16" s="51">
        <v>10</v>
      </c>
      <c r="G16" s="51">
        <v>651</v>
      </c>
      <c r="H16" s="51">
        <v>17890</v>
      </c>
      <c r="I16" s="51">
        <v>8185</v>
      </c>
      <c r="J16" s="51">
        <v>1912</v>
      </c>
      <c r="K16" s="51">
        <v>2333</v>
      </c>
      <c r="L16" s="51">
        <v>0.42299999999999999</v>
      </c>
      <c r="M16" s="51">
        <v>0.3</v>
      </c>
      <c r="N16" s="51">
        <v>0.82399999999999995</v>
      </c>
      <c r="O16" s="51">
        <v>27.5</v>
      </c>
      <c r="P16" s="51">
        <v>12.6</v>
      </c>
      <c r="Q16" s="51">
        <v>2.9</v>
      </c>
      <c r="R16" s="51">
        <v>3.6</v>
      </c>
      <c r="S16" s="50">
        <v>28.7</v>
      </c>
      <c r="T16" s="51">
        <v>7.6999999999999999E-2</v>
      </c>
      <c r="U16" s="51">
        <v>-0.9</v>
      </c>
      <c r="V16" s="51">
        <v>4.9000000000000004</v>
      </c>
    </row>
    <row r="17" spans="1:22" ht="15" hidden="1">
      <c r="A17" s="50">
        <v>16</v>
      </c>
      <c r="B17" s="51">
        <v>16</v>
      </c>
      <c r="C17" s="51" t="s">
        <v>69</v>
      </c>
      <c r="D17" s="51" t="s">
        <v>1530</v>
      </c>
      <c r="E17" s="51" t="s">
        <v>105</v>
      </c>
      <c r="F17" s="51">
        <v>12</v>
      </c>
      <c r="G17" s="51">
        <v>720</v>
      </c>
      <c r="H17" s="51">
        <v>16419</v>
      </c>
      <c r="I17" s="51">
        <v>8194</v>
      </c>
      <c r="J17" s="51">
        <v>1427</v>
      </c>
      <c r="K17" s="51">
        <v>687</v>
      </c>
      <c r="L17" s="51">
        <v>0.41799999999999998</v>
      </c>
      <c r="M17" s="51">
        <v>0.376</v>
      </c>
      <c r="N17" s="51">
        <v>0.83599999999999997</v>
      </c>
      <c r="O17" s="51">
        <v>22.8</v>
      </c>
      <c r="P17" s="51">
        <v>11.4</v>
      </c>
      <c r="Q17" s="51">
        <v>2</v>
      </c>
      <c r="R17" s="51">
        <v>1</v>
      </c>
      <c r="S17" s="50">
        <v>18.600000000000001</v>
      </c>
      <c r="T17" s="51">
        <v>5.3999999999999999E-2</v>
      </c>
      <c r="U17" s="51">
        <v>-2.2000000000000002</v>
      </c>
      <c r="V17" s="51">
        <v>-0.8</v>
      </c>
    </row>
    <row r="18" spans="1:22" ht="15" hidden="1">
      <c r="A18" s="50">
        <v>17</v>
      </c>
      <c r="B18" s="51">
        <v>17</v>
      </c>
      <c r="C18" s="51" t="s">
        <v>1214</v>
      </c>
      <c r="D18" s="51" t="s">
        <v>1531</v>
      </c>
      <c r="E18" s="51" t="s">
        <v>364</v>
      </c>
      <c r="F18" s="51">
        <v>4</v>
      </c>
      <c r="G18" s="51">
        <v>137</v>
      </c>
      <c r="H18" s="51">
        <v>1978</v>
      </c>
      <c r="I18" s="51">
        <v>581</v>
      </c>
      <c r="J18" s="51">
        <v>472</v>
      </c>
      <c r="K18" s="51">
        <v>47</v>
      </c>
      <c r="L18" s="51">
        <v>0.51100000000000001</v>
      </c>
      <c r="M18" s="51">
        <v>0</v>
      </c>
      <c r="N18" s="51">
        <v>0.624</v>
      </c>
      <c r="O18" s="51">
        <v>14.4</v>
      </c>
      <c r="P18" s="51">
        <v>4.2</v>
      </c>
      <c r="Q18" s="51">
        <v>3.4</v>
      </c>
      <c r="R18" s="51">
        <v>0.3</v>
      </c>
      <c r="S18" s="50">
        <v>3</v>
      </c>
      <c r="T18" s="51">
        <v>7.2999999999999995E-2</v>
      </c>
      <c r="U18" s="51">
        <v>-3.1</v>
      </c>
      <c r="V18" s="51">
        <v>-0.6</v>
      </c>
    </row>
    <row r="19" spans="1:22" ht="15" hidden="1">
      <c r="A19" s="50">
        <v>18</v>
      </c>
      <c r="B19" s="51">
        <v>18</v>
      </c>
      <c r="C19" s="51" t="s">
        <v>25</v>
      </c>
      <c r="D19" s="51" t="s">
        <v>1532</v>
      </c>
      <c r="E19" s="51"/>
      <c r="F19" s="51">
        <v>13</v>
      </c>
      <c r="G19" s="51">
        <v>860</v>
      </c>
      <c r="H19" s="51">
        <v>19548</v>
      </c>
      <c r="I19" s="51">
        <v>8370</v>
      </c>
      <c r="J19" s="51">
        <v>1769</v>
      </c>
      <c r="K19" s="51">
        <v>1429</v>
      </c>
      <c r="L19" s="51">
        <v>0.42399999999999999</v>
      </c>
      <c r="M19" s="51">
        <v>0.376</v>
      </c>
      <c r="N19" s="51">
        <v>0.84599999999999997</v>
      </c>
      <c r="O19" s="51">
        <v>22.7</v>
      </c>
      <c r="P19" s="51">
        <v>9.6999999999999993</v>
      </c>
      <c r="Q19" s="51">
        <v>2.1</v>
      </c>
      <c r="R19" s="51">
        <v>1.7</v>
      </c>
      <c r="S19" s="50">
        <v>30.5</v>
      </c>
      <c r="T19" s="51">
        <v>7.4999999999999997E-2</v>
      </c>
      <c r="U19" s="51">
        <v>-1.3</v>
      </c>
      <c r="V19" s="51">
        <v>3.3</v>
      </c>
    </row>
    <row r="20" spans="1:22" ht="15" hidden="1">
      <c r="A20" s="50">
        <v>19</v>
      </c>
      <c r="B20" s="51">
        <v>19</v>
      </c>
      <c r="C20" s="51" t="s">
        <v>31</v>
      </c>
      <c r="D20" s="51" t="s">
        <v>1533</v>
      </c>
      <c r="E20" s="51" t="s">
        <v>744</v>
      </c>
      <c r="F20" s="51">
        <v>2</v>
      </c>
      <c r="G20" s="51">
        <v>113</v>
      </c>
      <c r="H20" s="51">
        <v>1853</v>
      </c>
      <c r="I20" s="51">
        <v>595</v>
      </c>
      <c r="J20" s="51">
        <v>276</v>
      </c>
      <c r="K20" s="51">
        <v>201</v>
      </c>
      <c r="L20" s="51">
        <v>0.442</v>
      </c>
      <c r="M20" s="51">
        <v>0.23100000000000001</v>
      </c>
      <c r="N20" s="51">
        <v>0.63800000000000001</v>
      </c>
      <c r="O20" s="51">
        <v>16.399999999999999</v>
      </c>
      <c r="P20" s="51">
        <v>5.3</v>
      </c>
      <c r="Q20" s="51">
        <v>2.4</v>
      </c>
      <c r="R20" s="51">
        <v>1.8</v>
      </c>
      <c r="S20" s="50">
        <v>0.1</v>
      </c>
      <c r="T20" s="51">
        <v>2E-3</v>
      </c>
      <c r="U20" s="51">
        <v>-4.2</v>
      </c>
      <c r="V20" s="51">
        <v>-1</v>
      </c>
    </row>
    <row r="21" spans="1:22" ht="15" hidden="1">
      <c r="A21" s="50">
        <v>20</v>
      </c>
      <c r="B21" s="51">
        <v>20</v>
      </c>
      <c r="C21" s="51" t="s">
        <v>72</v>
      </c>
      <c r="D21" s="51" t="s">
        <v>1534</v>
      </c>
      <c r="E21" s="51" t="s">
        <v>468</v>
      </c>
      <c r="F21" s="51">
        <v>11</v>
      </c>
      <c r="G21" s="51">
        <v>616</v>
      </c>
      <c r="H21" s="51">
        <v>10029</v>
      </c>
      <c r="I21" s="51">
        <v>3777</v>
      </c>
      <c r="J21" s="51">
        <v>2075</v>
      </c>
      <c r="K21" s="51">
        <v>453</v>
      </c>
      <c r="L21" s="51">
        <v>0.46800000000000003</v>
      </c>
      <c r="M21" s="51">
        <v>0.33300000000000002</v>
      </c>
      <c r="N21" s="51">
        <v>0.78300000000000003</v>
      </c>
      <c r="O21" s="51">
        <v>16.3</v>
      </c>
      <c r="P21" s="51">
        <v>6.1</v>
      </c>
      <c r="Q21" s="51">
        <v>3.4</v>
      </c>
      <c r="R21" s="51">
        <v>0.7</v>
      </c>
      <c r="S21" s="50">
        <v>14.1</v>
      </c>
      <c r="T21" s="51">
        <v>6.7000000000000004E-2</v>
      </c>
      <c r="U21" s="51">
        <v>-2.9</v>
      </c>
      <c r="V21" s="51">
        <v>-2.4</v>
      </c>
    </row>
    <row r="22" spans="1:22" ht="15" hidden="1">
      <c r="A22" s="50">
        <v>21</v>
      </c>
      <c r="B22" s="51">
        <v>21</v>
      </c>
      <c r="C22" s="51" t="s">
        <v>66</v>
      </c>
      <c r="D22" s="51" t="s">
        <v>1535</v>
      </c>
      <c r="E22" s="51" t="s">
        <v>404</v>
      </c>
      <c r="F22" s="51">
        <v>6</v>
      </c>
      <c r="G22" s="51">
        <v>328</v>
      </c>
      <c r="H22" s="51">
        <v>5993</v>
      </c>
      <c r="I22" s="51">
        <v>2114</v>
      </c>
      <c r="J22" s="51">
        <v>703</v>
      </c>
      <c r="K22" s="51">
        <v>243</v>
      </c>
      <c r="L22" s="51">
        <v>0.36899999999999999</v>
      </c>
      <c r="M22" s="51">
        <v>0.35899999999999999</v>
      </c>
      <c r="N22" s="51">
        <v>0.81299999999999994</v>
      </c>
      <c r="O22" s="51">
        <v>18.3</v>
      </c>
      <c r="P22" s="51">
        <v>6.4</v>
      </c>
      <c r="Q22" s="51">
        <v>2.1</v>
      </c>
      <c r="R22" s="51">
        <v>0.7</v>
      </c>
      <c r="S22" s="50">
        <v>4.9000000000000004</v>
      </c>
      <c r="T22" s="51">
        <v>3.9E-2</v>
      </c>
      <c r="U22" s="51">
        <v>-2.7</v>
      </c>
      <c r="V22" s="51">
        <v>-1.1000000000000001</v>
      </c>
    </row>
    <row r="23" spans="1:22" ht="15" hidden="1">
      <c r="A23" s="50">
        <v>22</v>
      </c>
      <c r="B23" s="51">
        <v>22</v>
      </c>
      <c r="C23" s="51" t="s">
        <v>1095</v>
      </c>
      <c r="D23" s="51" t="s">
        <v>1536</v>
      </c>
      <c r="E23" s="51" t="s">
        <v>364</v>
      </c>
      <c r="F23" s="51">
        <v>14</v>
      </c>
      <c r="G23" s="51">
        <v>904</v>
      </c>
      <c r="H23" s="51">
        <v>20117</v>
      </c>
      <c r="I23" s="51">
        <v>6633</v>
      </c>
      <c r="J23" s="51">
        <v>2849</v>
      </c>
      <c r="K23" s="51">
        <v>1394</v>
      </c>
      <c r="L23" s="51">
        <v>0.46300000000000002</v>
      </c>
      <c r="M23" s="51">
        <v>0.39300000000000002</v>
      </c>
      <c r="N23" s="51">
        <v>0.73199999999999998</v>
      </c>
      <c r="O23" s="51">
        <v>22.3</v>
      </c>
      <c r="P23" s="51">
        <v>7.3</v>
      </c>
      <c r="Q23" s="51">
        <v>3.2</v>
      </c>
      <c r="R23" s="51">
        <v>1.5</v>
      </c>
      <c r="S23" s="50">
        <v>43</v>
      </c>
      <c r="T23" s="51">
        <v>0.10299999999999999</v>
      </c>
      <c r="U23" s="51">
        <v>0.2</v>
      </c>
      <c r="V23" s="51">
        <v>11</v>
      </c>
    </row>
    <row r="24" spans="1:22" ht="15" hidden="1">
      <c r="A24" s="50">
        <v>23</v>
      </c>
      <c r="B24" s="51">
        <v>23</v>
      </c>
      <c r="C24" s="51" t="s">
        <v>50</v>
      </c>
      <c r="D24" s="51" t="s">
        <v>1537</v>
      </c>
      <c r="E24" s="51" t="s">
        <v>176</v>
      </c>
      <c r="F24" s="51">
        <v>12</v>
      </c>
      <c r="G24" s="51">
        <v>676</v>
      </c>
      <c r="H24" s="51">
        <v>20287</v>
      </c>
      <c r="I24" s="51">
        <v>8463</v>
      </c>
      <c r="J24" s="51">
        <v>3574</v>
      </c>
      <c r="K24" s="51">
        <v>1205</v>
      </c>
      <c r="L24" s="51">
        <v>0.443</v>
      </c>
      <c r="M24" s="51">
        <v>0.34100000000000003</v>
      </c>
      <c r="N24" s="51">
        <v>0.77</v>
      </c>
      <c r="O24" s="51">
        <v>30</v>
      </c>
      <c r="P24" s="51">
        <v>12.5</v>
      </c>
      <c r="Q24" s="51">
        <v>5.3</v>
      </c>
      <c r="R24" s="51">
        <v>1.8</v>
      </c>
      <c r="S24" s="50">
        <v>29</v>
      </c>
      <c r="T24" s="51">
        <v>6.9000000000000006E-2</v>
      </c>
      <c r="U24" s="51">
        <v>-1.3</v>
      </c>
      <c r="V24" s="51">
        <v>3.5</v>
      </c>
    </row>
    <row r="25" spans="1:22" ht="15" hidden="1">
      <c r="A25" s="50">
        <v>24</v>
      </c>
      <c r="B25" s="51">
        <v>24</v>
      </c>
      <c r="C25" s="51" t="s">
        <v>323</v>
      </c>
      <c r="D25" s="51" t="s">
        <v>1538</v>
      </c>
      <c r="E25" s="51"/>
      <c r="F25" s="51">
        <v>4</v>
      </c>
      <c r="G25" s="51">
        <v>249</v>
      </c>
      <c r="H25" s="51">
        <v>5965</v>
      </c>
      <c r="I25" s="51">
        <v>2254</v>
      </c>
      <c r="J25" s="51">
        <v>608</v>
      </c>
      <c r="K25" s="51">
        <v>554</v>
      </c>
      <c r="L25" s="51">
        <v>0.39900000000000002</v>
      </c>
      <c r="M25" s="51">
        <v>0.36</v>
      </c>
      <c r="N25" s="51">
        <v>0.84</v>
      </c>
      <c r="O25" s="51">
        <v>24</v>
      </c>
      <c r="P25" s="51">
        <v>9.1</v>
      </c>
      <c r="Q25" s="51">
        <v>2.4</v>
      </c>
      <c r="R25" s="51">
        <v>2.2000000000000002</v>
      </c>
      <c r="S25" s="50">
        <v>14.2</v>
      </c>
      <c r="T25" s="51">
        <v>0.114</v>
      </c>
      <c r="U25" s="51">
        <v>1.7</v>
      </c>
      <c r="V25" s="51">
        <v>5.6</v>
      </c>
    </row>
    <row r="26" spans="1:22" ht="15" hidden="1">
      <c r="A26" s="50">
        <v>25</v>
      </c>
      <c r="B26" s="51">
        <v>25</v>
      </c>
      <c r="C26" s="51" t="s">
        <v>193</v>
      </c>
      <c r="D26" s="51" t="s">
        <v>1539</v>
      </c>
      <c r="E26" s="51" t="s">
        <v>1540</v>
      </c>
      <c r="F26" s="51">
        <v>3</v>
      </c>
      <c r="G26" s="51">
        <v>38</v>
      </c>
      <c r="H26" s="51">
        <v>361</v>
      </c>
      <c r="I26" s="51">
        <v>119</v>
      </c>
      <c r="J26" s="51">
        <v>46</v>
      </c>
      <c r="K26" s="51">
        <v>12</v>
      </c>
      <c r="L26" s="51">
        <v>0.38100000000000001</v>
      </c>
      <c r="M26" s="51">
        <v>0.29199999999999998</v>
      </c>
      <c r="N26" s="51">
        <v>0.74299999999999999</v>
      </c>
      <c r="O26" s="51">
        <v>9.5</v>
      </c>
      <c r="P26" s="51">
        <v>3.1</v>
      </c>
      <c r="Q26" s="51">
        <v>1.2</v>
      </c>
      <c r="R26" s="51">
        <v>0.3</v>
      </c>
      <c r="S26" s="50">
        <v>0</v>
      </c>
      <c r="T26" s="51">
        <v>5.0000000000000001E-3</v>
      </c>
      <c r="U26" s="51">
        <v>-6.1</v>
      </c>
      <c r="V26" s="51">
        <v>-0.4</v>
      </c>
    </row>
    <row r="27" spans="1:22" ht="15" hidden="1">
      <c r="A27" s="50">
        <v>26</v>
      </c>
      <c r="B27" s="51">
        <v>26</v>
      </c>
      <c r="C27" s="51" t="s">
        <v>52</v>
      </c>
      <c r="D27" s="51" t="s">
        <v>1541</v>
      </c>
      <c r="E27" s="51" t="s">
        <v>55</v>
      </c>
      <c r="F27" s="51">
        <v>10</v>
      </c>
      <c r="G27" s="51">
        <v>645</v>
      </c>
      <c r="H27" s="51">
        <v>13439</v>
      </c>
      <c r="I27" s="51">
        <v>6259</v>
      </c>
      <c r="J27" s="51">
        <v>1079</v>
      </c>
      <c r="K27" s="51">
        <v>1925</v>
      </c>
      <c r="L27" s="51">
        <v>0.41299999999999998</v>
      </c>
      <c r="M27" s="51">
        <v>0.37</v>
      </c>
      <c r="N27" s="51">
        <v>0.83699999999999997</v>
      </c>
      <c r="O27" s="51">
        <v>20.8</v>
      </c>
      <c r="P27" s="51">
        <v>9.6999999999999993</v>
      </c>
      <c r="Q27" s="51">
        <v>1.7</v>
      </c>
      <c r="R27" s="51">
        <v>3</v>
      </c>
      <c r="S27" s="50">
        <v>19.2</v>
      </c>
      <c r="T27" s="51">
        <v>6.9000000000000006E-2</v>
      </c>
      <c r="U27" s="51">
        <v>-1.2</v>
      </c>
      <c r="V27" s="51">
        <v>2.7</v>
      </c>
    </row>
    <row r="28" spans="1:22" ht="15" hidden="1">
      <c r="A28" s="50">
        <v>27</v>
      </c>
      <c r="B28" s="51">
        <v>27</v>
      </c>
      <c r="C28" s="51" t="s">
        <v>34</v>
      </c>
      <c r="D28" s="51" t="s">
        <v>1542</v>
      </c>
      <c r="E28" s="51" t="s">
        <v>63</v>
      </c>
      <c r="F28" s="51">
        <v>11</v>
      </c>
      <c r="G28" s="51">
        <v>762</v>
      </c>
      <c r="H28" s="51">
        <v>20829</v>
      </c>
      <c r="I28" s="51">
        <v>8198</v>
      </c>
      <c r="J28" s="51">
        <v>2176</v>
      </c>
      <c r="K28" s="51">
        <v>1386</v>
      </c>
      <c r="L28" s="51">
        <v>0.45</v>
      </c>
      <c r="M28" s="51">
        <v>0.38600000000000001</v>
      </c>
      <c r="N28" s="51">
        <v>0.82499999999999996</v>
      </c>
      <c r="O28" s="51">
        <v>27.3</v>
      </c>
      <c r="P28" s="51">
        <v>10.8</v>
      </c>
      <c r="Q28" s="51">
        <v>2.9</v>
      </c>
      <c r="R28" s="51">
        <v>1.8</v>
      </c>
      <c r="S28" s="50">
        <v>33.5</v>
      </c>
      <c r="T28" s="51">
        <v>7.6999999999999999E-2</v>
      </c>
      <c r="U28" s="51">
        <v>-1.5</v>
      </c>
      <c r="V28" s="51">
        <v>2.4</v>
      </c>
    </row>
    <row r="29" spans="1:22" ht="15" hidden="1">
      <c r="A29" s="50">
        <v>28</v>
      </c>
      <c r="B29" s="51">
        <v>28</v>
      </c>
      <c r="C29" s="51" t="s">
        <v>79</v>
      </c>
      <c r="D29" s="51" t="s">
        <v>1543</v>
      </c>
      <c r="E29" s="51"/>
      <c r="F29" s="51">
        <v>7</v>
      </c>
      <c r="G29" s="51">
        <v>355</v>
      </c>
      <c r="H29" s="51">
        <v>6812</v>
      </c>
      <c r="I29" s="51">
        <v>2816</v>
      </c>
      <c r="J29" s="51">
        <v>1779</v>
      </c>
      <c r="K29" s="51">
        <v>423</v>
      </c>
      <c r="L29" s="51">
        <v>0.55500000000000005</v>
      </c>
      <c r="M29" s="51">
        <v>0.14299999999999999</v>
      </c>
      <c r="N29" s="51">
        <v>0.69699999999999995</v>
      </c>
      <c r="O29" s="51">
        <v>19.2</v>
      </c>
      <c r="P29" s="51">
        <v>7.9</v>
      </c>
      <c r="Q29" s="51">
        <v>5</v>
      </c>
      <c r="R29" s="51">
        <v>1.2</v>
      </c>
      <c r="S29" s="50">
        <v>25.3</v>
      </c>
      <c r="T29" s="51">
        <v>0.17799999999999999</v>
      </c>
      <c r="U29" s="51">
        <v>1.1000000000000001</v>
      </c>
      <c r="V29" s="51">
        <v>5.4</v>
      </c>
    </row>
    <row r="30" spans="1:22" ht="15" hidden="1">
      <c r="A30" s="50">
        <v>29</v>
      </c>
      <c r="B30" s="51">
        <v>29</v>
      </c>
      <c r="C30" s="51" t="s">
        <v>323</v>
      </c>
      <c r="D30" s="51" t="s">
        <v>1544</v>
      </c>
      <c r="E30" s="51" t="s">
        <v>453</v>
      </c>
      <c r="F30" s="51">
        <v>3</v>
      </c>
      <c r="G30" s="51">
        <v>51</v>
      </c>
      <c r="H30" s="51">
        <v>426</v>
      </c>
      <c r="I30" s="51">
        <v>211</v>
      </c>
      <c r="J30" s="51">
        <v>49</v>
      </c>
      <c r="K30" s="51">
        <v>16</v>
      </c>
      <c r="L30" s="51">
        <v>0.42299999999999999</v>
      </c>
      <c r="M30" s="51">
        <v>0.29399999999999998</v>
      </c>
      <c r="N30" s="51">
        <v>0.78300000000000003</v>
      </c>
      <c r="O30" s="51">
        <v>8.4</v>
      </c>
      <c r="P30" s="51">
        <v>4.0999999999999996</v>
      </c>
      <c r="Q30" s="51">
        <v>1</v>
      </c>
      <c r="R30" s="51">
        <v>0.3</v>
      </c>
      <c r="S30" s="50">
        <v>0.4</v>
      </c>
      <c r="T30" s="51">
        <v>4.4999999999999998E-2</v>
      </c>
      <c r="U30" s="51">
        <v>-4.5</v>
      </c>
      <c r="V30" s="51">
        <v>-0.3</v>
      </c>
    </row>
    <row r="31" spans="1:22" ht="15" hidden="1">
      <c r="A31" s="50">
        <v>30</v>
      </c>
      <c r="B31" s="51">
        <v>30</v>
      </c>
      <c r="C31" s="51" t="s">
        <v>66</v>
      </c>
      <c r="D31" s="51" t="s">
        <v>1545</v>
      </c>
      <c r="E31" s="51"/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0">
        <v>0</v>
      </c>
      <c r="T31" s="51">
        <v>0</v>
      </c>
      <c r="U31" s="51">
        <v>0</v>
      </c>
      <c r="V31" s="51">
        <v>0</v>
      </c>
    </row>
    <row r="32" spans="1:22" s="77" customFormat="1" hidden="1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5"/>
      <c r="T32" s="76"/>
      <c r="U32" s="76"/>
      <c r="V32" s="76"/>
    </row>
    <row r="33" spans="1:24" ht="15">
      <c r="A33" s="50">
        <v>31</v>
      </c>
      <c r="B33" s="51">
        <v>31</v>
      </c>
      <c r="C33" s="51" t="s">
        <v>141</v>
      </c>
      <c r="D33" s="114" t="s">
        <v>142</v>
      </c>
      <c r="E33" s="51" t="s">
        <v>143</v>
      </c>
      <c r="F33" s="51">
        <v>9</v>
      </c>
      <c r="G33" s="51">
        <v>513</v>
      </c>
      <c r="H33" s="51">
        <v>11524</v>
      </c>
      <c r="I33" s="51">
        <v>5541</v>
      </c>
      <c r="J33" s="51">
        <v>2533</v>
      </c>
      <c r="K33" s="51">
        <v>355</v>
      </c>
      <c r="L33" s="51">
        <v>0.53500000000000003</v>
      </c>
      <c r="M33" s="51">
        <v>0.3</v>
      </c>
      <c r="N33" s="51">
        <v>0.78500000000000003</v>
      </c>
      <c r="O33" s="51">
        <v>22.5</v>
      </c>
      <c r="P33" s="51">
        <v>10.8</v>
      </c>
      <c r="Q33" s="51">
        <v>4.9000000000000004</v>
      </c>
      <c r="R33" s="51">
        <v>0.7</v>
      </c>
      <c r="S33" s="92">
        <v>35.9</v>
      </c>
      <c r="T33" s="124">
        <v>0.14899999999999999</v>
      </c>
      <c r="U33" s="51">
        <v>-0.3</v>
      </c>
      <c r="V33" s="51">
        <v>5</v>
      </c>
      <c r="X33" s="50" t="s">
        <v>294</v>
      </c>
    </row>
    <row r="34" spans="1:24" ht="15">
      <c r="A34" s="50">
        <v>32</v>
      </c>
      <c r="B34" s="51">
        <v>32</v>
      </c>
      <c r="C34" s="51" t="s">
        <v>190</v>
      </c>
      <c r="D34" s="112" t="s">
        <v>1462</v>
      </c>
      <c r="E34" s="51" t="s">
        <v>105</v>
      </c>
      <c r="F34" s="51">
        <v>2</v>
      </c>
      <c r="G34" s="51">
        <v>62</v>
      </c>
      <c r="H34" s="51">
        <v>461</v>
      </c>
      <c r="I34" s="51">
        <v>125</v>
      </c>
      <c r="J34" s="51">
        <v>51</v>
      </c>
      <c r="K34" s="51">
        <v>52</v>
      </c>
      <c r="L34" s="51">
        <v>0.32100000000000001</v>
      </c>
      <c r="M34" s="51">
        <v>0.28299999999999997</v>
      </c>
      <c r="N34" s="51">
        <v>0.78300000000000003</v>
      </c>
      <c r="O34" s="51">
        <v>7.4</v>
      </c>
      <c r="P34" s="51">
        <v>2</v>
      </c>
      <c r="Q34" s="51">
        <v>0.8</v>
      </c>
      <c r="R34" s="51">
        <v>0.8</v>
      </c>
      <c r="S34" s="92">
        <v>0.4</v>
      </c>
      <c r="T34" s="124">
        <v>4.2999999999999997E-2</v>
      </c>
      <c r="U34" s="51">
        <v>-2.8</v>
      </c>
      <c r="V34" s="51">
        <v>-0.1</v>
      </c>
      <c r="X34" s="96" t="s">
        <v>296</v>
      </c>
    </row>
    <row r="35" spans="1:24" ht="15">
      <c r="A35" s="50">
        <v>33</v>
      </c>
      <c r="B35" s="51">
        <v>33</v>
      </c>
      <c r="C35" s="51" t="s">
        <v>79</v>
      </c>
      <c r="D35" s="112" t="s">
        <v>1471</v>
      </c>
      <c r="E35" s="51" t="s">
        <v>224</v>
      </c>
      <c r="F35" s="51">
        <v>2</v>
      </c>
      <c r="G35" s="51">
        <v>13</v>
      </c>
      <c r="H35" s="51">
        <v>39</v>
      </c>
      <c r="I35" s="51">
        <v>14</v>
      </c>
      <c r="J35" s="51">
        <v>12</v>
      </c>
      <c r="K35" s="51">
        <v>3</v>
      </c>
      <c r="L35" s="51">
        <v>0.318</v>
      </c>
      <c r="M35" s="51">
        <v>0</v>
      </c>
      <c r="N35" s="51">
        <v>0</v>
      </c>
      <c r="O35" s="51">
        <v>3</v>
      </c>
      <c r="P35" s="51">
        <v>1.1000000000000001</v>
      </c>
      <c r="Q35" s="51">
        <v>0.9</v>
      </c>
      <c r="R35" s="51">
        <v>0.2</v>
      </c>
      <c r="S35" s="92">
        <v>-0.1</v>
      </c>
      <c r="T35" s="124">
        <v>-8.4000000000000005E-2</v>
      </c>
      <c r="U35" s="51">
        <v>-5.4</v>
      </c>
      <c r="V35" s="51">
        <v>0</v>
      </c>
      <c r="X35" s="97" t="s">
        <v>298</v>
      </c>
    </row>
    <row r="36" spans="1:24" ht="15">
      <c r="A36" s="50">
        <v>34</v>
      </c>
      <c r="B36" s="51">
        <v>34</v>
      </c>
      <c r="C36" s="51" t="s">
        <v>20</v>
      </c>
      <c r="D36" s="112" t="s">
        <v>1453</v>
      </c>
      <c r="E36" s="51" t="s">
        <v>147</v>
      </c>
      <c r="F36" s="51">
        <v>1</v>
      </c>
      <c r="G36" s="51">
        <v>26</v>
      </c>
      <c r="H36" s="51">
        <v>269</v>
      </c>
      <c r="I36" s="51">
        <v>107</v>
      </c>
      <c r="J36" s="51">
        <v>89</v>
      </c>
      <c r="K36" s="51">
        <v>11</v>
      </c>
      <c r="L36" s="51">
        <v>0.56100000000000005</v>
      </c>
      <c r="M36" s="51">
        <v>0</v>
      </c>
      <c r="N36" s="51">
        <v>0.68200000000000005</v>
      </c>
      <c r="O36" s="51">
        <v>10.3</v>
      </c>
      <c r="P36" s="51">
        <v>4.0999999999999996</v>
      </c>
      <c r="Q36" s="51">
        <v>3.4</v>
      </c>
      <c r="R36" s="51">
        <v>0.4</v>
      </c>
      <c r="S36" s="92">
        <v>0.8</v>
      </c>
      <c r="T36" s="124">
        <v>0.14799999999999999</v>
      </c>
      <c r="U36" s="51">
        <v>0.5</v>
      </c>
      <c r="V36" s="51">
        <v>0.2</v>
      </c>
      <c r="X36" s="98" t="s">
        <v>39</v>
      </c>
    </row>
    <row r="37" spans="1:24" ht="15">
      <c r="A37" s="50">
        <v>35</v>
      </c>
      <c r="B37" s="51">
        <v>35</v>
      </c>
      <c r="C37" s="51" t="s">
        <v>141</v>
      </c>
      <c r="D37" s="114" t="s">
        <v>144</v>
      </c>
      <c r="E37" s="51" t="s">
        <v>145</v>
      </c>
      <c r="F37" s="51">
        <v>8</v>
      </c>
      <c r="G37" s="51">
        <v>514</v>
      </c>
      <c r="H37" s="51">
        <v>10865</v>
      </c>
      <c r="I37" s="51">
        <v>4111</v>
      </c>
      <c r="J37" s="51">
        <v>2236</v>
      </c>
      <c r="K37" s="51">
        <v>457</v>
      </c>
      <c r="L37" s="51">
        <v>0.44700000000000001</v>
      </c>
      <c r="M37" s="51">
        <v>0.182</v>
      </c>
      <c r="N37" s="51">
        <v>0.7</v>
      </c>
      <c r="O37" s="51">
        <v>21.1</v>
      </c>
      <c r="P37" s="51">
        <v>8</v>
      </c>
      <c r="Q37" s="51">
        <v>4.4000000000000004</v>
      </c>
      <c r="R37" s="51">
        <v>0.9</v>
      </c>
      <c r="S37" s="92">
        <v>18.600000000000001</v>
      </c>
      <c r="T37" s="124">
        <v>8.2000000000000003E-2</v>
      </c>
      <c r="U37" s="51">
        <v>-2.6</v>
      </c>
      <c r="V37" s="51">
        <v>-1.7</v>
      </c>
      <c r="X37" s="99" t="s">
        <v>106</v>
      </c>
    </row>
    <row r="38" spans="1:24" ht="15">
      <c r="A38" s="50">
        <v>36</v>
      </c>
      <c r="B38" s="51">
        <v>36</v>
      </c>
      <c r="C38" s="51" t="s">
        <v>25</v>
      </c>
      <c r="D38" s="112" t="s">
        <v>1469</v>
      </c>
      <c r="E38" s="51" t="s">
        <v>46</v>
      </c>
      <c r="F38" s="51">
        <v>2</v>
      </c>
      <c r="G38" s="51">
        <v>52</v>
      </c>
      <c r="H38" s="51">
        <v>433</v>
      </c>
      <c r="I38" s="51">
        <v>162</v>
      </c>
      <c r="J38" s="51">
        <v>96</v>
      </c>
      <c r="K38" s="51">
        <v>14</v>
      </c>
      <c r="L38" s="51">
        <v>0.42499999999999999</v>
      </c>
      <c r="M38" s="51">
        <v>0</v>
      </c>
      <c r="N38" s="51">
        <v>0.57799999999999996</v>
      </c>
      <c r="O38" s="51">
        <v>8.3000000000000007</v>
      </c>
      <c r="P38" s="51">
        <v>3.1</v>
      </c>
      <c r="Q38" s="51">
        <v>1.8</v>
      </c>
      <c r="R38" s="51">
        <v>0.3</v>
      </c>
      <c r="S38" s="92">
        <v>0</v>
      </c>
      <c r="T38" s="124">
        <v>0</v>
      </c>
      <c r="U38" s="51">
        <v>-5.2</v>
      </c>
      <c r="V38" s="51">
        <v>-0.3</v>
      </c>
      <c r="X38" s="100" t="s">
        <v>678</v>
      </c>
    </row>
    <row r="39" spans="1:24" ht="15">
      <c r="A39" s="50">
        <v>37</v>
      </c>
      <c r="B39" s="51">
        <v>37</v>
      </c>
      <c r="C39" s="51" t="s">
        <v>124</v>
      </c>
      <c r="D39" s="125" t="s">
        <v>226</v>
      </c>
      <c r="E39" s="51" t="s">
        <v>171</v>
      </c>
      <c r="F39" s="51">
        <v>11</v>
      </c>
      <c r="G39" s="51">
        <v>433</v>
      </c>
      <c r="H39" s="51">
        <v>8271</v>
      </c>
      <c r="I39" s="51">
        <v>2333</v>
      </c>
      <c r="J39" s="51">
        <v>1686</v>
      </c>
      <c r="K39" s="51">
        <v>901</v>
      </c>
      <c r="L39" s="51">
        <v>0.46300000000000002</v>
      </c>
      <c r="M39" s="51">
        <v>0.34</v>
      </c>
      <c r="N39" s="51">
        <v>0.70499999999999996</v>
      </c>
      <c r="O39" s="51">
        <v>19.100000000000001</v>
      </c>
      <c r="P39" s="51">
        <v>5.4</v>
      </c>
      <c r="Q39" s="51">
        <v>3.9</v>
      </c>
      <c r="R39" s="51">
        <v>2.1</v>
      </c>
      <c r="S39" s="92">
        <v>18.5</v>
      </c>
      <c r="T39" s="124">
        <v>0.107</v>
      </c>
      <c r="U39" s="51">
        <v>0.3</v>
      </c>
      <c r="V39" s="51">
        <v>4.7</v>
      </c>
      <c r="X39" s="126" t="s">
        <v>680</v>
      </c>
    </row>
    <row r="40" spans="1:24" ht="15">
      <c r="A40" s="50">
        <v>38</v>
      </c>
      <c r="B40" s="51">
        <v>38</v>
      </c>
      <c r="C40" s="51" t="s">
        <v>66</v>
      </c>
      <c r="D40" s="112" t="s">
        <v>1463</v>
      </c>
      <c r="E40" s="51"/>
      <c r="F40" s="51">
        <v>5</v>
      </c>
      <c r="G40" s="51">
        <v>135</v>
      </c>
      <c r="H40" s="51">
        <v>1107</v>
      </c>
      <c r="I40" s="51">
        <v>305</v>
      </c>
      <c r="J40" s="51">
        <v>269</v>
      </c>
      <c r="K40" s="51">
        <v>40</v>
      </c>
      <c r="L40" s="51">
        <v>0.496</v>
      </c>
      <c r="M40" s="51">
        <v>0</v>
      </c>
      <c r="N40" s="51">
        <v>0.41</v>
      </c>
      <c r="O40" s="51">
        <v>8.1999999999999993</v>
      </c>
      <c r="P40" s="51">
        <v>2.2999999999999998</v>
      </c>
      <c r="Q40" s="51">
        <v>2</v>
      </c>
      <c r="R40" s="51">
        <v>0.3</v>
      </c>
      <c r="S40" s="92">
        <v>0.9</v>
      </c>
      <c r="T40" s="124">
        <v>3.7999999999999999E-2</v>
      </c>
      <c r="U40" s="51">
        <v>-5.7</v>
      </c>
      <c r="V40" s="51">
        <v>-1.1000000000000001</v>
      </c>
      <c r="X40" s="103" t="s">
        <v>111</v>
      </c>
    </row>
    <row r="41" spans="1:24" ht="15">
      <c r="A41" s="50">
        <v>39</v>
      </c>
      <c r="B41" s="51">
        <v>39</v>
      </c>
      <c r="C41" s="51" t="s">
        <v>72</v>
      </c>
      <c r="D41" s="112" t="s">
        <v>1435</v>
      </c>
      <c r="E41" s="51"/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92">
        <v>0</v>
      </c>
      <c r="T41" s="124">
        <v>0</v>
      </c>
      <c r="U41" s="51">
        <v>0</v>
      </c>
      <c r="V41" s="51">
        <v>0</v>
      </c>
      <c r="X41" s="127"/>
    </row>
    <row r="42" spans="1:24" ht="15">
      <c r="A42" s="50">
        <v>40</v>
      </c>
      <c r="B42" s="51">
        <v>40</v>
      </c>
      <c r="C42" s="51" t="s">
        <v>31</v>
      </c>
      <c r="D42" s="112" t="s">
        <v>1474</v>
      </c>
      <c r="E42" s="51"/>
      <c r="F42" s="51">
        <v>1</v>
      </c>
      <c r="G42" s="51">
        <v>10</v>
      </c>
      <c r="H42" s="51">
        <v>28</v>
      </c>
      <c r="I42" s="51">
        <v>6</v>
      </c>
      <c r="J42" s="51">
        <v>0</v>
      </c>
      <c r="K42" s="51">
        <v>2</v>
      </c>
      <c r="L42" s="51">
        <v>0.27300000000000002</v>
      </c>
      <c r="M42" s="51">
        <v>0</v>
      </c>
      <c r="N42" s="51"/>
      <c r="O42" s="51">
        <v>2.8</v>
      </c>
      <c r="P42" s="51">
        <v>0.6</v>
      </c>
      <c r="Q42" s="51">
        <v>0</v>
      </c>
      <c r="R42" s="51">
        <v>0.2</v>
      </c>
      <c r="S42" s="92">
        <v>-0.1</v>
      </c>
      <c r="T42" s="124">
        <v>-0.22600000000000001</v>
      </c>
      <c r="U42" s="51">
        <v>-19.399999999999999</v>
      </c>
      <c r="V42" s="51">
        <v>-0.1</v>
      </c>
    </row>
    <row r="43" spans="1:24" ht="15">
      <c r="A43" s="50">
        <v>41</v>
      </c>
      <c r="B43" s="51">
        <v>41</v>
      </c>
      <c r="C43" s="51" t="s">
        <v>135</v>
      </c>
      <c r="D43" s="112" t="s">
        <v>1459</v>
      </c>
      <c r="E43" s="51" t="s">
        <v>128</v>
      </c>
      <c r="F43" s="51">
        <v>2</v>
      </c>
      <c r="G43" s="51">
        <v>70</v>
      </c>
      <c r="H43" s="51">
        <v>780</v>
      </c>
      <c r="I43" s="51">
        <v>135</v>
      </c>
      <c r="J43" s="51">
        <v>194</v>
      </c>
      <c r="K43" s="51">
        <v>25</v>
      </c>
      <c r="L43" s="51">
        <v>0.48299999999999998</v>
      </c>
      <c r="M43" s="51">
        <v>0</v>
      </c>
      <c r="N43" s="51">
        <v>0.60499999999999998</v>
      </c>
      <c r="O43" s="51">
        <v>11.1</v>
      </c>
      <c r="P43" s="51">
        <v>1.9</v>
      </c>
      <c r="Q43" s="51">
        <v>2.8</v>
      </c>
      <c r="R43" s="51">
        <v>0.4</v>
      </c>
      <c r="S43" s="92">
        <v>0.7</v>
      </c>
      <c r="T43" s="124">
        <v>4.4999999999999998E-2</v>
      </c>
      <c r="U43" s="51">
        <v>-5.7</v>
      </c>
      <c r="V43" s="51">
        <v>-0.7</v>
      </c>
    </row>
    <row r="44" spans="1:24" ht="15">
      <c r="A44" s="50">
        <v>42</v>
      </c>
      <c r="B44" s="51">
        <v>42</v>
      </c>
      <c r="C44" s="51" t="s">
        <v>124</v>
      </c>
      <c r="D44" s="112" t="s">
        <v>1465</v>
      </c>
      <c r="E44" s="51" t="s">
        <v>592</v>
      </c>
      <c r="F44" s="51">
        <v>1</v>
      </c>
      <c r="G44" s="51">
        <v>2</v>
      </c>
      <c r="H44" s="51">
        <v>37</v>
      </c>
      <c r="I44" s="51">
        <v>10</v>
      </c>
      <c r="J44" s="51">
        <v>11</v>
      </c>
      <c r="K44" s="51">
        <v>1</v>
      </c>
      <c r="L44" s="51">
        <v>0.27300000000000002</v>
      </c>
      <c r="M44" s="51">
        <v>0</v>
      </c>
      <c r="N44" s="51">
        <v>1</v>
      </c>
      <c r="O44" s="51">
        <v>18.5</v>
      </c>
      <c r="P44" s="51">
        <v>5</v>
      </c>
      <c r="Q44" s="51">
        <v>5.5</v>
      </c>
      <c r="R44" s="51">
        <v>0.5</v>
      </c>
      <c r="S44" s="92">
        <v>0.1</v>
      </c>
      <c r="T44" s="124">
        <v>0.14699999999999999</v>
      </c>
      <c r="U44" s="51">
        <v>-4.7</v>
      </c>
      <c r="V44" s="51">
        <v>0</v>
      </c>
    </row>
    <row r="45" spans="1:24" ht="15">
      <c r="A45" s="50">
        <v>43</v>
      </c>
      <c r="B45" s="51">
        <v>43</v>
      </c>
      <c r="C45" s="51" t="s">
        <v>1436</v>
      </c>
      <c r="D45" s="112" t="s">
        <v>1437</v>
      </c>
      <c r="E45" s="51" t="s">
        <v>397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92">
        <v>0</v>
      </c>
      <c r="T45" s="124">
        <v>0</v>
      </c>
      <c r="U45" s="51">
        <v>0</v>
      </c>
      <c r="V45" s="51">
        <v>0</v>
      </c>
    </row>
    <row r="46" spans="1:24" ht="15">
      <c r="A46" s="50">
        <v>44</v>
      </c>
      <c r="B46" s="51">
        <v>44</v>
      </c>
      <c r="C46" s="51" t="s">
        <v>179</v>
      </c>
      <c r="D46" s="112" t="s">
        <v>1438</v>
      </c>
      <c r="E46" s="51" t="s">
        <v>78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92">
        <v>0</v>
      </c>
      <c r="T46" s="124">
        <v>0</v>
      </c>
      <c r="U46" s="51">
        <v>0</v>
      </c>
      <c r="V46" s="51">
        <v>0</v>
      </c>
    </row>
    <row r="47" spans="1:24" ht="15">
      <c r="A47" s="50">
        <v>45</v>
      </c>
      <c r="B47" s="51">
        <v>45</v>
      </c>
      <c r="C47" s="51" t="s">
        <v>28</v>
      </c>
      <c r="D47" s="112" t="s">
        <v>1439</v>
      </c>
      <c r="E47" s="51" t="s">
        <v>1440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92">
        <v>0</v>
      </c>
      <c r="T47" s="124">
        <v>0</v>
      </c>
      <c r="U47" s="51">
        <v>0</v>
      </c>
      <c r="V47" s="51">
        <v>0</v>
      </c>
    </row>
    <row r="48" spans="1:24" ht="15">
      <c r="A48" s="50">
        <v>46</v>
      </c>
      <c r="B48" s="51">
        <v>46</v>
      </c>
      <c r="C48" s="51" t="s">
        <v>25</v>
      </c>
      <c r="D48" s="112" t="s">
        <v>1460</v>
      </c>
      <c r="E48" s="51" t="s">
        <v>992</v>
      </c>
      <c r="F48" s="51">
        <v>1</v>
      </c>
      <c r="G48" s="51">
        <v>16</v>
      </c>
      <c r="H48" s="51">
        <v>303</v>
      </c>
      <c r="I48" s="51">
        <v>83</v>
      </c>
      <c r="J48" s="51">
        <v>53</v>
      </c>
      <c r="K48" s="51">
        <v>3</v>
      </c>
      <c r="L48" s="51">
        <v>0.45100000000000001</v>
      </c>
      <c r="M48" s="51"/>
      <c r="N48" s="51">
        <v>0.59399999999999997</v>
      </c>
      <c r="O48" s="51">
        <v>18.899999999999999</v>
      </c>
      <c r="P48" s="51">
        <v>5.2</v>
      </c>
      <c r="Q48" s="51">
        <v>3.3</v>
      </c>
      <c r="R48" s="51">
        <v>0.2</v>
      </c>
      <c r="S48" s="92">
        <v>0.3</v>
      </c>
      <c r="T48" s="124">
        <v>4.1000000000000002E-2</v>
      </c>
      <c r="U48" s="51">
        <v>-4.4000000000000004</v>
      </c>
      <c r="V48" s="51">
        <v>-0.2</v>
      </c>
    </row>
    <row r="49" spans="1:37" ht="15">
      <c r="A49" s="50">
        <v>47</v>
      </c>
      <c r="B49" s="51">
        <v>47</v>
      </c>
      <c r="C49" s="51" t="s">
        <v>69</v>
      </c>
      <c r="D49" s="128" t="s">
        <v>1455</v>
      </c>
      <c r="E49" s="51" t="s">
        <v>1306</v>
      </c>
      <c r="F49" s="51">
        <v>6</v>
      </c>
      <c r="G49" s="51">
        <v>342</v>
      </c>
      <c r="H49" s="51">
        <v>5348</v>
      </c>
      <c r="I49" s="51">
        <v>939</v>
      </c>
      <c r="J49" s="51">
        <v>1169</v>
      </c>
      <c r="K49" s="51">
        <v>422</v>
      </c>
      <c r="L49" s="51">
        <v>0.41899999999999998</v>
      </c>
      <c r="M49" s="51">
        <v>0.188</v>
      </c>
      <c r="N49" s="51">
        <v>0.65800000000000003</v>
      </c>
      <c r="O49" s="51">
        <v>15.6</v>
      </c>
      <c r="P49" s="51">
        <v>2.7</v>
      </c>
      <c r="Q49" s="51">
        <v>3.4</v>
      </c>
      <c r="R49" s="51">
        <v>1.2</v>
      </c>
      <c r="S49" s="92">
        <v>4.0999999999999996</v>
      </c>
      <c r="T49" s="124">
        <v>3.6999999999999998E-2</v>
      </c>
      <c r="U49" s="51">
        <v>-2.1</v>
      </c>
      <c r="V49" s="51">
        <v>-0.1</v>
      </c>
    </row>
    <row r="50" spans="1:37" ht="15">
      <c r="A50" s="50">
        <v>48</v>
      </c>
      <c r="B50" s="51">
        <v>48</v>
      </c>
      <c r="C50" s="51" t="s">
        <v>31</v>
      </c>
      <c r="D50" s="129" t="s">
        <v>32</v>
      </c>
      <c r="E50" s="51"/>
      <c r="F50" s="51">
        <v>13</v>
      </c>
      <c r="G50" s="51">
        <v>891</v>
      </c>
      <c r="H50" s="51">
        <v>28719</v>
      </c>
      <c r="I50" s="51">
        <v>12514</v>
      </c>
      <c r="J50" s="51">
        <v>6604</v>
      </c>
      <c r="K50" s="51">
        <v>2996</v>
      </c>
      <c r="L50" s="51">
        <v>0.48099999999999998</v>
      </c>
      <c r="M50" s="51">
        <v>0.36</v>
      </c>
      <c r="N50" s="51">
        <v>0.77600000000000002</v>
      </c>
      <c r="O50" s="51">
        <v>32.200000000000003</v>
      </c>
      <c r="P50" s="51">
        <v>14</v>
      </c>
      <c r="Q50" s="51">
        <v>7.4</v>
      </c>
      <c r="R50" s="51">
        <v>3.4</v>
      </c>
      <c r="S50" s="92">
        <v>85.3</v>
      </c>
      <c r="T50" s="124">
        <v>0.14299999999999999</v>
      </c>
      <c r="U50" s="51">
        <v>3.1</v>
      </c>
      <c r="V50" s="51">
        <v>36.5</v>
      </c>
    </row>
    <row r="51" spans="1:37" ht="15">
      <c r="A51" s="50">
        <v>49</v>
      </c>
      <c r="B51" s="51">
        <v>49</v>
      </c>
      <c r="C51" s="51" t="s">
        <v>99</v>
      </c>
      <c r="D51" s="128" t="s">
        <v>1452</v>
      </c>
      <c r="E51" s="51" t="s">
        <v>219</v>
      </c>
      <c r="F51" s="51">
        <v>7</v>
      </c>
      <c r="G51" s="51">
        <v>318</v>
      </c>
      <c r="H51" s="51">
        <v>3851</v>
      </c>
      <c r="I51" s="51">
        <v>1066</v>
      </c>
      <c r="J51" s="51">
        <v>1190</v>
      </c>
      <c r="K51" s="51">
        <v>207</v>
      </c>
      <c r="L51" s="51">
        <v>0.50900000000000001</v>
      </c>
      <c r="M51" s="51">
        <v>0</v>
      </c>
      <c r="N51" s="51">
        <v>0.56200000000000006</v>
      </c>
      <c r="O51" s="51">
        <v>12.1</v>
      </c>
      <c r="P51" s="51">
        <v>3.4</v>
      </c>
      <c r="Q51" s="51">
        <v>3.7</v>
      </c>
      <c r="R51" s="51">
        <v>0.7</v>
      </c>
      <c r="S51" s="92">
        <v>6.2</v>
      </c>
      <c r="T51" s="124">
        <v>7.6999999999999999E-2</v>
      </c>
      <c r="U51" s="51">
        <v>-3.6</v>
      </c>
      <c r="V51" s="51">
        <v>-1.5</v>
      </c>
    </row>
    <row r="52" spans="1:37" ht="15">
      <c r="A52" s="50">
        <v>50</v>
      </c>
      <c r="B52" s="51">
        <v>50</v>
      </c>
      <c r="C52" s="51" t="s">
        <v>20</v>
      </c>
      <c r="D52" s="112" t="s">
        <v>1441</v>
      </c>
      <c r="E52" s="51"/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92">
        <v>0</v>
      </c>
      <c r="T52" s="124">
        <v>0</v>
      </c>
      <c r="U52" s="51">
        <v>0</v>
      </c>
      <c r="V52" s="51">
        <v>0</v>
      </c>
    </row>
    <row r="53" spans="1:37" ht="15">
      <c r="A53" s="50">
        <v>51</v>
      </c>
      <c r="B53" s="51">
        <v>51</v>
      </c>
      <c r="C53" s="51" t="s">
        <v>99</v>
      </c>
      <c r="D53" s="112" t="s">
        <v>1470</v>
      </c>
      <c r="E53" s="51" t="s">
        <v>511</v>
      </c>
      <c r="F53" s="51">
        <v>1</v>
      </c>
      <c r="G53" s="51">
        <v>1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92">
        <v>0</v>
      </c>
      <c r="T53" s="124">
        <v>0</v>
      </c>
      <c r="U53" s="51">
        <v>0</v>
      </c>
      <c r="V53" s="51">
        <v>0</v>
      </c>
    </row>
    <row r="54" spans="1:37" ht="15">
      <c r="A54" s="50">
        <v>52</v>
      </c>
      <c r="B54" s="51">
        <v>52</v>
      </c>
      <c r="C54" s="51" t="s">
        <v>124</v>
      </c>
      <c r="D54" s="112" t="s">
        <v>1475</v>
      </c>
      <c r="E54" s="51" t="s">
        <v>128</v>
      </c>
      <c r="F54" s="51">
        <v>1</v>
      </c>
      <c r="G54" s="51">
        <v>17</v>
      </c>
      <c r="H54" s="51">
        <v>74</v>
      </c>
      <c r="I54" s="51">
        <v>27</v>
      </c>
      <c r="J54" s="51">
        <v>10</v>
      </c>
      <c r="K54" s="51">
        <v>11</v>
      </c>
      <c r="L54" s="51">
        <v>0.28000000000000003</v>
      </c>
      <c r="M54" s="51">
        <v>0.182</v>
      </c>
      <c r="N54" s="51">
        <v>0.91700000000000004</v>
      </c>
      <c r="O54" s="51">
        <v>4.4000000000000004</v>
      </c>
      <c r="P54" s="51">
        <v>1.6</v>
      </c>
      <c r="Q54" s="51">
        <v>0.6</v>
      </c>
      <c r="R54" s="51">
        <v>0.6</v>
      </c>
      <c r="S54" s="92">
        <v>-0.1</v>
      </c>
      <c r="T54" s="124">
        <v>-6.6000000000000003E-2</v>
      </c>
      <c r="U54" s="51">
        <v>-7.5</v>
      </c>
      <c r="V54" s="51">
        <v>-0.1</v>
      </c>
    </row>
    <row r="55" spans="1:37" ht="15">
      <c r="A55" s="50">
        <v>53</v>
      </c>
      <c r="B55" s="51">
        <v>53</v>
      </c>
      <c r="C55" s="51" t="s">
        <v>124</v>
      </c>
      <c r="D55" s="112" t="s">
        <v>1476</v>
      </c>
      <c r="E55" s="51" t="s">
        <v>68</v>
      </c>
      <c r="F55" s="51">
        <v>2</v>
      </c>
      <c r="G55" s="51">
        <v>18</v>
      </c>
      <c r="H55" s="51">
        <v>58</v>
      </c>
      <c r="I55" s="51">
        <v>22</v>
      </c>
      <c r="J55" s="51">
        <v>7</v>
      </c>
      <c r="K55" s="51">
        <v>2</v>
      </c>
      <c r="L55" s="51">
        <v>0.28100000000000003</v>
      </c>
      <c r="M55" s="51">
        <v>0.2</v>
      </c>
      <c r="N55" s="51">
        <v>0.5</v>
      </c>
      <c r="O55" s="51">
        <v>3.2</v>
      </c>
      <c r="P55" s="51">
        <v>1.2</v>
      </c>
      <c r="Q55" s="51">
        <v>0.4</v>
      </c>
      <c r="R55" s="51">
        <v>0.1</v>
      </c>
      <c r="S55" s="92">
        <v>-0.2</v>
      </c>
      <c r="T55" s="124">
        <v>-0.20300000000000001</v>
      </c>
      <c r="U55" s="51">
        <v>-10.3</v>
      </c>
      <c r="V55" s="51">
        <v>-0.1</v>
      </c>
    </row>
    <row r="56" spans="1:37" ht="15">
      <c r="A56" s="50">
        <v>54</v>
      </c>
      <c r="B56" s="51">
        <v>54</v>
      </c>
      <c r="C56" s="51" t="s">
        <v>52</v>
      </c>
      <c r="D56" s="112" t="s">
        <v>1442</v>
      </c>
      <c r="E56" s="51"/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92">
        <v>0</v>
      </c>
      <c r="T56" s="124">
        <v>0</v>
      </c>
      <c r="U56" s="51">
        <v>0</v>
      </c>
      <c r="V56" s="51">
        <v>0</v>
      </c>
    </row>
    <row r="57" spans="1:37" ht="15">
      <c r="A57" s="50">
        <v>55</v>
      </c>
      <c r="B57" s="51">
        <v>55</v>
      </c>
      <c r="C57" s="51" t="s">
        <v>193</v>
      </c>
      <c r="D57" s="112" t="s">
        <v>1443</v>
      </c>
      <c r="E57" s="51" t="s">
        <v>314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92">
        <v>0</v>
      </c>
      <c r="T57" s="124">
        <v>0</v>
      </c>
      <c r="U57" s="51">
        <v>0</v>
      </c>
      <c r="V57" s="51">
        <v>0</v>
      </c>
    </row>
    <row r="58" spans="1:37" ht="15">
      <c r="A58" s="50">
        <v>56</v>
      </c>
      <c r="B58" s="51">
        <v>56</v>
      </c>
      <c r="C58" s="51" t="s">
        <v>57</v>
      </c>
      <c r="D58" s="114" t="s">
        <v>146</v>
      </c>
      <c r="E58" s="51" t="s">
        <v>147</v>
      </c>
      <c r="F58" s="51">
        <v>11</v>
      </c>
      <c r="G58" s="51">
        <v>691</v>
      </c>
      <c r="H58" s="51">
        <v>16119</v>
      </c>
      <c r="I58" s="51">
        <v>7141</v>
      </c>
      <c r="J58" s="51">
        <v>1840</v>
      </c>
      <c r="K58" s="51">
        <v>2807</v>
      </c>
      <c r="L58" s="51">
        <v>0.434</v>
      </c>
      <c r="M58" s="51">
        <v>0.316</v>
      </c>
      <c r="N58" s="51">
        <v>0.79100000000000004</v>
      </c>
      <c r="O58" s="51">
        <v>23.3</v>
      </c>
      <c r="P58" s="51">
        <v>10.3</v>
      </c>
      <c r="Q58" s="51">
        <v>2.7</v>
      </c>
      <c r="R58" s="51">
        <v>4.0999999999999996</v>
      </c>
      <c r="S58" s="92">
        <v>28.8</v>
      </c>
      <c r="T58" s="124">
        <v>8.5999999999999993E-2</v>
      </c>
      <c r="U58" s="51">
        <v>-0.7</v>
      </c>
      <c r="V58" s="51">
        <v>5.2</v>
      </c>
    </row>
    <row r="59" spans="1:37" ht="15">
      <c r="A59" s="50">
        <v>57</v>
      </c>
      <c r="B59" s="51">
        <v>57</v>
      </c>
      <c r="C59" s="51" t="s">
        <v>34</v>
      </c>
      <c r="D59" s="112" t="s">
        <v>1444</v>
      </c>
      <c r="E59" s="51" t="s">
        <v>176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92">
        <v>0</v>
      </c>
      <c r="T59" s="124">
        <v>0</v>
      </c>
      <c r="U59" s="51">
        <v>0</v>
      </c>
      <c r="V59" s="51">
        <v>0</v>
      </c>
    </row>
    <row r="60" spans="1:37" ht="15">
      <c r="A60" s="50">
        <v>58</v>
      </c>
      <c r="B60" s="51">
        <v>58</v>
      </c>
      <c r="C60" s="51" t="s">
        <v>79</v>
      </c>
      <c r="D60" s="112" t="s">
        <v>1445</v>
      </c>
      <c r="E60" s="51"/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92">
        <v>0</v>
      </c>
      <c r="T60" s="124">
        <v>0</v>
      </c>
      <c r="U60" s="51">
        <v>0</v>
      </c>
      <c r="V60" s="51">
        <v>0</v>
      </c>
    </row>
    <row r="61" spans="1:37" ht="15">
      <c r="A61" s="50">
        <v>59</v>
      </c>
      <c r="B61" s="51">
        <v>59</v>
      </c>
      <c r="C61" s="51" t="s">
        <v>323</v>
      </c>
      <c r="D61" s="112" t="s">
        <v>1477</v>
      </c>
      <c r="E61" s="51" t="s">
        <v>89</v>
      </c>
      <c r="F61" s="51">
        <v>1</v>
      </c>
      <c r="G61" s="51">
        <v>33</v>
      </c>
      <c r="H61" s="51">
        <v>270</v>
      </c>
      <c r="I61" s="51">
        <v>73</v>
      </c>
      <c r="J61" s="51">
        <v>28</v>
      </c>
      <c r="K61" s="51">
        <v>30</v>
      </c>
      <c r="L61" s="51">
        <v>0.315</v>
      </c>
      <c r="M61" s="51">
        <v>0.24</v>
      </c>
      <c r="N61" s="51">
        <v>0.47399999999999998</v>
      </c>
      <c r="O61" s="51">
        <v>8.1999999999999993</v>
      </c>
      <c r="P61" s="51">
        <v>2.2000000000000002</v>
      </c>
      <c r="Q61" s="51">
        <v>0.8</v>
      </c>
      <c r="R61" s="51">
        <v>0.9</v>
      </c>
      <c r="S61" s="92">
        <v>-0.2</v>
      </c>
      <c r="T61" s="124">
        <v>-3.1E-2</v>
      </c>
      <c r="U61" s="51">
        <v>-5.6</v>
      </c>
      <c r="V61" s="51">
        <v>-0.2</v>
      </c>
    </row>
    <row r="62" spans="1:37" ht="15">
      <c r="A62" s="50">
        <v>60</v>
      </c>
      <c r="B62" s="51">
        <v>60</v>
      </c>
      <c r="C62" s="51" t="s">
        <v>20</v>
      </c>
      <c r="D62" s="112" t="s">
        <v>1446</v>
      </c>
      <c r="E62" s="51"/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92">
        <v>0</v>
      </c>
      <c r="T62" s="124">
        <v>0</v>
      </c>
      <c r="U62" s="51">
        <v>0</v>
      </c>
      <c r="V62" s="51">
        <v>0</v>
      </c>
    </row>
    <row r="64" spans="1:37" ht="15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 ht="15">
      <c r="D65" s="3" t="s">
        <v>1546</v>
      </c>
      <c r="E65" s="3" t="s">
        <v>506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 ht="15">
      <c r="D66" s="3" t="s">
        <v>1547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 ht="15.95">
      <c r="D67" s="3" t="s">
        <v>1548</v>
      </c>
      <c r="E67" s="3" t="s">
        <v>570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2"/>
      <c r="AH67" s="3"/>
      <c r="AI67" s="3"/>
      <c r="AJ67" s="3"/>
      <c r="AK67" s="3"/>
    </row>
  </sheetData>
  <conditionalFormatting sqref="G1:G62">
    <cfRule type="cellIs" dxfId="4" priority="1" operator="greaterThan">
      <formula>82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90C-A57E-6244-B1D3-7DF9F7D04E89}">
  <dimension ref="A1:AK71"/>
  <sheetViews>
    <sheetView zoomScale="150" workbookViewId="0">
      <pane ySplit="1" topLeftCell="A33" activePane="bottomLeft" state="frozen"/>
      <selection pane="bottomLeft" activeCell="L68" sqref="L68"/>
    </sheetView>
  </sheetViews>
  <sheetFormatPr defaultColWidth="8.875" defaultRowHeight="14.1"/>
  <cols>
    <col min="1" max="1" width="3" style="116" bestFit="1" customWidth="1"/>
    <col min="2" max="2" width="2.875" style="116" bestFit="1" customWidth="1"/>
    <col min="3" max="3" width="4.375" style="116" bestFit="1" customWidth="1"/>
    <col min="4" max="4" width="15.5" style="116" bestFit="1" customWidth="1"/>
    <col min="5" max="5" width="13.875" style="116" bestFit="1" customWidth="1"/>
    <col min="6" max="6" width="3.375" style="116" bestFit="1" customWidth="1"/>
    <col min="7" max="7" width="4.5" style="116" bestFit="1" customWidth="1"/>
    <col min="8" max="9" width="5.375" style="116" bestFit="1" customWidth="1"/>
    <col min="10" max="11" width="4.5" style="116" bestFit="1" customWidth="1"/>
    <col min="12" max="14" width="5.375" style="116" bestFit="1" customWidth="1"/>
    <col min="15" max="16" width="4.5" style="116" bestFit="1" customWidth="1"/>
    <col min="17" max="17" width="4" style="116" bestFit="1" customWidth="1"/>
    <col min="18" max="18" width="3.875" style="116" bestFit="1" customWidth="1"/>
    <col min="19" max="19" width="5.375" style="116" bestFit="1" customWidth="1"/>
    <col min="20" max="20" width="5.875" style="116" bestFit="1" customWidth="1"/>
    <col min="21" max="21" width="4.125" style="116" bestFit="1" customWidth="1"/>
    <col min="22" max="22" width="5" style="116" bestFit="1" customWidth="1"/>
    <col min="23" max="23" width="8.875" style="116"/>
    <col min="24" max="24" width="12.5" style="116" customWidth="1"/>
    <col min="25" max="16384" width="8.875" style="116"/>
  </cols>
  <sheetData>
    <row r="1" spans="1:25" ht="15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5" ht="45" hidden="1">
      <c r="A2" s="1">
        <v>1</v>
      </c>
      <c r="B2" s="61">
        <v>1</v>
      </c>
      <c r="C2" s="61" t="s">
        <v>163</v>
      </c>
      <c r="D2" s="120" t="s">
        <v>1549</v>
      </c>
      <c r="E2" s="61"/>
      <c r="F2" s="61">
        <v>10</v>
      </c>
      <c r="G2" s="61">
        <v>550</v>
      </c>
      <c r="H2" s="61">
        <v>15806</v>
      </c>
      <c r="I2" s="61">
        <v>7873</v>
      </c>
      <c r="J2" s="61">
        <v>2541</v>
      </c>
      <c r="K2" s="61">
        <v>653</v>
      </c>
      <c r="L2" s="61">
        <v>0.439</v>
      </c>
      <c r="M2" s="61">
        <v>0.35399999999999998</v>
      </c>
      <c r="N2" s="61">
        <v>0.82399999999999995</v>
      </c>
      <c r="O2" s="61">
        <v>28.7</v>
      </c>
      <c r="P2" s="61">
        <v>14.3</v>
      </c>
      <c r="Q2" s="61">
        <v>4.5999999999999996</v>
      </c>
      <c r="R2" s="61">
        <v>1.2</v>
      </c>
      <c r="S2" s="61">
        <v>18.899999999999999</v>
      </c>
      <c r="T2" s="61">
        <v>5.7000000000000002E-2</v>
      </c>
      <c r="U2" s="61">
        <v>-1.6</v>
      </c>
      <c r="V2" s="61">
        <v>1.5</v>
      </c>
      <c r="X2" s="1" t="s">
        <v>294</v>
      </c>
    </row>
    <row r="3" spans="1:25" ht="15" hidden="1">
      <c r="A3" s="1">
        <v>2</v>
      </c>
      <c r="B3" s="61">
        <v>2</v>
      </c>
      <c r="C3" s="61" t="s">
        <v>99</v>
      </c>
      <c r="D3" s="120" t="s">
        <v>1550</v>
      </c>
      <c r="E3" s="61" t="s">
        <v>530</v>
      </c>
      <c r="F3" s="61">
        <v>16</v>
      </c>
      <c r="G3" s="61">
        <v>1076</v>
      </c>
      <c r="H3" s="61">
        <v>36242</v>
      </c>
      <c r="I3" s="61">
        <v>20558</v>
      </c>
      <c r="J3" s="61">
        <v>8736</v>
      </c>
      <c r="K3" s="61">
        <v>2076</v>
      </c>
      <c r="L3" s="61">
        <v>0.49299999999999999</v>
      </c>
      <c r="M3" s="61">
        <v>0.32</v>
      </c>
      <c r="N3" s="61">
        <v>0.81299999999999994</v>
      </c>
      <c r="O3" s="61">
        <v>33.700000000000003</v>
      </c>
      <c r="P3" s="61">
        <v>19.100000000000001</v>
      </c>
      <c r="Q3" s="61">
        <v>8.1</v>
      </c>
      <c r="R3" s="61">
        <v>1.9</v>
      </c>
      <c r="S3" s="61">
        <v>115.7</v>
      </c>
      <c r="T3" s="61">
        <v>0.153</v>
      </c>
      <c r="U3" s="61">
        <v>1.7</v>
      </c>
      <c r="V3" s="61">
        <v>33.4</v>
      </c>
      <c r="X3" s="53" t="s">
        <v>296</v>
      </c>
    </row>
    <row r="4" spans="1:25" ht="15" hidden="1">
      <c r="A4" s="1">
        <v>3</v>
      </c>
      <c r="B4" s="61">
        <v>3</v>
      </c>
      <c r="C4" s="61" t="s">
        <v>1095</v>
      </c>
      <c r="D4" s="120" t="s">
        <v>1551</v>
      </c>
      <c r="E4" s="61" t="s">
        <v>43</v>
      </c>
      <c r="F4" s="61">
        <v>3</v>
      </c>
      <c r="G4" s="61">
        <v>161</v>
      </c>
      <c r="H4" s="61">
        <v>3278</v>
      </c>
      <c r="I4" s="61">
        <v>1200</v>
      </c>
      <c r="J4" s="61">
        <v>342</v>
      </c>
      <c r="K4" s="61">
        <v>222</v>
      </c>
      <c r="L4" s="61">
        <v>0.373</v>
      </c>
      <c r="M4" s="61">
        <v>0.33100000000000002</v>
      </c>
      <c r="N4" s="61">
        <v>0.71</v>
      </c>
      <c r="O4" s="61">
        <v>20.399999999999999</v>
      </c>
      <c r="P4" s="61">
        <v>7.5</v>
      </c>
      <c r="Q4" s="61">
        <v>2.1</v>
      </c>
      <c r="R4" s="61">
        <v>1.4</v>
      </c>
      <c r="S4" s="61">
        <v>-1.4</v>
      </c>
      <c r="T4" s="61">
        <v>-2.1000000000000001E-2</v>
      </c>
      <c r="U4" s="61">
        <v>-5</v>
      </c>
      <c r="V4" s="61">
        <v>-2.4</v>
      </c>
      <c r="X4" s="54" t="s">
        <v>298</v>
      </c>
    </row>
    <row r="5" spans="1:25" ht="15" hidden="1">
      <c r="A5" s="1">
        <v>4</v>
      </c>
      <c r="B5" s="61">
        <v>4</v>
      </c>
      <c r="C5" s="61" t="s">
        <v>124</v>
      </c>
      <c r="D5" s="120" t="s">
        <v>1552</v>
      </c>
      <c r="E5" s="61" t="s">
        <v>145</v>
      </c>
      <c r="F5" s="61">
        <v>8</v>
      </c>
      <c r="G5" s="61">
        <v>402</v>
      </c>
      <c r="H5" s="61">
        <v>7932</v>
      </c>
      <c r="I5" s="61">
        <v>3093</v>
      </c>
      <c r="J5" s="61">
        <v>1938</v>
      </c>
      <c r="K5" s="61">
        <v>347</v>
      </c>
      <c r="L5" s="61">
        <v>0.438</v>
      </c>
      <c r="M5" s="61">
        <v>0.23499999999999999</v>
      </c>
      <c r="N5" s="61">
        <v>0.73199999999999998</v>
      </c>
      <c r="O5" s="61">
        <v>19.7</v>
      </c>
      <c r="P5" s="61">
        <v>7.7</v>
      </c>
      <c r="Q5" s="61">
        <v>4.8</v>
      </c>
      <c r="R5" s="61">
        <v>0.9</v>
      </c>
      <c r="S5" s="61">
        <v>13</v>
      </c>
      <c r="T5" s="61">
        <v>7.8E-2</v>
      </c>
      <c r="U5" s="61">
        <v>-1.2</v>
      </c>
      <c r="V5" s="61">
        <v>1.7</v>
      </c>
      <c r="X5" s="58" t="s">
        <v>39</v>
      </c>
    </row>
    <row r="6" spans="1:25" ht="15" hidden="1">
      <c r="A6" s="1">
        <v>5</v>
      </c>
      <c r="B6" s="61">
        <v>5</v>
      </c>
      <c r="C6" s="61" t="s">
        <v>184</v>
      </c>
      <c r="D6" s="120" t="s">
        <v>1553</v>
      </c>
      <c r="E6" s="61" t="s">
        <v>171</v>
      </c>
      <c r="F6" s="61">
        <v>6</v>
      </c>
      <c r="G6" s="61">
        <v>361</v>
      </c>
      <c r="H6" s="61">
        <v>5586</v>
      </c>
      <c r="I6" s="61">
        <v>1618</v>
      </c>
      <c r="J6" s="61">
        <v>1562</v>
      </c>
      <c r="K6" s="61">
        <v>163</v>
      </c>
      <c r="L6" s="61">
        <v>0.46200000000000002</v>
      </c>
      <c r="M6" s="61">
        <v>0.222</v>
      </c>
      <c r="N6" s="61">
        <v>0.74</v>
      </c>
      <c r="O6" s="61">
        <v>15.5</v>
      </c>
      <c r="P6" s="61">
        <v>4.5</v>
      </c>
      <c r="Q6" s="61">
        <v>4.3</v>
      </c>
      <c r="R6" s="61">
        <v>0.5</v>
      </c>
      <c r="S6" s="61">
        <v>9.9</v>
      </c>
      <c r="T6" s="61">
        <v>8.5000000000000006E-2</v>
      </c>
      <c r="U6" s="61">
        <v>-3</v>
      </c>
      <c r="V6" s="61">
        <v>-1.5</v>
      </c>
      <c r="X6" s="59" t="s">
        <v>302</v>
      </c>
    </row>
    <row r="7" spans="1:25" ht="15" hidden="1">
      <c r="A7" s="1">
        <v>6</v>
      </c>
      <c r="B7" s="61">
        <v>6</v>
      </c>
      <c r="C7" s="61" t="s">
        <v>135</v>
      </c>
      <c r="D7" s="120" t="s">
        <v>1554</v>
      </c>
      <c r="E7" s="61" t="s">
        <v>38</v>
      </c>
      <c r="F7" s="61">
        <v>6</v>
      </c>
      <c r="G7" s="61">
        <v>326</v>
      </c>
      <c r="H7" s="61">
        <v>11561</v>
      </c>
      <c r="I7" s="61">
        <v>6136</v>
      </c>
      <c r="J7" s="61">
        <v>1388</v>
      </c>
      <c r="K7" s="61">
        <v>1517</v>
      </c>
      <c r="L7" s="61">
        <v>0.45900000000000002</v>
      </c>
      <c r="M7" s="61">
        <v>0.34799999999999998</v>
      </c>
      <c r="N7" s="61">
        <v>0.8</v>
      </c>
      <c r="O7" s="61">
        <v>35.5</v>
      </c>
      <c r="P7" s="61">
        <v>18.8</v>
      </c>
      <c r="Q7" s="61">
        <v>4.3</v>
      </c>
      <c r="R7" s="61">
        <v>4.7</v>
      </c>
      <c r="S7" s="61">
        <v>37.4</v>
      </c>
      <c r="T7" s="61">
        <v>0.155</v>
      </c>
      <c r="U7" s="61">
        <v>3.6</v>
      </c>
      <c r="V7" s="61">
        <v>16.3</v>
      </c>
      <c r="X7" s="60" t="s">
        <v>867</v>
      </c>
    </row>
    <row r="8" spans="1:25" ht="15" hidden="1">
      <c r="A8" s="1">
        <v>7</v>
      </c>
      <c r="B8" s="61">
        <v>7</v>
      </c>
      <c r="C8" s="61" t="s">
        <v>190</v>
      </c>
      <c r="D8" s="120" t="s">
        <v>1555</v>
      </c>
      <c r="E8" s="61" t="s">
        <v>22</v>
      </c>
      <c r="F8" s="61">
        <v>11</v>
      </c>
      <c r="G8" s="61">
        <v>752</v>
      </c>
      <c r="H8" s="61">
        <v>19279</v>
      </c>
      <c r="I8" s="61">
        <v>7729</v>
      </c>
      <c r="J8" s="61">
        <v>1686</v>
      </c>
      <c r="K8" s="61">
        <v>2112</v>
      </c>
      <c r="L8" s="61">
        <v>0.40100000000000002</v>
      </c>
      <c r="M8" s="61">
        <v>0.36599999999999999</v>
      </c>
      <c r="N8" s="61">
        <v>0.85199999999999998</v>
      </c>
      <c r="O8" s="61">
        <v>25.6</v>
      </c>
      <c r="P8" s="61">
        <v>10.3</v>
      </c>
      <c r="Q8" s="61">
        <v>2.2000000000000002</v>
      </c>
      <c r="R8" s="61">
        <v>2.8</v>
      </c>
      <c r="S8" s="61">
        <v>23.5</v>
      </c>
      <c r="T8" s="61">
        <v>5.8000000000000003E-2</v>
      </c>
      <c r="U8" s="61">
        <v>-1.2</v>
      </c>
      <c r="V8" s="61">
        <v>3.8</v>
      </c>
      <c r="X8" s="55" t="s">
        <v>306</v>
      </c>
    </row>
    <row r="9" spans="1:25" ht="15" hidden="1">
      <c r="A9" s="1">
        <v>8</v>
      </c>
      <c r="B9" s="61">
        <v>8</v>
      </c>
      <c r="C9" s="61" t="s">
        <v>52</v>
      </c>
      <c r="D9" s="120" t="s">
        <v>1556</v>
      </c>
      <c r="E9" s="61" t="s">
        <v>300</v>
      </c>
      <c r="F9" s="61">
        <v>17</v>
      </c>
      <c r="G9" s="61">
        <v>1120</v>
      </c>
      <c r="H9" s="61">
        <v>34561</v>
      </c>
      <c r="I9" s="61">
        <v>17642</v>
      </c>
      <c r="J9" s="61">
        <v>6283</v>
      </c>
      <c r="K9" s="61">
        <v>2280</v>
      </c>
      <c r="L9" s="61">
        <v>0.45200000000000001</v>
      </c>
      <c r="M9" s="61">
        <v>0.34599999999999997</v>
      </c>
      <c r="N9" s="61">
        <v>0.79900000000000004</v>
      </c>
      <c r="O9" s="61">
        <v>30.9</v>
      </c>
      <c r="P9" s="61">
        <v>15.8</v>
      </c>
      <c r="Q9" s="61">
        <v>5.6</v>
      </c>
      <c r="R9" s="61">
        <v>2</v>
      </c>
      <c r="S9" s="61">
        <v>61</v>
      </c>
      <c r="T9" s="61">
        <v>8.5000000000000006E-2</v>
      </c>
      <c r="U9" s="61">
        <v>0.6</v>
      </c>
      <c r="V9" s="61">
        <v>22.4</v>
      </c>
      <c r="X9" s="56" t="s">
        <v>308</v>
      </c>
    </row>
    <row r="10" spans="1:25" ht="15" hidden="1">
      <c r="A10" s="1">
        <v>9</v>
      </c>
      <c r="B10" s="61">
        <v>9</v>
      </c>
      <c r="C10" s="61" t="s">
        <v>25</v>
      </c>
      <c r="D10" s="120" t="s">
        <v>1557</v>
      </c>
      <c r="E10" s="61" t="s">
        <v>1558</v>
      </c>
      <c r="F10" s="61">
        <v>4</v>
      </c>
      <c r="G10" s="61">
        <v>90</v>
      </c>
      <c r="H10" s="61">
        <v>524</v>
      </c>
      <c r="I10" s="61">
        <v>186</v>
      </c>
      <c r="J10" s="61">
        <v>127</v>
      </c>
      <c r="K10" s="61">
        <v>25</v>
      </c>
      <c r="L10" s="61">
        <v>0.49399999999999999</v>
      </c>
      <c r="M10" s="61">
        <v>0</v>
      </c>
      <c r="N10" s="61">
        <v>0.58299999999999996</v>
      </c>
      <c r="O10" s="61">
        <v>5.8</v>
      </c>
      <c r="P10" s="61">
        <v>2.1</v>
      </c>
      <c r="Q10" s="61">
        <v>1.4</v>
      </c>
      <c r="R10" s="61">
        <v>0.3</v>
      </c>
      <c r="S10" s="61">
        <v>0.5</v>
      </c>
      <c r="T10" s="61">
        <v>4.5999999999999999E-2</v>
      </c>
      <c r="U10" s="61">
        <v>-4.5999999999999996</v>
      </c>
      <c r="V10" s="61">
        <v>-0.3</v>
      </c>
      <c r="X10" s="57" t="s">
        <v>111</v>
      </c>
      <c r="Y10" s="116" t="s">
        <v>871</v>
      </c>
    </row>
    <row r="11" spans="1:25" ht="15" hidden="1">
      <c r="A11" s="1">
        <v>10</v>
      </c>
      <c r="B11" s="61">
        <v>10</v>
      </c>
      <c r="C11" s="61" t="s">
        <v>141</v>
      </c>
      <c r="D11" s="120" t="s">
        <v>1559</v>
      </c>
      <c r="E11" s="61"/>
      <c r="F11" s="61">
        <v>3</v>
      </c>
      <c r="G11" s="61">
        <v>47</v>
      </c>
      <c r="H11" s="61">
        <v>260</v>
      </c>
      <c r="I11" s="61">
        <v>103</v>
      </c>
      <c r="J11" s="61">
        <v>75</v>
      </c>
      <c r="K11" s="61">
        <v>1</v>
      </c>
      <c r="L11" s="61">
        <v>0.42699999999999999</v>
      </c>
      <c r="M11" s="61">
        <v>0</v>
      </c>
      <c r="N11" s="61">
        <v>0.58899999999999997</v>
      </c>
      <c r="O11" s="61">
        <v>5.5</v>
      </c>
      <c r="P11" s="61">
        <v>2.2000000000000002</v>
      </c>
      <c r="Q11" s="61">
        <v>1.6</v>
      </c>
      <c r="R11" s="61">
        <v>0</v>
      </c>
      <c r="S11" s="61">
        <v>0.3</v>
      </c>
      <c r="T11" s="61">
        <v>5.1999999999999998E-2</v>
      </c>
      <c r="U11" s="61">
        <v>-5.0999999999999996</v>
      </c>
      <c r="V11" s="61">
        <v>-0.2</v>
      </c>
    </row>
    <row r="12" spans="1:25" ht="15" hidden="1">
      <c r="A12" s="1">
        <v>11</v>
      </c>
      <c r="B12" s="61">
        <v>11</v>
      </c>
      <c r="C12" s="61" t="s">
        <v>179</v>
      </c>
      <c r="D12" s="120" t="s">
        <v>1560</v>
      </c>
      <c r="E12" s="61" t="s">
        <v>171</v>
      </c>
      <c r="F12" s="61">
        <v>15</v>
      </c>
      <c r="G12" s="61">
        <v>940</v>
      </c>
      <c r="H12" s="61">
        <v>23964</v>
      </c>
      <c r="I12" s="61">
        <v>12028</v>
      </c>
      <c r="J12" s="61">
        <v>1903</v>
      </c>
      <c r="K12" s="61">
        <v>1862</v>
      </c>
      <c r="L12" s="61">
        <v>0.44700000000000001</v>
      </c>
      <c r="M12" s="61">
        <v>0.41499999999999998</v>
      </c>
      <c r="N12" s="61">
        <v>0.89200000000000002</v>
      </c>
      <c r="O12" s="61">
        <v>25.5</v>
      </c>
      <c r="P12" s="61">
        <v>12.8</v>
      </c>
      <c r="Q12" s="61">
        <v>2</v>
      </c>
      <c r="R12" s="61">
        <v>2</v>
      </c>
      <c r="S12" s="61">
        <v>63.7</v>
      </c>
      <c r="T12" s="61">
        <v>0.128</v>
      </c>
      <c r="U12" s="61">
        <v>0.6</v>
      </c>
      <c r="V12" s="61">
        <v>16</v>
      </c>
    </row>
    <row r="13" spans="1:25" ht="15" hidden="1">
      <c r="A13" s="1">
        <v>12</v>
      </c>
      <c r="B13" s="61">
        <v>12</v>
      </c>
      <c r="C13" s="61" t="s">
        <v>1436</v>
      </c>
      <c r="D13" s="120" t="s">
        <v>1561</v>
      </c>
      <c r="E13" s="61" t="s">
        <v>300</v>
      </c>
      <c r="F13" s="61">
        <v>6</v>
      </c>
      <c r="G13" s="61">
        <v>292</v>
      </c>
      <c r="H13" s="61">
        <v>3378</v>
      </c>
      <c r="I13" s="61">
        <v>880</v>
      </c>
      <c r="J13" s="61">
        <v>766</v>
      </c>
      <c r="K13" s="61">
        <v>102</v>
      </c>
      <c r="L13" s="61">
        <v>0.501</v>
      </c>
      <c r="M13" s="61">
        <v>0.28599999999999998</v>
      </c>
      <c r="N13" s="61">
        <v>0.58199999999999996</v>
      </c>
      <c r="O13" s="61">
        <v>11.6</v>
      </c>
      <c r="P13" s="61">
        <v>3</v>
      </c>
      <c r="Q13" s="61">
        <v>2.6</v>
      </c>
      <c r="R13" s="61">
        <v>0.3</v>
      </c>
      <c r="S13" s="61">
        <v>3.9</v>
      </c>
      <c r="T13" s="61">
        <v>5.5E-2</v>
      </c>
      <c r="U13" s="61">
        <v>-4.0999999999999996</v>
      </c>
      <c r="V13" s="61">
        <v>-1.8</v>
      </c>
    </row>
    <row r="14" spans="1:25" ht="15" hidden="1">
      <c r="A14" s="1">
        <v>13</v>
      </c>
      <c r="B14" s="61">
        <v>13</v>
      </c>
      <c r="C14" s="61" t="s">
        <v>66</v>
      </c>
      <c r="D14" s="120" t="s">
        <v>1562</v>
      </c>
      <c r="E14" s="61"/>
      <c r="F14" s="61">
        <v>14</v>
      </c>
      <c r="G14" s="61">
        <v>869</v>
      </c>
      <c r="H14" s="61">
        <v>19062</v>
      </c>
      <c r="I14" s="61">
        <v>4994</v>
      </c>
      <c r="J14" s="61">
        <v>3252</v>
      </c>
      <c r="K14" s="61">
        <v>1196</v>
      </c>
      <c r="L14" s="61">
        <v>0.44900000000000001</v>
      </c>
      <c r="M14" s="61">
        <v>0.34899999999999998</v>
      </c>
      <c r="N14" s="61">
        <v>0.73199999999999998</v>
      </c>
      <c r="O14" s="61">
        <v>21.9</v>
      </c>
      <c r="P14" s="61">
        <v>5.7</v>
      </c>
      <c r="Q14" s="61">
        <v>3.7</v>
      </c>
      <c r="R14" s="61">
        <v>1.4</v>
      </c>
      <c r="S14" s="61">
        <v>39.299999999999997</v>
      </c>
      <c r="T14" s="61">
        <v>9.9000000000000005E-2</v>
      </c>
      <c r="U14" s="61">
        <v>0.6</v>
      </c>
      <c r="V14" s="61">
        <v>12.4</v>
      </c>
    </row>
    <row r="15" spans="1:25" ht="15" hidden="1">
      <c r="A15" s="1">
        <v>14</v>
      </c>
      <c r="B15" s="61">
        <v>14</v>
      </c>
      <c r="C15" s="61" t="s">
        <v>193</v>
      </c>
      <c r="D15" s="120" t="s">
        <v>1563</v>
      </c>
      <c r="E15" s="61" t="s">
        <v>84</v>
      </c>
      <c r="F15" s="61">
        <v>8</v>
      </c>
      <c r="G15" s="61">
        <v>502</v>
      </c>
      <c r="H15" s="61">
        <v>11539</v>
      </c>
      <c r="I15" s="61">
        <v>3940</v>
      </c>
      <c r="J15" s="61">
        <v>1427</v>
      </c>
      <c r="K15" s="61">
        <v>828</v>
      </c>
      <c r="L15" s="61">
        <v>0.49</v>
      </c>
      <c r="M15" s="61">
        <v>0.254</v>
      </c>
      <c r="N15" s="61">
        <v>0.67500000000000004</v>
      </c>
      <c r="O15" s="61">
        <v>23</v>
      </c>
      <c r="P15" s="61">
        <v>7.8</v>
      </c>
      <c r="Q15" s="61">
        <v>2.8</v>
      </c>
      <c r="R15" s="61">
        <v>1.6</v>
      </c>
      <c r="S15" s="61">
        <v>30.4</v>
      </c>
      <c r="T15" s="61">
        <v>0.127</v>
      </c>
      <c r="U15" s="61">
        <v>1.6</v>
      </c>
      <c r="V15" s="61">
        <v>10.6</v>
      </c>
    </row>
    <row r="16" spans="1:25" ht="15" hidden="1">
      <c r="A16" s="1">
        <v>15</v>
      </c>
      <c r="B16" s="61">
        <v>15</v>
      </c>
      <c r="C16" s="61" t="s">
        <v>1436</v>
      </c>
      <c r="D16" s="120" t="s">
        <v>1564</v>
      </c>
      <c r="E16" s="61" t="s">
        <v>798</v>
      </c>
      <c r="F16" s="61">
        <v>3</v>
      </c>
      <c r="G16" s="61">
        <v>75</v>
      </c>
      <c r="H16" s="61">
        <v>705</v>
      </c>
      <c r="I16" s="61">
        <v>163</v>
      </c>
      <c r="J16" s="61">
        <v>141</v>
      </c>
      <c r="K16" s="61">
        <v>14</v>
      </c>
      <c r="L16" s="61">
        <v>0.40899999999999997</v>
      </c>
      <c r="M16" s="61">
        <v>0</v>
      </c>
      <c r="N16" s="61">
        <v>0.39</v>
      </c>
      <c r="O16" s="61">
        <v>9.4</v>
      </c>
      <c r="P16" s="61">
        <v>2.2000000000000002</v>
      </c>
      <c r="Q16" s="61">
        <v>1.9</v>
      </c>
      <c r="R16" s="61">
        <v>0.2</v>
      </c>
      <c r="S16" s="61">
        <v>0.1</v>
      </c>
      <c r="T16" s="61">
        <v>5.0000000000000001E-3</v>
      </c>
      <c r="U16" s="61">
        <v>-5</v>
      </c>
      <c r="V16" s="61">
        <v>-0.5</v>
      </c>
    </row>
    <row r="17" spans="1:22" ht="15" hidden="1">
      <c r="A17" s="1">
        <v>16</v>
      </c>
      <c r="B17" s="61">
        <v>16</v>
      </c>
      <c r="C17" s="61" t="s">
        <v>99</v>
      </c>
      <c r="D17" s="120" t="s">
        <v>1565</v>
      </c>
      <c r="E17" s="61" t="s">
        <v>126</v>
      </c>
      <c r="F17" s="61">
        <v>5</v>
      </c>
      <c r="G17" s="61">
        <v>299</v>
      </c>
      <c r="H17" s="61">
        <v>4600</v>
      </c>
      <c r="I17" s="61">
        <v>1778</v>
      </c>
      <c r="J17" s="61">
        <v>588</v>
      </c>
      <c r="K17" s="61">
        <v>132</v>
      </c>
      <c r="L17" s="61">
        <v>0.42199999999999999</v>
      </c>
      <c r="M17" s="61">
        <v>0.33800000000000002</v>
      </c>
      <c r="N17" s="61">
        <v>0.70399999999999996</v>
      </c>
      <c r="O17" s="61">
        <v>15.4</v>
      </c>
      <c r="P17" s="61">
        <v>5.9</v>
      </c>
      <c r="Q17" s="61">
        <v>2</v>
      </c>
      <c r="R17" s="61">
        <v>0.4</v>
      </c>
      <c r="S17" s="61">
        <v>6.2</v>
      </c>
      <c r="T17" s="61">
        <v>6.4000000000000001E-2</v>
      </c>
      <c r="U17" s="61">
        <v>-1.6</v>
      </c>
      <c r="V17" s="61">
        <v>0.5</v>
      </c>
    </row>
    <row r="18" spans="1:22" ht="15" hidden="1">
      <c r="A18" s="1">
        <v>17</v>
      </c>
      <c r="B18" s="61">
        <v>17</v>
      </c>
      <c r="C18" s="61" t="s">
        <v>41</v>
      </c>
      <c r="D18" s="120" t="s">
        <v>1566</v>
      </c>
      <c r="E18" s="61" t="s">
        <v>126</v>
      </c>
      <c r="F18" s="61">
        <v>7</v>
      </c>
      <c r="G18" s="61">
        <v>314</v>
      </c>
      <c r="H18" s="61">
        <v>5368</v>
      </c>
      <c r="I18" s="61">
        <v>1769</v>
      </c>
      <c r="J18" s="61">
        <v>945</v>
      </c>
      <c r="K18" s="61">
        <v>220</v>
      </c>
      <c r="L18" s="61">
        <v>0.40300000000000002</v>
      </c>
      <c r="M18" s="61">
        <v>0.33900000000000002</v>
      </c>
      <c r="N18" s="61">
        <v>0.755</v>
      </c>
      <c r="O18" s="61">
        <v>17.100000000000001</v>
      </c>
      <c r="P18" s="61">
        <v>5.6</v>
      </c>
      <c r="Q18" s="61">
        <v>3</v>
      </c>
      <c r="R18" s="61">
        <v>0.7</v>
      </c>
      <c r="S18" s="61">
        <v>6.7</v>
      </c>
      <c r="T18" s="61">
        <v>0.06</v>
      </c>
      <c r="U18" s="61">
        <v>-2.2000000000000002</v>
      </c>
      <c r="V18" s="61">
        <v>-0.3</v>
      </c>
    </row>
    <row r="19" spans="1:22" ht="15" hidden="1">
      <c r="A19" s="1">
        <v>18</v>
      </c>
      <c r="B19" s="61">
        <v>18</v>
      </c>
      <c r="C19" s="61" t="s">
        <v>69</v>
      </c>
      <c r="D19" s="120" t="s">
        <v>1567</v>
      </c>
      <c r="E19" s="61"/>
      <c r="F19" s="61">
        <v>3</v>
      </c>
      <c r="G19" s="61">
        <v>111</v>
      </c>
      <c r="H19" s="61">
        <v>1044</v>
      </c>
      <c r="I19" s="61">
        <v>438</v>
      </c>
      <c r="J19" s="61">
        <v>266</v>
      </c>
      <c r="K19" s="61">
        <v>20</v>
      </c>
      <c r="L19" s="61">
        <v>0.38600000000000001</v>
      </c>
      <c r="M19" s="61">
        <v>0.28999999999999998</v>
      </c>
      <c r="N19" s="61">
        <v>0.79300000000000004</v>
      </c>
      <c r="O19" s="61">
        <v>9.4</v>
      </c>
      <c r="P19" s="61">
        <v>3.9</v>
      </c>
      <c r="Q19" s="61">
        <v>2.4</v>
      </c>
      <c r="R19" s="61">
        <v>0.2</v>
      </c>
      <c r="S19" s="61">
        <v>0.5</v>
      </c>
      <c r="T19" s="61">
        <v>2.5000000000000001E-2</v>
      </c>
      <c r="U19" s="61">
        <v>-4.8</v>
      </c>
      <c r="V19" s="61">
        <v>-0.7</v>
      </c>
    </row>
    <row r="20" spans="1:22" ht="15" hidden="1">
      <c r="A20" s="1">
        <v>19</v>
      </c>
      <c r="B20" s="61">
        <v>19</v>
      </c>
      <c r="C20" s="61" t="s">
        <v>36</v>
      </c>
      <c r="D20" s="120" t="s">
        <v>1568</v>
      </c>
      <c r="E20" s="61" t="s">
        <v>1353</v>
      </c>
      <c r="F20" s="61">
        <v>3</v>
      </c>
      <c r="G20" s="61">
        <v>143</v>
      </c>
      <c r="H20" s="61">
        <v>1535</v>
      </c>
      <c r="I20" s="61">
        <v>588</v>
      </c>
      <c r="J20" s="61">
        <v>152</v>
      </c>
      <c r="K20" s="61">
        <v>93</v>
      </c>
      <c r="L20" s="61">
        <v>0.38900000000000001</v>
      </c>
      <c r="M20" s="61">
        <v>0.312</v>
      </c>
      <c r="N20" s="61">
        <v>0.88400000000000001</v>
      </c>
      <c r="O20" s="61">
        <v>10.7</v>
      </c>
      <c r="P20" s="61">
        <v>4.0999999999999996</v>
      </c>
      <c r="Q20" s="61">
        <v>1.1000000000000001</v>
      </c>
      <c r="R20" s="61">
        <v>0.7</v>
      </c>
      <c r="S20" s="61">
        <v>0</v>
      </c>
      <c r="T20" s="61">
        <v>0</v>
      </c>
      <c r="U20" s="61">
        <v>-3.5</v>
      </c>
      <c r="V20" s="61">
        <v>-0.6</v>
      </c>
    </row>
    <row r="21" spans="1:22" ht="15" hidden="1">
      <c r="A21" s="1">
        <v>20</v>
      </c>
      <c r="B21" s="61">
        <v>20</v>
      </c>
      <c r="C21" s="61" t="s">
        <v>50</v>
      </c>
      <c r="D21" s="120" t="s">
        <v>1569</v>
      </c>
      <c r="E21" s="61" t="s">
        <v>425</v>
      </c>
      <c r="F21" s="61">
        <v>6</v>
      </c>
      <c r="G21" s="61">
        <v>221</v>
      </c>
      <c r="H21" s="61">
        <v>3064</v>
      </c>
      <c r="I21" s="61">
        <v>894</v>
      </c>
      <c r="J21" s="61">
        <v>769</v>
      </c>
      <c r="K21" s="61">
        <v>132</v>
      </c>
      <c r="L21" s="61">
        <v>0.51</v>
      </c>
      <c r="M21" s="61">
        <v>0.17199999999999999</v>
      </c>
      <c r="N21" s="61">
        <v>0.54200000000000004</v>
      </c>
      <c r="O21" s="61">
        <v>13.9</v>
      </c>
      <c r="P21" s="61">
        <v>4</v>
      </c>
      <c r="Q21" s="61">
        <v>3.5</v>
      </c>
      <c r="R21" s="61">
        <v>0.6</v>
      </c>
      <c r="S21" s="61">
        <v>7.2</v>
      </c>
      <c r="T21" s="61">
        <v>0.113</v>
      </c>
      <c r="U21" s="61">
        <v>0.1</v>
      </c>
      <c r="V21" s="61">
        <v>1.6</v>
      </c>
    </row>
    <row r="22" spans="1:22" ht="15" hidden="1">
      <c r="A22" s="1">
        <v>21</v>
      </c>
      <c r="B22" s="61">
        <v>21</v>
      </c>
      <c r="C22" s="61" t="s">
        <v>323</v>
      </c>
      <c r="D22" s="120" t="s">
        <v>1570</v>
      </c>
      <c r="E22" s="61" t="s">
        <v>173</v>
      </c>
      <c r="F22" s="61">
        <v>16</v>
      </c>
      <c r="G22" s="61">
        <v>957</v>
      </c>
      <c r="H22" s="61">
        <v>28571</v>
      </c>
      <c r="I22" s="61">
        <v>9337</v>
      </c>
      <c r="J22" s="61">
        <v>4349</v>
      </c>
      <c r="K22" s="61">
        <v>7584</v>
      </c>
      <c r="L22" s="61">
        <v>0.45600000000000002</v>
      </c>
      <c r="M22" s="61">
        <v>0.32400000000000001</v>
      </c>
      <c r="N22" s="61">
        <v>0.61099999999999999</v>
      </c>
      <c r="O22" s="61">
        <v>29.9</v>
      </c>
      <c r="P22" s="61">
        <v>9.8000000000000007</v>
      </c>
      <c r="Q22" s="61">
        <v>4.5</v>
      </c>
      <c r="R22" s="61">
        <v>7.9</v>
      </c>
      <c r="S22" s="61">
        <v>61.8</v>
      </c>
      <c r="T22" s="61">
        <v>0.104</v>
      </c>
      <c r="U22" s="61">
        <v>1.2</v>
      </c>
      <c r="V22" s="61">
        <v>23.2</v>
      </c>
    </row>
    <row r="23" spans="1:22" ht="15" hidden="1">
      <c r="A23" s="1">
        <v>22</v>
      </c>
      <c r="B23" s="61">
        <v>22</v>
      </c>
      <c r="C23" s="61" t="s">
        <v>1214</v>
      </c>
      <c r="D23" s="120" t="s">
        <v>1471</v>
      </c>
      <c r="E23" s="61" t="s">
        <v>300</v>
      </c>
      <c r="F23" s="61">
        <v>4</v>
      </c>
      <c r="G23" s="61">
        <v>203</v>
      </c>
      <c r="H23" s="61">
        <v>3095</v>
      </c>
      <c r="I23" s="61">
        <v>1128</v>
      </c>
      <c r="J23" s="61">
        <v>361</v>
      </c>
      <c r="K23" s="61">
        <v>574</v>
      </c>
      <c r="L23" s="61">
        <v>0.38600000000000001</v>
      </c>
      <c r="M23" s="61">
        <v>0.32100000000000001</v>
      </c>
      <c r="N23" s="61">
        <v>0.76700000000000002</v>
      </c>
      <c r="O23" s="61">
        <v>15.2</v>
      </c>
      <c r="P23" s="61">
        <v>5.6</v>
      </c>
      <c r="Q23" s="61">
        <v>1.8</v>
      </c>
      <c r="R23" s="61">
        <v>2.8</v>
      </c>
      <c r="S23" s="61">
        <v>0</v>
      </c>
      <c r="T23" s="61">
        <v>-1E-3</v>
      </c>
      <c r="U23" s="61">
        <v>-3.3</v>
      </c>
      <c r="V23" s="61">
        <v>-1</v>
      </c>
    </row>
    <row r="24" spans="1:22" ht="15" hidden="1">
      <c r="A24" s="1">
        <v>23</v>
      </c>
      <c r="B24" s="61">
        <v>23</v>
      </c>
      <c r="C24" s="61" t="s">
        <v>1214</v>
      </c>
      <c r="D24" s="120" t="s">
        <v>1571</v>
      </c>
      <c r="E24" s="61" t="s">
        <v>300</v>
      </c>
      <c r="F24" s="61">
        <v>4</v>
      </c>
      <c r="G24" s="61">
        <v>256</v>
      </c>
      <c r="H24" s="61">
        <v>4482</v>
      </c>
      <c r="I24" s="61">
        <v>1340</v>
      </c>
      <c r="J24" s="61">
        <v>1258</v>
      </c>
      <c r="K24" s="61">
        <v>125</v>
      </c>
      <c r="L24" s="61">
        <v>0.54400000000000004</v>
      </c>
      <c r="M24" s="61">
        <v>0</v>
      </c>
      <c r="N24" s="61">
        <v>0.44500000000000001</v>
      </c>
      <c r="O24" s="61">
        <v>17.5</v>
      </c>
      <c r="P24" s="61">
        <v>5.2</v>
      </c>
      <c r="Q24" s="61">
        <v>4.9000000000000004</v>
      </c>
      <c r="R24" s="61">
        <v>0.5</v>
      </c>
      <c r="S24" s="61">
        <v>9.1</v>
      </c>
      <c r="T24" s="61">
        <v>9.7000000000000003E-2</v>
      </c>
      <c r="U24" s="61">
        <v>-2</v>
      </c>
      <c r="V24" s="61">
        <v>0</v>
      </c>
    </row>
    <row r="25" spans="1:22" ht="15" hidden="1">
      <c r="A25" s="1">
        <v>24</v>
      </c>
      <c r="B25" s="61">
        <v>24</v>
      </c>
      <c r="C25" s="61" t="s">
        <v>152</v>
      </c>
      <c r="D25" s="120" t="s">
        <v>1572</v>
      </c>
      <c r="E25" s="61" t="s">
        <v>22</v>
      </c>
      <c r="F25" s="61">
        <v>19</v>
      </c>
      <c r="G25" s="61">
        <v>1171</v>
      </c>
      <c r="H25" s="61">
        <v>36644</v>
      </c>
      <c r="I25" s="61">
        <v>16351</v>
      </c>
      <c r="J25" s="61">
        <v>4959</v>
      </c>
      <c r="K25" s="61">
        <v>7096</v>
      </c>
      <c r="L25" s="61">
        <v>0.42299999999999999</v>
      </c>
      <c r="M25" s="61">
        <v>0.36799999999999999</v>
      </c>
      <c r="N25" s="61">
        <v>0.81499999999999995</v>
      </c>
      <c r="O25" s="61">
        <v>31.3</v>
      </c>
      <c r="P25" s="61">
        <v>14</v>
      </c>
      <c r="Q25" s="61">
        <v>4.2</v>
      </c>
      <c r="R25" s="61">
        <v>6.1</v>
      </c>
      <c r="S25" s="61">
        <v>112.7</v>
      </c>
      <c r="T25" s="61">
        <v>0.14799999999999999</v>
      </c>
      <c r="U25" s="61">
        <v>2.7</v>
      </c>
      <c r="V25" s="61">
        <v>43.4</v>
      </c>
    </row>
    <row r="26" spans="1:22" ht="15" hidden="1">
      <c r="A26" s="1">
        <v>25</v>
      </c>
      <c r="B26" s="61">
        <v>25</v>
      </c>
      <c r="C26" s="61" t="s">
        <v>76</v>
      </c>
      <c r="D26" s="61" t="s">
        <v>1573</v>
      </c>
      <c r="E26" s="61" t="s">
        <v>27</v>
      </c>
      <c r="F26" s="61">
        <v>9</v>
      </c>
      <c r="G26" s="61">
        <v>408</v>
      </c>
      <c r="H26" s="61">
        <v>7329</v>
      </c>
      <c r="I26" s="61">
        <v>3118</v>
      </c>
      <c r="J26" s="61">
        <v>760</v>
      </c>
      <c r="K26" s="61">
        <v>458</v>
      </c>
      <c r="L26" s="61">
        <v>0.42</v>
      </c>
      <c r="M26" s="61">
        <v>0.33200000000000002</v>
      </c>
      <c r="N26" s="61">
        <v>0.80700000000000005</v>
      </c>
      <c r="O26" s="61">
        <v>18</v>
      </c>
      <c r="P26" s="61">
        <v>7.6</v>
      </c>
      <c r="Q26" s="61">
        <v>1.9</v>
      </c>
      <c r="R26" s="61">
        <v>1.1000000000000001</v>
      </c>
      <c r="S26" s="61">
        <v>9.1999999999999993</v>
      </c>
      <c r="T26" s="61">
        <v>0.06</v>
      </c>
      <c r="U26" s="61">
        <v>-1.5</v>
      </c>
      <c r="V26" s="61">
        <v>1</v>
      </c>
    </row>
    <row r="27" spans="1:22" ht="15" hidden="1">
      <c r="A27" s="1">
        <v>26</v>
      </c>
      <c r="B27" s="61">
        <v>26</v>
      </c>
      <c r="C27" s="61" t="s">
        <v>31</v>
      </c>
      <c r="D27" s="61" t="s">
        <v>1574</v>
      </c>
      <c r="E27" s="61" t="s">
        <v>63</v>
      </c>
      <c r="F27" s="61">
        <v>10</v>
      </c>
      <c r="G27" s="61">
        <v>504</v>
      </c>
      <c r="H27" s="61">
        <v>9840</v>
      </c>
      <c r="I27" s="61">
        <v>3888</v>
      </c>
      <c r="J27" s="61">
        <v>958</v>
      </c>
      <c r="K27" s="61">
        <v>1453</v>
      </c>
      <c r="L27" s="61">
        <v>0.42299999999999999</v>
      </c>
      <c r="M27" s="61">
        <v>0.374</v>
      </c>
      <c r="N27" s="61">
        <v>0.73899999999999999</v>
      </c>
      <c r="O27" s="61">
        <v>19.5</v>
      </c>
      <c r="P27" s="61">
        <v>7.7</v>
      </c>
      <c r="Q27" s="61">
        <v>1.9</v>
      </c>
      <c r="R27" s="61">
        <v>2.9</v>
      </c>
      <c r="S27" s="61">
        <v>13.9</v>
      </c>
      <c r="T27" s="61">
        <v>6.8000000000000005E-2</v>
      </c>
      <c r="U27" s="61">
        <v>-0.5</v>
      </c>
      <c r="V27" s="61">
        <v>3.7</v>
      </c>
    </row>
    <row r="28" spans="1:22" ht="15" hidden="1">
      <c r="A28" s="1">
        <v>27</v>
      </c>
      <c r="B28" s="61">
        <v>27</v>
      </c>
      <c r="C28" s="61" t="s">
        <v>323</v>
      </c>
      <c r="D28" s="61" t="s">
        <v>1575</v>
      </c>
      <c r="E28" s="61"/>
      <c r="F28" s="61">
        <v>5</v>
      </c>
      <c r="G28" s="61">
        <v>353</v>
      </c>
      <c r="H28" s="61">
        <v>5281</v>
      </c>
      <c r="I28" s="61">
        <v>1747</v>
      </c>
      <c r="J28" s="61">
        <v>525</v>
      </c>
      <c r="K28" s="61">
        <v>1183</v>
      </c>
      <c r="L28" s="61">
        <v>0.40899999999999997</v>
      </c>
      <c r="M28" s="61">
        <v>0.33700000000000002</v>
      </c>
      <c r="N28" s="61">
        <v>0.73899999999999999</v>
      </c>
      <c r="O28" s="61">
        <v>15</v>
      </c>
      <c r="P28" s="61">
        <v>4.9000000000000004</v>
      </c>
      <c r="Q28" s="61">
        <v>1.5</v>
      </c>
      <c r="R28" s="61">
        <v>3.4</v>
      </c>
      <c r="S28" s="61">
        <v>4.3</v>
      </c>
      <c r="T28" s="61">
        <v>3.9E-2</v>
      </c>
      <c r="U28" s="61">
        <v>-2</v>
      </c>
      <c r="V28" s="61">
        <v>0.1</v>
      </c>
    </row>
    <row r="29" spans="1:22" ht="15" hidden="1">
      <c r="A29" s="1">
        <v>28</v>
      </c>
      <c r="B29" s="61">
        <v>28</v>
      </c>
      <c r="C29" s="61" t="s">
        <v>20</v>
      </c>
      <c r="D29" s="120" t="s">
        <v>1576</v>
      </c>
      <c r="E29" s="61" t="s">
        <v>27</v>
      </c>
      <c r="F29" s="61">
        <v>4</v>
      </c>
      <c r="G29" s="61">
        <v>82</v>
      </c>
      <c r="H29" s="61">
        <v>505</v>
      </c>
      <c r="I29" s="61">
        <v>169</v>
      </c>
      <c r="J29" s="61">
        <v>46</v>
      </c>
      <c r="K29" s="61">
        <v>19</v>
      </c>
      <c r="L29" s="61">
        <v>0.33900000000000002</v>
      </c>
      <c r="M29" s="61">
        <v>0.25</v>
      </c>
      <c r="N29" s="61">
        <v>0.56599999999999995</v>
      </c>
      <c r="O29" s="61">
        <v>6.2</v>
      </c>
      <c r="P29" s="61">
        <v>2.1</v>
      </c>
      <c r="Q29" s="61">
        <v>0.6</v>
      </c>
      <c r="R29" s="61">
        <v>0.2</v>
      </c>
      <c r="S29" s="61">
        <v>-0.9</v>
      </c>
      <c r="T29" s="61">
        <v>-8.8999999999999996E-2</v>
      </c>
      <c r="U29" s="61">
        <v>-9.4</v>
      </c>
      <c r="V29" s="61">
        <v>-0.9</v>
      </c>
    </row>
    <row r="30" spans="1:22" ht="15" hidden="1">
      <c r="A30" s="1">
        <v>29</v>
      </c>
      <c r="B30" s="61">
        <v>29</v>
      </c>
      <c r="C30" s="61" t="s">
        <v>50</v>
      </c>
      <c r="D30" s="61" t="s">
        <v>1577</v>
      </c>
      <c r="E30" s="61" t="s">
        <v>1281</v>
      </c>
      <c r="F30" s="61">
        <v>4</v>
      </c>
      <c r="G30" s="61">
        <v>189</v>
      </c>
      <c r="H30" s="61">
        <v>2771</v>
      </c>
      <c r="I30" s="61">
        <v>742</v>
      </c>
      <c r="J30" s="61">
        <v>336</v>
      </c>
      <c r="K30" s="61">
        <v>327</v>
      </c>
      <c r="L30" s="61">
        <v>0.38</v>
      </c>
      <c r="M30" s="61">
        <v>0.29899999999999999</v>
      </c>
      <c r="N30" s="61">
        <v>0.59899999999999998</v>
      </c>
      <c r="O30" s="61">
        <v>14.7</v>
      </c>
      <c r="P30" s="61">
        <v>3.9</v>
      </c>
      <c r="Q30" s="61">
        <v>1.8</v>
      </c>
      <c r="R30" s="61">
        <v>1.7</v>
      </c>
      <c r="S30" s="61">
        <v>-1.6</v>
      </c>
      <c r="T30" s="61">
        <v>-2.7E-2</v>
      </c>
      <c r="U30" s="61">
        <v>-4.4000000000000004</v>
      </c>
      <c r="V30" s="61">
        <v>-1.7</v>
      </c>
    </row>
    <row r="31" spans="1:22" ht="15" hidden="1">
      <c r="A31" s="1">
        <v>30</v>
      </c>
      <c r="B31" s="61">
        <v>30</v>
      </c>
      <c r="C31" s="61" t="s">
        <v>124</v>
      </c>
      <c r="D31" s="61" t="s">
        <v>1578</v>
      </c>
      <c r="E31" s="61"/>
      <c r="F31" s="61">
        <v>3</v>
      </c>
      <c r="G31" s="61">
        <v>151</v>
      </c>
      <c r="H31" s="61">
        <v>1821</v>
      </c>
      <c r="I31" s="61">
        <v>477</v>
      </c>
      <c r="J31" s="61">
        <v>518</v>
      </c>
      <c r="K31" s="61">
        <v>65</v>
      </c>
      <c r="L31" s="61">
        <v>0.45900000000000002</v>
      </c>
      <c r="M31" s="61">
        <v>0</v>
      </c>
      <c r="N31" s="61">
        <v>0.72799999999999998</v>
      </c>
      <c r="O31" s="61">
        <v>12.1</v>
      </c>
      <c r="P31" s="61">
        <v>3.2</v>
      </c>
      <c r="Q31" s="61">
        <v>3.4</v>
      </c>
      <c r="R31" s="61">
        <v>0.4</v>
      </c>
      <c r="S31" s="61">
        <v>3.2</v>
      </c>
      <c r="T31" s="61">
        <v>8.4000000000000005E-2</v>
      </c>
      <c r="U31" s="61">
        <v>-3.3</v>
      </c>
      <c r="V31" s="61">
        <v>-0.6</v>
      </c>
    </row>
    <row r="32" spans="1:22" s="118" customFormat="1" hidden="1">
      <c r="A32" s="68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</row>
    <row r="33" spans="1:22" ht="15">
      <c r="A33" s="1">
        <v>31</v>
      </c>
      <c r="B33" s="61">
        <v>31</v>
      </c>
      <c r="C33" s="61" t="s">
        <v>124</v>
      </c>
      <c r="D33" s="66" t="s">
        <v>1579</v>
      </c>
      <c r="E33" s="61" t="s">
        <v>131</v>
      </c>
      <c r="F33" s="61">
        <v>3</v>
      </c>
      <c r="G33" s="61">
        <v>67</v>
      </c>
      <c r="H33" s="61">
        <v>583</v>
      </c>
      <c r="I33" s="61">
        <v>182</v>
      </c>
      <c r="J33" s="61">
        <v>68</v>
      </c>
      <c r="K33" s="61">
        <v>35</v>
      </c>
      <c r="L33" s="61">
        <v>0.438</v>
      </c>
      <c r="M33" s="61">
        <v>0.34</v>
      </c>
      <c r="N33" s="61">
        <v>0.67600000000000005</v>
      </c>
      <c r="O33" s="61">
        <v>8.6999999999999993</v>
      </c>
      <c r="P33" s="61">
        <v>2.7</v>
      </c>
      <c r="Q33" s="61">
        <v>1</v>
      </c>
      <c r="R33" s="61">
        <v>0.5</v>
      </c>
      <c r="S33" s="61">
        <v>0.8</v>
      </c>
      <c r="T33" s="61">
        <v>6.2E-2</v>
      </c>
      <c r="U33" s="61">
        <v>-3.2</v>
      </c>
      <c r="V33" s="61">
        <v>-0.2</v>
      </c>
    </row>
    <row r="34" spans="1:22" ht="15">
      <c r="A34" s="1">
        <v>32</v>
      </c>
      <c r="B34" s="61">
        <v>32</v>
      </c>
      <c r="C34" s="61" t="s">
        <v>52</v>
      </c>
      <c r="D34" s="61" t="s">
        <v>1580</v>
      </c>
      <c r="E34" s="61" t="s">
        <v>123</v>
      </c>
      <c r="F34" s="61">
        <v>11</v>
      </c>
      <c r="G34" s="61">
        <v>467</v>
      </c>
      <c r="H34" s="61">
        <v>5657</v>
      </c>
      <c r="I34" s="61">
        <v>2177</v>
      </c>
      <c r="J34" s="61">
        <v>591</v>
      </c>
      <c r="K34" s="61">
        <v>132</v>
      </c>
      <c r="L34" s="61">
        <v>0.437</v>
      </c>
      <c r="M34" s="61">
        <v>0.43</v>
      </c>
      <c r="N34" s="61">
        <v>0.877</v>
      </c>
      <c r="O34" s="61">
        <v>12.1</v>
      </c>
      <c r="P34" s="61">
        <v>4.7</v>
      </c>
      <c r="Q34" s="61">
        <v>1.3</v>
      </c>
      <c r="R34" s="61">
        <v>0.3</v>
      </c>
      <c r="S34" s="61">
        <v>14.5</v>
      </c>
      <c r="T34" s="61">
        <v>0.123</v>
      </c>
      <c r="U34" s="61">
        <v>0.8</v>
      </c>
      <c r="V34" s="61">
        <v>4</v>
      </c>
    </row>
    <row r="35" spans="1:22" ht="15">
      <c r="A35" s="1">
        <v>33</v>
      </c>
      <c r="B35" s="61">
        <v>33</v>
      </c>
      <c r="C35" s="61" t="s">
        <v>184</v>
      </c>
      <c r="D35" s="61" t="s">
        <v>1581</v>
      </c>
      <c r="E35" s="61" t="s">
        <v>1322</v>
      </c>
      <c r="F35" s="61">
        <v>8</v>
      </c>
      <c r="G35" s="61">
        <v>281</v>
      </c>
      <c r="H35" s="61">
        <v>3092</v>
      </c>
      <c r="I35" s="61">
        <v>839</v>
      </c>
      <c r="J35" s="61">
        <v>654</v>
      </c>
      <c r="K35" s="61">
        <v>99</v>
      </c>
      <c r="L35" s="61">
        <v>0.46700000000000003</v>
      </c>
      <c r="M35" s="61">
        <v>0.111</v>
      </c>
      <c r="N35" s="61">
        <v>0.71699999999999997</v>
      </c>
      <c r="O35" s="61">
        <v>11</v>
      </c>
      <c r="P35" s="61">
        <v>3</v>
      </c>
      <c r="Q35" s="61">
        <v>2.2999999999999998</v>
      </c>
      <c r="R35" s="61">
        <v>0.4</v>
      </c>
      <c r="S35" s="61">
        <v>5</v>
      </c>
      <c r="T35" s="61">
        <v>7.8E-2</v>
      </c>
      <c r="U35" s="61">
        <v>-4</v>
      </c>
      <c r="V35" s="61">
        <v>-1.6</v>
      </c>
    </row>
    <row r="36" spans="1:22" ht="15">
      <c r="A36" s="1">
        <v>34</v>
      </c>
      <c r="B36" s="61">
        <v>34</v>
      </c>
      <c r="C36" s="61" t="s">
        <v>28</v>
      </c>
      <c r="D36" s="66" t="s">
        <v>1582</v>
      </c>
      <c r="E36" s="61" t="s">
        <v>27</v>
      </c>
      <c r="F36" s="61">
        <v>4</v>
      </c>
      <c r="G36" s="61">
        <v>82</v>
      </c>
      <c r="H36" s="61">
        <v>702</v>
      </c>
      <c r="I36" s="61">
        <v>217</v>
      </c>
      <c r="J36" s="61">
        <v>158</v>
      </c>
      <c r="K36" s="61">
        <v>32</v>
      </c>
      <c r="L36" s="61">
        <v>0.40200000000000002</v>
      </c>
      <c r="M36" s="61">
        <v>0</v>
      </c>
      <c r="N36" s="61">
        <v>0.73199999999999998</v>
      </c>
      <c r="O36" s="61">
        <v>8.6</v>
      </c>
      <c r="P36" s="61">
        <v>2.6</v>
      </c>
      <c r="Q36" s="61">
        <v>1.9</v>
      </c>
      <c r="R36" s="61">
        <v>0.4</v>
      </c>
      <c r="S36" s="61">
        <v>0.5</v>
      </c>
      <c r="T36" s="61">
        <v>3.5000000000000003E-2</v>
      </c>
      <c r="U36" s="61">
        <v>-4.2</v>
      </c>
      <c r="V36" s="61">
        <v>-0.4</v>
      </c>
    </row>
    <row r="37" spans="1:22" ht="15">
      <c r="A37" s="1">
        <v>35</v>
      </c>
      <c r="B37" s="61">
        <v>35</v>
      </c>
      <c r="C37" s="61" t="s">
        <v>163</v>
      </c>
      <c r="D37" s="61" t="s">
        <v>1583</v>
      </c>
      <c r="E37" s="61" t="s">
        <v>530</v>
      </c>
      <c r="F37" s="61">
        <v>13</v>
      </c>
      <c r="G37" s="61">
        <v>883</v>
      </c>
      <c r="H37" s="61">
        <v>24935</v>
      </c>
      <c r="I37" s="61">
        <v>5854</v>
      </c>
      <c r="J37" s="61">
        <v>4770</v>
      </c>
      <c r="K37" s="61">
        <v>1225</v>
      </c>
      <c r="L37" s="61">
        <v>0.42499999999999999</v>
      </c>
      <c r="M37" s="61">
        <v>0.36599999999999999</v>
      </c>
      <c r="N37" s="61">
        <v>0.75</v>
      </c>
      <c r="O37" s="61">
        <v>28.2</v>
      </c>
      <c r="P37" s="61">
        <v>6.6</v>
      </c>
      <c r="Q37" s="61">
        <v>5.4</v>
      </c>
      <c r="R37" s="61">
        <v>1.4</v>
      </c>
      <c r="S37" s="61">
        <v>43.2</v>
      </c>
      <c r="T37" s="61">
        <v>8.3000000000000004E-2</v>
      </c>
      <c r="U37" s="61">
        <v>-1</v>
      </c>
      <c r="V37" s="61">
        <v>6.5</v>
      </c>
    </row>
    <row r="38" spans="1:22" ht="15">
      <c r="A38" s="1">
        <v>36</v>
      </c>
      <c r="B38" s="61">
        <v>36</v>
      </c>
      <c r="C38" s="61" t="s">
        <v>135</v>
      </c>
      <c r="D38" s="61" t="s">
        <v>1584</v>
      </c>
      <c r="E38" s="61" t="s">
        <v>364</v>
      </c>
      <c r="F38" s="61">
        <v>6</v>
      </c>
      <c r="G38" s="61">
        <v>403</v>
      </c>
      <c r="H38" s="61">
        <v>6826</v>
      </c>
      <c r="I38" s="61">
        <v>3080</v>
      </c>
      <c r="J38" s="61">
        <v>1567</v>
      </c>
      <c r="K38" s="61">
        <v>322</v>
      </c>
      <c r="L38" s="61">
        <v>0.55300000000000005</v>
      </c>
      <c r="M38" s="61">
        <v>3.6999999999999998E-2</v>
      </c>
      <c r="N38" s="61">
        <v>0.66100000000000003</v>
      </c>
      <c r="O38" s="61">
        <v>16.899999999999999</v>
      </c>
      <c r="P38" s="61">
        <v>7.6</v>
      </c>
      <c r="Q38" s="61">
        <v>3.9</v>
      </c>
      <c r="R38" s="61">
        <v>0.8</v>
      </c>
      <c r="S38" s="61">
        <v>16</v>
      </c>
      <c r="T38" s="61">
        <v>0.113</v>
      </c>
      <c r="U38" s="61">
        <v>-1.2</v>
      </c>
      <c r="V38" s="61">
        <v>1.4</v>
      </c>
    </row>
    <row r="39" spans="1:22" ht="15">
      <c r="A39" s="1">
        <v>37</v>
      </c>
      <c r="B39" s="61">
        <v>37</v>
      </c>
      <c r="C39" s="61" t="s">
        <v>135</v>
      </c>
      <c r="D39" s="66" t="s">
        <v>1585</v>
      </c>
      <c r="E39" s="61" t="s">
        <v>38</v>
      </c>
      <c r="F39" s="61">
        <v>2</v>
      </c>
      <c r="G39" s="61">
        <v>91</v>
      </c>
      <c r="H39" s="61">
        <v>867</v>
      </c>
      <c r="I39" s="61">
        <v>288</v>
      </c>
      <c r="J39" s="61">
        <v>149</v>
      </c>
      <c r="K39" s="61">
        <v>44</v>
      </c>
      <c r="L39" s="61">
        <v>0.442</v>
      </c>
      <c r="M39" s="61">
        <v>0.30599999999999999</v>
      </c>
      <c r="N39" s="61">
        <v>0.68500000000000005</v>
      </c>
      <c r="O39" s="61">
        <v>9.5</v>
      </c>
      <c r="P39" s="61">
        <v>3.2</v>
      </c>
      <c r="Q39" s="61">
        <v>1.6</v>
      </c>
      <c r="R39" s="61">
        <v>0.5</v>
      </c>
      <c r="S39" s="61">
        <v>1.1000000000000001</v>
      </c>
      <c r="T39" s="61">
        <v>0.06</v>
      </c>
      <c r="U39" s="61">
        <v>-4.0999999999999996</v>
      </c>
      <c r="V39" s="61">
        <v>-0.5</v>
      </c>
    </row>
    <row r="40" spans="1:22" ht="15">
      <c r="A40" s="1">
        <v>38</v>
      </c>
      <c r="B40" s="61">
        <v>38</v>
      </c>
      <c r="C40" s="61" t="s">
        <v>25</v>
      </c>
      <c r="D40" s="66" t="s">
        <v>1586</v>
      </c>
      <c r="E40" s="61"/>
      <c r="F40" s="61">
        <v>1</v>
      </c>
      <c r="G40" s="61">
        <v>7</v>
      </c>
      <c r="H40" s="61">
        <v>38</v>
      </c>
      <c r="I40" s="61">
        <v>10</v>
      </c>
      <c r="J40" s="61">
        <v>13</v>
      </c>
      <c r="K40" s="61">
        <v>1</v>
      </c>
      <c r="L40" s="61">
        <v>0.3</v>
      </c>
      <c r="M40" s="61">
        <v>0</v>
      </c>
      <c r="N40" s="61">
        <v>0.66700000000000004</v>
      </c>
      <c r="O40" s="61">
        <v>5.4</v>
      </c>
      <c r="P40" s="61">
        <v>1.4</v>
      </c>
      <c r="Q40" s="61">
        <v>1.9</v>
      </c>
      <c r="R40" s="61">
        <v>0.1</v>
      </c>
      <c r="S40" s="61">
        <v>0</v>
      </c>
      <c r="T40" s="61">
        <v>0.06</v>
      </c>
      <c r="U40" s="61">
        <v>-5.9</v>
      </c>
      <c r="V40" s="61">
        <v>0</v>
      </c>
    </row>
    <row r="41" spans="1:22" ht="15">
      <c r="A41" s="1">
        <v>39</v>
      </c>
      <c r="B41" s="61">
        <v>39</v>
      </c>
      <c r="C41" s="61" t="s">
        <v>57</v>
      </c>
      <c r="D41" s="66" t="s">
        <v>1587</v>
      </c>
      <c r="E41" s="61" t="s">
        <v>78</v>
      </c>
      <c r="F41" s="61">
        <v>1</v>
      </c>
      <c r="G41" s="61">
        <v>68</v>
      </c>
      <c r="H41" s="61">
        <v>792</v>
      </c>
      <c r="I41" s="61">
        <v>184</v>
      </c>
      <c r="J41" s="61">
        <v>123</v>
      </c>
      <c r="K41" s="61">
        <v>65</v>
      </c>
      <c r="L41" s="61">
        <v>0.36699999999999999</v>
      </c>
      <c r="M41" s="61">
        <v>0.32100000000000001</v>
      </c>
      <c r="N41" s="61">
        <v>0.86</v>
      </c>
      <c r="O41" s="61">
        <v>11.6</v>
      </c>
      <c r="P41" s="61">
        <v>2.7</v>
      </c>
      <c r="Q41" s="61">
        <v>1.8</v>
      </c>
      <c r="R41" s="61">
        <v>1</v>
      </c>
      <c r="S41" s="61">
        <v>0.4</v>
      </c>
      <c r="T41" s="61">
        <v>2.4E-2</v>
      </c>
      <c r="U41" s="61">
        <v>-3.1</v>
      </c>
      <c r="V41" s="61">
        <v>-0.2</v>
      </c>
    </row>
    <row r="42" spans="1:22" ht="15">
      <c r="A42" s="1">
        <v>40</v>
      </c>
      <c r="B42" s="61">
        <v>40</v>
      </c>
      <c r="C42" s="61" t="s">
        <v>141</v>
      </c>
      <c r="D42" s="66" t="s">
        <v>1588</v>
      </c>
      <c r="E42" s="61" t="s">
        <v>300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</row>
    <row r="43" spans="1:22" ht="15">
      <c r="A43" s="1">
        <v>41</v>
      </c>
      <c r="B43" s="61">
        <v>41</v>
      </c>
      <c r="C43" s="61" t="s">
        <v>179</v>
      </c>
      <c r="D43" s="66" t="s">
        <v>1589</v>
      </c>
      <c r="E43" s="61" t="s">
        <v>158</v>
      </c>
      <c r="F43" s="61">
        <v>2</v>
      </c>
      <c r="G43" s="61">
        <v>27</v>
      </c>
      <c r="H43" s="61">
        <v>156</v>
      </c>
      <c r="I43" s="61">
        <v>42</v>
      </c>
      <c r="J43" s="61">
        <v>33</v>
      </c>
      <c r="K43" s="61">
        <v>4</v>
      </c>
      <c r="L43" s="61">
        <v>0.51400000000000001</v>
      </c>
      <c r="M43" s="61">
        <v>0</v>
      </c>
      <c r="N43" s="61">
        <v>0.5</v>
      </c>
      <c r="O43" s="61">
        <v>5.8</v>
      </c>
      <c r="P43" s="61">
        <v>1.6</v>
      </c>
      <c r="Q43" s="61">
        <v>1.2</v>
      </c>
      <c r="R43" s="61">
        <v>0.1</v>
      </c>
      <c r="S43" s="61">
        <v>0.3</v>
      </c>
      <c r="T43" s="61">
        <v>0.10100000000000001</v>
      </c>
      <c r="U43" s="61">
        <v>-2.7</v>
      </c>
      <c r="V43" s="61">
        <v>0</v>
      </c>
    </row>
    <row r="44" spans="1:22" ht="15">
      <c r="A44" s="1">
        <v>42</v>
      </c>
      <c r="B44" s="61">
        <v>42</v>
      </c>
      <c r="C44" s="61" t="s">
        <v>76</v>
      </c>
      <c r="D44" s="61" t="s">
        <v>1590</v>
      </c>
      <c r="E44" s="61" t="s">
        <v>530</v>
      </c>
      <c r="F44" s="61">
        <v>7</v>
      </c>
      <c r="G44" s="61">
        <v>397</v>
      </c>
      <c r="H44" s="61">
        <v>9316</v>
      </c>
      <c r="I44" s="61">
        <v>3115</v>
      </c>
      <c r="J44" s="61">
        <v>792</v>
      </c>
      <c r="K44" s="61">
        <v>775</v>
      </c>
      <c r="L44" s="61">
        <v>0.40200000000000002</v>
      </c>
      <c r="M44" s="61">
        <v>0.40699999999999997</v>
      </c>
      <c r="N44" s="61">
        <v>0.78</v>
      </c>
      <c r="O44" s="61">
        <v>23.5</v>
      </c>
      <c r="P44" s="61">
        <v>7.8</v>
      </c>
      <c r="Q44" s="61">
        <v>2</v>
      </c>
      <c r="R44" s="61">
        <v>2</v>
      </c>
      <c r="S44" s="61">
        <v>16</v>
      </c>
      <c r="T44" s="61">
        <v>8.2000000000000003E-2</v>
      </c>
      <c r="U44" s="61">
        <v>-1</v>
      </c>
      <c r="V44" s="61">
        <v>2.4</v>
      </c>
    </row>
    <row r="45" spans="1:22" ht="15">
      <c r="A45" s="1">
        <v>43</v>
      </c>
      <c r="B45" s="61">
        <v>43</v>
      </c>
      <c r="C45" s="61" t="s">
        <v>1436</v>
      </c>
      <c r="D45" s="66" t="s">
        <v>1591</v>
      </c>
      <c r="E45" s="61"/>
      <c r="F45" s="61">
        <v>2</v>
      </c>
      <c r="G45" s="61">
        <v>26</v>
      </c>
      <c r="H45" s="61">
        <v>172</v>
      </c>
      <c r="I45" s="61">
        <v>50</v>
      </c>
      <c r="J45" s="61">
        <v>19</v>
      </c>
      <c r="K45" s="61">
        <v>7</v>
      </c>
      <c r="L45" s="61">
        <v>0.45700000000000002</v>
      </c>
      <c r="M45" s="61">
        <v>0.42099999999999999</v>
      </c>
      <c r="N45" s="61">
        <v>0.55600000000000005</v>
      </c>
      <c r="O45" s="61">
        <v>6.6</v>
      </c>
      <c r="P45" s="61">
        <v>1.9</v>
      </c>
      <c r="Q45" s="61">
        <v>0.7</v>
      </c>
      <c r="R45" s="61">
        <v>0.3</v>
      </c>
      <c r="S45" s="61">
        <v>0.2</v>
      </c>
      <c r="T45" s="61">
        <v>5.6000000000000001E-2</v>
      </c>
      <c r="U45" s="61">
        <v>-3</v>
      </c>
      <c r="V45" s="61">
        <v>0</v>
      </c>
    </row>
    <row r="46" spans="1:22" ht="15">
      <c r="A46" s="1">
        <v>44</v>
      </c>
      <c r="B46" s="61">
        <v>44</v>
      </c>
      <c r="C46" s="61" t="s">
        <v>179</v>
      </c>
      <c r="D46" s="66" t="s">
        <v>1592</v>
      </c>
      <c r="E46" s="61"/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</row>
    <row r="47" spans="1:22" ht="15">
      <c r="A47" s="1">
        <v>45</v>
      </c>
      <c r="B47" s="61">
        <v>45</v>
      </c>
      <c r="C47" s="61" t="s">
        <v>41</v>
      </c>
      <c r="D47" s="66" t="s">
        <v>1593</v>
      </c>
      <c r="E47" s="61" t="s">
        <v>182</v>
      </c>
      <c r="F47" s="61">
        <v>2</v>
      </c>
      <c r="G47" s="61">
        <v>102</v>
      </c>
      <c r="H47" s="61">
        <v>1302</v>
      </c>
      <c r="I47" s="61">
        <v>439</v>
      </c>
      <c r="J47" s="61">
        <v>275</v>
      </c>
      <c r="K47" s="61">
        <v>30</v>
      </c>
      <c r="L47" s="61">
        <v>0.51700000000000002</v>
      </c>
      <c r="M47" s="61">
        <v>0</v>
      </c>
      <c r="N47" s="61">
        <v>0.67200000000000004</v>
      </c>
      <c r="O47" s="61">
        <v>12.8</v>
      </c>
      <c r="P47" s="61">
        <v>4.3</v>
      </c>
      <c r="Q47" s="61">
        <v>2.7</v>
      </c>
      <c r="R47" s="61">
        <v>0.3</v>
      </c>
      <c r="S47" s="61">
        <v>1.5</v>
      </c>
      <c r="T47" s="61">
        <v>5.6000000000000001E-2</v>
      </c>
      <c r="U47" s="61">
        <v>-4.5999999999999996</v>
      </c>
      <c r="V47" s="61">
        <v>-0.9</v>
      </c>
    </row>
    <row r="48" spans="1:22" ht="15">
      <c r="A48" s="1">
        <v>46</v>
      </c>
      <c r="B48" s="61">
        <v>46</v>
      </c>
      <c r="C48" s="61" t="s">
        <v>193</v>
      </c>
      <c r="D48" s="66" t="s">
        <v>1594</v>
      </c>
      <c r="E48" s="61" t="s">
        <v>158</v>
      </c>
      <c r="F48" s="61">
        <v>2</v>
      </c>
      <c r="G48" s="61">
        <v>68</v>
      </c>
      <c r="H48" s="61">
        <v>711</v>
      </c>
      <c r="I48" s="61">
        <v>140</v>
      </c>
      <c r="J48" s="61">
        <v>69</v>
      </c>
      <c r="K48" s="61">
        <v>119</v>
      </c>
      <c r="L48" s="61">
        <v>0.34</v>
      </c>
      <c r="M48" s="61">
        <v>0.25</v>
      </c>
      <c r="N48" s="61">
        <v>0.64300000000000002</v>
      </c>
      <c r="O48" s="61">
        <v>10.5</v>
      </c>
      <c r="P48" s="61">
        <v>2.1</v>
      </c>
      <c r="Q48" s="61">
        <v>1</v>
      </c>
      <c r="R48" s="61">
        <v>1.8</v>
      </c>
      <c r="S48" s="61">
        <v>0.1</v>
      </c>
      <c r="T48" s="61">
        <v>8.0000000000000002E-3</v>
      </c>
      <c r="U48" s="61">
        <v>-3</v>
      </c>
      <c r="V48" s="61">
        <v>-0.2</v>
      </c>
    </row>
    <row r="49" spans="1:37" ht="15">
      <c r="A49" s="1">
        <v>47</v>
      </c>
      <c r="B49" s="61">
        <v>47</v>
      </c>
      <c r="C49" s="61" t="s">
        <v>193</v>
      </c>
      <c r="D49" s="61" t="s">
        <v>1595</v>
      </c>
      <c r="E49" s="61" t="s">
        <v>1347</v>
      </c>
      <c r="F49" s="61">
        <v>16</v>
      </c>
      <c r="G49" s="61">
        <v>1085</v>
      </c>
      <c r="H49" s="61">
        <v>30498</v>
      </c>
      <c r="I49" s="61">
        <v>14536</v>
      </c>
      <c r="J49" s="61">
        <v>7673</v>
      </c>
      <c r="K49" s="61">
        <v>2378</v>
      </c>
      <c r="L49" s="61">
        <v>0.48899999999999999</v>
      </c>
      <c r="M49" s="61">
        <v>0.34100000000000003</v>
      </c>
      <c r="N49" s="61">
        <v>0.73599999999999999</v>
      </c>
      <c r="O49" s="61">
        <v>28.1</v>
      </c>
      <c r="P49" s="61">
        <v>13.4</v>
      </c>
      <c r="Q49" s="61">
        <v>7.1</v>
      </c>
      <c r="R49" s="61">
        <v>2.2000000000000002</v>
      </c>
      <c r="S49" s="61">
        <v>95.4</v>
      </c>
      <c r="T49" s="61">
        <v>0.15</v>
      </c>
      <c r="U49" s="61">
        <v>1.9</v>
      </c>
      <c r="V49" s="61">
        <v>29.9</v>
      </c>
    </row>
    <row r="50" spans="1:37" ht="15">
      <c r="A50" s="1">
        <v>48</v>
      </c>
      <c r="B50" s="61">
        <v>48</v>
      </c>
      <c r="C50" s="61" t="s">
        <v>69</v>
      </c>
      <c r="D50" s="66" t="s">
        <v>1596</v>
      </c>
      <c r="E50" s="61"/>
      <c r="F50" s="61">
        <v>0</v>
      </c>
      <c r="G50" s="61">
        <v>0</v>
      </c>
      <c r="H50" s="61">
        <v>0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</row>
    <row r="51" spans="1:37" ht="15">
      <c r="A51" s="1">
        <v>49</v>
      </c>
      <c r="B51" s="61">
        <v>49</v>
      </c>
      <c r="C51" s="61" t="s">
        <v>23</v>
      </c>
      <c r="D51" s="61" t="s">
        <v>1597</v>
      </c>
      <c r="E51" s="61" t="s">
        <v>200</v>
      </c>
      <c r="F51" s="61">
        <v>5</v>
      </c>
      <c r="G51" s="61">
        <v>239</v>
      </c>
      <c r="H51" s="61">
        <v>3320</v>
      </c>
      <c r="I51" s="61">
        <v>1484</v>
      </c>
      <c r="J51" s="61">
        <v>911</v>
      </c>
      <c r="K51" s="61">
        <v>78</v>
      </c>
      <c r="L51" s="61">
        <v>0.51500000000000001</v>
      </c>
      <c r="M51" s="61">
        <v>0</v>
      </c>
      <c r="N51" s="61">
        <v>0.68200000000000005</v>
      </c>
      <c r="O51" s="61">
        <v>13.9</v>
      </c>
      <c r="P51" s="61">
        <v>6.2</v>
      </c>
      <c r="Q51" s="61">
        <v>3.8</v>
      </c>
      <c r="R51" s="61">
        <v>0.3</v>
      </c>
      <c r="S51" s="61">
        <v>12</v>
      </c>
      <c r="T51" s="61">
        <v>0.17399999999999999</v>
      </c>
      <c r="U51" s="61">
        <v>-1.6</v>
      </c>
      <c r="V51" s="61">
        <v>0.3</v>
      </c>
    </row>
    <row r="52" spans="1:37" ht="15">
      <c r="A52" s="1">
        <v>50</v>
      </c>
      <c r="B52" s="61">
        <v>50</v>
      </c>
      <c r="C52" s="61" t="s">
        <v>1095</v>
      </c>
      <c r="D52" s="61" t="s">
        <v>1598</v>
      </c>
      <c r="E52" s="61" t="s">
        <v>63</v>
      </c>
      <c r="F52" s="61">
        <v>10</v>
      </c>
      <c r="G52" s="61">
        <v>518</v>
      </c>
      <c r="H52" s="61">
        <v>6134</v>
      </c>
      <c r="I52" s="61">
        <v>1913</v>
      </c>
      <c r="J52" s="61">
        <v>1140</v>
      </c>
      <c r="K52" s="61">
        <v>151</v>
      </c>
      <c r="L52" s="61">
        <v>0.58399999999999996</v>
      </c>
      <c r="M52" s="61">
        <v>0</v>
      </c>
      <c r="N52" s="61">
        <v>0.64900000000000002</v>
      </c>
      <c r="O52" s="61">
        <v>11.8</v>
      </c>
      <c r="P52" s="61">
        <v>3.7</v>
      </c>
      <c r="Q52" s="61">
        <v>2.2000000000000002</v>
      </c>
      <c r="R52" s="61">
        <v>0.3</v>
      </c>
      <c r="S52" s="61">
        <v>10.4</v>
      </c>
      <c r="T52" s="61">
        <v>8.1000000000000003E-2</v>
      </c>
      <c r="U52" s="61">
        <v>-4.0999999999999996</v>
      </c>
      <c r="V52" s="61">
        <v>-3.2</v>
      </c>
    </row>
    <row r="53" spans="1:37" ht="15">
      <c r="A53" s="1">
        <v>51</v>
      </c>
      <c r="B53" s="61">
        <v>51</v>
      </c>
      <c r="C53" s="61" t="s">
        <v>31</v>
      </c>
      <c r="D53" s="66" t="s">
        <v>1599</v>
      </c>
      <c r="E53" s="61"/>
      <c r="F53" s="61">
        <v>2</v>
      </c>
      <c r="G53" s="61">
        <v>22</v>
      </c>
      <c r="H53" s="61">
        <v>114</v>
      </c>
      <c r="I53" s="61">
        <v>22</v>
      </c>
      <c r="J53" s="61">
        <v>31</v>
      </c>
      <c r="K53" s="61">
        <v>1</v>
      </c>
      <c r="L53" s="61">
        <v>0.25</v>
      </c>
      <c r="M53" s="61">
        <v>0</v>
      </c>
      <c r="N53" s="61">
        <v>0.44400000000000001</v>
      </c>
      <c r="O53" s="61">
        <v>5.2</v>
      </c>
      <c r="P53" s="61">
        <v>1</v>
      </c>
      <c r="Q53" s="61">
        <v>1.4</v>
      </c>
      <c r="R53" s="61">
        <v>0</v>
      </c>
      <c r="S53" s="61">
        <v>-0.1</v>
      </c>
      <c r="T53" s="61">
        <v>-5.6000000000000001E-2</v>
      </c>
      <c r="U53" s="61">
        <v>-9.1</v>
      </c>
      <c r="V53" s="61">
        <v>-0.2</v>
      </c>
    </row>
    <row r="54" spans="1:37" ht="15">
      <c r="A54" s="1">
        <v>52</v>
      </c>
      <c r="B54" s="61">
        <v>52</v>
      </c>
      <c r="C54" s="61" t="s">
        <v>28</v>
      </c>
      <c r="D54" s="66" t="s">
        <v>1600</v>
      </c>
      <c r="E54" s="61" t="s">
        <v>103</v>
      </c>
      <c r="F54" s="61">
        <v>1</v>
      </c>
      <c r="G54" s="61">
        <v>6</v>
      </c>
      <c r="H54" s="61">
        <v>18</v>
      </c>
      <c r="I54" s="61">
        <v>5</v>
      </c>
      <c r="J54" s="61">
        <v>2</v>
      </c>
      <c r="K54" s="61">
        <v>1</v>
      </c>
      <c r="L54" s="61">
        <v>0.25</v>
      </c>
      <c r="M54" s="61">
        <v>0</v>
      </c>
      <c r="N54" s="61">
        <v>0.6</v>
      </c>
      <c r="O54" s="61">
        <v>3</v>
      </c>
      <c r="P54" s="61">
        <v>0.8</v>
      </c>
      <c r="Q54" s="61">
        <v>0.3</v>
      </c>
      <c r="R54" s="61">
        <v>0.2</v>
      </c>
      <c r="S54" s="61">
        <v>0</v>
      </c>
      <c r="T54" s="61">
        <v>3.3000000000000002E-2</v>
      </c>
      <c r="U54" s="61">
        <v>-2.9</v>
      </c>
      <c r="V54" s="61">
        <v>0</v>
      </c>
    </row>
    <row r="55" spans="1:37" ht="15">
      <c r="A55" s="1">
        <v>53</v>
      </c>
      <c r="B55" s="61">
        <v>53</v>
      </c>
      <c r="C55" s="61" t="s">
        <v>141</v>
      </c>
      <c r="D55" s="66" t="s">
        <v>1601</v>
      </c>
      <c r="E55" s="61"/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</row>
    <row r="56" spans="1:37" ht="15">
      <c r="A56" s="1">
        <v>54</v>
      </c>
      <c r="B56" s="61">
        <v>54</v>
      </c>
      <c r="C56" s="61" t="s">
        <v>1214</v>
      </c>
      <c r="D56" s="66" t="s">
        <v>1602</v>
      </c>
      <c r="E56" s="61" t="s">
        <v>224</v>
      </c>
      <c r="F56" s="61">
        <v>2</v>
      </c>
      <c r="G56" s="61">
        <v>73</v>
      </c>
      <c r="H56" s="61">
        <v>547</v>
      </c>
      <c r="I56" s="61">
        <v>185</v>
      </c>
      <c r="J56" s="61">
        <v>84</v>
      </c>
      <c r="K56" s="61">
        <v>14</v>
      </c>
      <c r="L56" s="61">
        <v>0.53400000000000003</v>
      </c>
      <c r="M56" s="61">
        <v>0</v>
      </c>
      <c r="N56" s="61">
        <v>0.64300000000000002</v>
      </c>
      <c r="O56" s="61">
        <v>7.5</v>
      </c>
      <c r="P56" s="61">
        <v>2.5</v>
      </c>
      <c r="Q56" s="61">
        <v>1.2</v>
      </c>
      <c r="R56" s="61">
        <v>0.2</v>
      </c>
      <c r="S56" s="61">
        <v>0.8</v>
      </c>
      <c r="T56" s="61">
        <v>7.1999999999999995E-2</v>
      </c>
      <c r="U56" s="61">
        <v>-2.2999999999999998</v>
      </c>
      <c r="V56" s="61">
        <v>0</v>
      </c>
    </row>
    <row r="57" spans="1:37" ht="15">
      <c r="A57" s="1">
        <v>55</v>
      </c>
      <c r="B57" s="61">
        <v>55</v>
      </c>
      <c r="C57" s="61" t="s">
        <v>76</v>
      </c>
      <c r="D57" s="66" t="s">
        <v>1603</v>
      </c>
      <c r="E57" s="61"/>
      <c r="F57" s="61">
        <v>0</v>
      </c>
      <c r="G57" s="61">
        <v>0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</row>
    <row r="58" spans="1:37" ht="15">
      <c r="A58" s="1">
        <v>56</v>
      </c>
      <c r="B58" s="61">
        <v>56</v>
      </c>
      <c r="C58" s="61" t="s">
        <v>163</v>
      </c>
      <c r="D58" s="66" t="s">
        <v>1604</v>
      </c>
      <c r="E58" s="61"/>
      <c r="F58" s="61">
        <v>0</v>
      </c>
      <c r="G58" s="61">
        <v>0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</row>
    <row r="59" spans="1:37" ht="15">
      <c r="A59" s="1">
        <v>57</v>
      </c>
      <c r="B59" s="61">
        <v>57</v>
      </c>
      <c r="C59" s="61" t="s">
        <v>135</v>
      </c>
      <c r="D59" s="66" t="s">
        <v>1605</v>
      </c>
      <c r="E59" s="61"/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</row>
    <row r="60" spans="1:37" ht="15">
      <c r="A60" s="1">
        <v>58</v>
      </c>
      <c r="B60" s="61">
        <v>58</v>
      </c>
      <c r="C60" s="61" t="s">
        <v>20</v>
      </c>
      <c r="D60" s="66" t="s">
        <v>1606</v>
      </c>
      <c r="E60" s="61" t="s">
        <v>1607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</row>
    <row r="61" spans="1:37" ht="15">
      <c r="A61" s="1">
        <v>59</v>
      </c>
      <c r="B61" s="61">
        <v>59</v>
      </c>
      <c r="C61" s="61" t="s">
        <v>79</v>
      </c>
      <c r="D61" s="66" t="s">
        <v>1608</v>
      </c>
      <c r="E61" s="61"/>
      <c r="F61" s="61">
        <v>1</v>
      </c>
      <c r="G61" s="61">
        <v>30</v>
      </c>
      <c r="H61" s="61">
        <v>170</v>
      </c>
      <c r="I61" s="61">
        <v>51</v>
      </c>
      <c r="J61" s="61">
        <v>31</v>
      </c>
      <c r="K61" s="61">
        <v>6</v>
      </c>
      <c r="L61" s="61">
        <v>0.36499999999999999</v>
      </c>
      <c r="M61" s="61">
        <v>0.375</v>
      </c>
      <c r="N61" s="61">
        <v>0.63600000000000001</v>
      </c>
      <c r="O61" s="61">
        <v>5.7</v>
      </c>
      <c r="P61" s="61">
        <v>1.7</v>
      </c>
      <c r="Q61" s="61">
        <v>1</v>
      </c>
      <c r="R61" s="61">
        <v>0.2</v>
      </c>
      <c r="S61" s="61">
        <v>-0.2</v>
      </c>
      <c r="T61" s="61">
        <v>-7.0000000000000007E-2</v>
      </c>
      <c r="U61" s="61">
        <v>-8.5</v>
      </c>
      <c r="V61" s="61">
        <v>-0.3</v>
      </c>
    </row>
    <row r="62" spans="1:37" ht="15">
      <c r="A62" s="1">
        <v>60</v>
      </c>
      <c r="B62" s="61">
        <v>60</v>
      </c>
      <c r="C62" s="61" t="s">
        <v>34</v>
      </c>
      <c r="D62" s="66" t="s">
        <v>1609</v>
      </c>
      <c r="E62" s="61" t="s">
        <v>108</v>
      </c>
      <c r="F62" s="61">
        <v>1</v>
      </c>
      <c r="G62" s="61">
        <v>14</v>
      </c>
      <c r="H62" s="61">
        <v>166</v>
      </c>
      <c r="I62" s="61">
        <v>25</v>
      </c>
      <c r="J62" s="61">
        <v>15</v>
      </c>
      <c r="K62" s="61">
        <v>17</v>
      </c>
      <c r="L62" s="61">
        <v>0.3</v>
      </c>
      <c r="M62" s="61">
        <v>0.2</v>
      </c>
      <c r="N62" s="61">
        <v>1</v>
      </c>
      <c r="O62" s="61">
        <v>11.9</v>
      </c>
      <c r="P62" s="61">
        <v>1.8</v>
      </c>
      <c r="Q62" s="61">
        <v>1.1000000000000001</v>
      </c>
      <c r="R62" s="61">
        <v>1.2</v>
      </c>
      <c r="S62" s="61">
        <v>-0.1</v>
      </c>
      <c r="T62" s="61">
        <v>-3.2000000000000001E-2</v>
      </c>
      <c r="U62" s="61">
        <v>-5.8</v>
      </c>
      <c r="V62" s="61">
        <v>-0.2</v>
      </c>
    </row>
    <row r="64" spans="1:37" ht="15">
      <c r="D64" s="1" t="s">
        <v>3</v>
      </c>
      <c r="E64" s="1" t="s">
        <v>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4:37" ht="15">
      <c r="D65" s="3" t="s">
        <v>1610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 ht="15">
      <c r="D66" s="3" t="s">
        <v>1611</v>
      </c>
      <c r="E66" s="3" t="s"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 ht="15">
      <c r="D67" s="3" t="s">
        <v>1612</v>
      </c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 ht="15">
      <c r="D68" s="3" t="s">
        <v>1613</v>
      </c>
      <c r="E68" s="3" t="s">
        <v>1001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 ht="15">
      <c r="D69" s="3" t="s">
        <v>1614</v>
      </c>
      <c r="E69" s="3" t="s">
        <v>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 ht="15">
      <c r="D70" s="3" t="s">
        <v>1615</v>
      </c>
      <c r="E70" s="3" t="s">
        <v>506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4:37" ht="15">
      <c r="D71" s="3" t="s">
        <v>1616</v>
      </c>
      <c r="E71" s="3" t="s">
        <v>722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</sheetData>
  <conditionalFormatting sqref="G1:G62">
    <cfRule type="cellIs" dxfId="3" priority="1" operator="greaterThanOrEqual">
      <formula>82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29F4-A847-4240-9771-5FD77F69CE75}">
  <dimension ref="A1:Y71"/>
  <sheetViews>
    <sheetView zoomScale="141" workbookViewId="0">
      <pane ySplit="1" topLeftCell="A51" activePane="bottomLeft" state="frozen"/>
      <selection pane="bottomLeft" activeCell="E76" sqref="E76"/>
    </sheetView>
  </sheetViews>
  <sheetFormatPr defaultColWidth="8.875" defaultRowHeight="14.1"/>
  <cols>
    <col min="1" max="1" width="3" style="116" bestFit="1" customWidth="1"/>
    <col min="2" max="2" width="2.875" style="116" bestFit="1" customWidth="1"/>
    <col min="3" max="3" width="4.375" style="116" bestFit="1" customWidth="1"/>
    <col min="4" max="4" width="18.125" style="116" bestFit="1" customWidth="1"/>
    <col min="5" max="5" width="11.875" style="116" bestFit="1" customWidth="1"/>
    <col min="6" max="6" width="3.375" style="116" bestFit="1" customWidth="1"/>
    <col min="7" max="7" width="4.5" style="116" bestFit="1" customWidth="1"/>
    <col min="8" max="9" width="5.375" style="116" bestFit="1" customWidth="1"/>
    <col min="10" max="10" width="4.5" style="116" bestFit="1" customWidth="1"/>
    <col min="11" max="14" width="5.375" style="116" bestFit="1" customWidth="1"/>
    <col min="15" max="16" width="4.5" style="116" bestFit="1" customWidth="1"/>
    <col min="17" max="17" width="4" style="116" bestFit="1" customWidth="1"/>
    <col min="18" max="18" width="3.875" style="116" bestFit="1" customWidth="1"/>
    <col min="19" max="19" width="5.375" style="116" bestFit="1" customWidth="1"/>
    <col min="20" max="20" width="5.875" style="116" bestFit="1" customWidth="1"/>
    <col min="21" max="21" width="4.125" style="116" bestFit="1" customWidth="1"/>
    <col min="22" max="22" width="5" style="116" bestFit="1" customWidth="1"/>
    <col min="23" max="23" width="8.875" style="116"/>
    <col min="24" max="24" width="12" style="116" customWidth="1"/>
    <col min="25" max="16384" width="8.875" style="116"/>
  </cols>
  <sheetData>
    <row r="1" spans="1:25" ht="45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  <c r="X1" s="1" t="s">
        <v>294</v>
      </c>
    </row>
    <row r="2" spans="1:25" ht="15" hidden="1">
      <c r="A2" s="1">
        <v>1</v>
      </c>
      <c r="B2" s="61">
        <v>1</v>
      </c>
      <c r="C2" s="61" t="s">
        <v>57</v>
      </c>
      <c r="D2" s="61" t="s">
        <v>1617</v>
      </c>
      <c r="E2" s="61" t="s">
        <v>816</v>
      </c>
      <c r="F2" s="61">
        <v>14</v>
      </c>
      <c r="G2" s="61">
        <v>706</v>
      </c>
      <c r="H2" s="61">
        <v>19862</v>
      </c>
      <c r="I2" s="61">
        <v>6808</v>
      </c>
      <c r="J2" s="61">
        <v>6112</v>
      </c>
      <c r="K2" s="61">
        <v>1546</v>
      </c>
      <c r="L2" s="61">
        <v>0.53500000000000003</v>
      </c>
      <c r="M2" s="61">
        <v>0.12</v>
      </c>
      <c r="N2" s="61">
        <v>0.55700000000000005</v>
      </c>
      <c r="O2" s="61">
        <v>28.1</v>
      </c>
      <c r="P2" s="61">
        <v>9.6</v>
      </c>
      <c r="Q2" s="61">
        <v>8.6999999999999993</v>
      </c>
      <c r="R2" s="61">
        <v>2.2000000000000002</v>
      </c>
      <c r="S2" s="61">
        <v>50.6</v>
      </c>
      <c r="T2" s="61">
        <v>0.122</v>
      </c>
      <c r="U2" s="61">
        <v>1.2</v>
      </c>
      <c r="V2" s="61">
        <v>16</v>
      </c>
      <c r="X2" s="53" t="s">
        <v>296</v>
      </c>
    </row>
    <row r="3" spans="1:25" ht="15" hidden="1">
      <c r="A3" s="1">
        <v>2</v>
      </c>
      <c r="B3" s="61">
        <v>2</v>
      </c>
      <c r="C3" s="61" t="s">
        <v>184</v>
      </c>
      <c r="D3" s="61" t="s">
        <v>1618</v>
      </c>
      <c r="E3" s="61" t="s">
        <v>78</v>
      </c>
      <c r="F3" s="61">
        <v>15</v>
      </c>
      <c r="G3" s="61">
        <v>1072</v>
      </c>
      <c r="H3" s="61">
        <v>30159</v>
      </c>
      <c r="I3" s="61">
        <v>10965</v>
      </c>
      <c r="J3" s="61">
        <v>5546</v>
      </c>
      <c r="K3" s="61">
        <v>1373</v>
      </c>
      <c r="L3" s="61">
        <v>0.443</v>
      </c>
      <c r="M3" s="61">
        <v>0.36099999999999999</v>
      </c>
      <c r="N3" s="61">
        <v>0.80800000000000005</v>
      </c>
      <c r="O3" s="61">
        <v>28.1</v>
      </c>
      <c r="P3" s="61">
        <v>10.199999999999999</v>
      </c>
      <c r="Q3" s="61">
        <v>5.2</v>
      </c>
      <c r="R3" s="61">
        <v>1.3</v>
      </c>
      <c r="S3" s="61">
        <v>65.099999999999994</v>
      </c>
      <c r="T3" s="61">
        <v>0.104</v>
      </c>
      <c r="U3" s="61">
        <v>-0.4</v>
      </c>
      <c r="V3" s="61">
        <v>12.3</v>
      </c>
      <c r="X3" s="54" t="s">
        <v>298</v>
      </c>
    </row>
    <row r="4" spans="1:25" ht="15" hidden="1">
      <c r="A4" s="1">
        <v>3</v>
      </c>
      <c r="B4" s="61">
        <v>3</v>
      </c>
      <c r="C4" s="61" t="s">
        <v>193</v>
      </c>
      <c r="D4" s="61" t="s">
        <v>1619</v>
      </c>
      <c r="E4" s="61" t="s">
        <v>158</v>
      </c>
      <c r="F4" s="61">
        <v>12</v>
      </c>
      <c r="G4" s="61">
        <v>845</v>
      </c>
      <c r="H4" s="61">
        <v>28865</v>
      </c>
      <c r="I4" s="61">
        <v>13804</v>
      </c>
      <c r="J4" s="61">
        <v>2619</v>
      </c>
      <c r="K4" s="61">
        <v>6819</v>
      </c>
      <c r="L4" s="61">
        <v>0.44500000000000001</v>
      </c>
      <c r="M4" s="61">
        <v>0.35699999999999998</v>
      </c>
      <c r="N4" s="61">
        <v>0.82199999999999995</v>
      </c>
      <c r="O4" s="61">
        <v>34.200000000000003</v>
      </c>
      <c r="P4" s="61">
        <v>16.3</v>
      </c>
      <c r="Q4" s="61">
        <v>3.1</v>
      </c>
      <c r="R4" s="61">
        <v>8.1</v>
      </c>
      <c r="S4" s="61">
        <v>77.3</v>
      </c>
      <c r="T4" s="61">
        <v>0.129</v>
      </c>
      <c r="U4" s="61">
        <v>1.9</v>
      </c>
      <c r="V4" s="61">
        <v>28.3</v>
      </c>
      <c r="X4" s="58" t="s">
        <v>39</v>
      </c>
    </row>
    <row r="5" spans="1:25" ht="15" hidden="1">
      <c r="A5" s="1">
        <v>4</v>
      </c>
      <c r="B5" s="61">
        <v>4</v>
      </c>
      <c r="C5" s="61" t="s">
        <v>1098</v>
      </c>
      <c r="D5" s="61" t="s">
        <v>1620</v>
      </c>
      <c r="E5" s="61" t="s">
        <v>463</v>
      </c>
      <c r="F5" s="61">
        <v>20</v>
      </c>
      <c r="G5" s="61">
        <v>1323</v>
      </c>
      <c r="H5" s="61">
        <v>44799</v>
      </c>
      <c r="I5" s="61">
        <v>22760</v>
      </c>
      <c r="J5" s="61">
        <v>5889</v>
      </c>
      <c r="K5" s="61">
        <v>12308</v>
      </c>
      <c r="L5" s="61">
        <v>0.47</v>
      </c>
      <c r="M5" s="61">
        <v>0.36899999999999999</v>
      </c>
      <c r="N5" s="61">
        <v>0.871</v>
      </c>
      <c r="O5" s="61">
        <v>33.9</v>
      </c>
      <c r="P5" s="61">
        <v>17.2</v>
      </c>
      <c r="Q5" s="61">
        <v>4.5</v>
      </c>
      <c r="R5" s="61">
        <v>9.3000000000000007</v>
      </c>
      <c r="S5" s="61">
        <v>213.9</v>
      </c>
      <c r="T5" s="61">
        <v>0.22900000000000001</v>
      </c>
      <c r="U5" s="61">
        <v>6.7</v>
      </c>
      <c r="V5" s="61">
        <v>98.6</v>
      </c>
      <c r="X5" s="59" t="s">
        <v>302</v>
      </c>
    </row>
    <row r="6" spans="1:25" ht="15" hidden="1">
      <c r="A6" s="1">
        <v>5</v>
      </c>
      <c r="B6" s="61">
        <v>5</v>
      </c>
      <c r="C6" s="61" t="s">
        <v>1095</v>
      </c>
      <c r="D6" s="61" t="s">
        <v>1621</v>
      </c>
      <c r="E6" s="61" t="s">
        <v>78</v>
      </c>
      <c r="F6" s="61">
        <v>14</v>
      </c>
      <c r="G6" s="61">
        <v>971</v>
      </c>
      <c r="H6" s="61">
        <v>28829</v>
      </c>
      <c r="I6" s="61">
        <v>10853</v>
      </c>
      <c r="J6" s="61">
        <v>2867</v>
      </c>
      <c r="K6" s="61">
        <v>5096</v>
      </c>
      <c r="L6" s="61">
        <v>0.41199999999999998</v>
      </c>
      <c r="M6" s="61">
        <v>0.32900000000000001</v>
      </c>
      <c r="N6" s="61">
        <v>0.79</v>
      </c>
      <c r="O6" s="61">
        <v>29.7</v>
      </c>
      <c r="P6" s="61">
        <v>11.2</v>
      </c>
      <c r="Q6" s="61">
        <v>3</v>
      </c>
      <c r="R6" s="61">
        <v>5.2</v>
      </c>
      <c r="S6" s="61">
        <v>40.200000000000003</v>
      </c>
      <c r="T6" s="61">
        <v>6.7000000000000004E-2</v>
      </c>
      <c r="U6" s="61">
        <v>-0.6</v>
      </c>
      <c r="V6" s="61">
        <v>10.1</v>
      </c>
      <c r="X6" s="60" t="s">
        <v>867</v>
      </c>
    </row>
    <row r="7" spans="1:25" ht="15" hidden="1">
      <c r="A7" s="1">
        <v>6</v>
      </c>
      <c r="B7" s="61">
        <v>6</v>
      </c>
      <c r="C7" s="61" t="s">
        <v>124</v>
      </c>
      <c r="D7" s="61" t="s">
        <v>1622</v>
      </c>
      <c r="E7" s="61"/>
      <c r="F7" s="61">
        <v>10</v>
      </c>
      <c r="G7" s="61">
        <v>580</v>
      </c>
      <c r="H7" s="61">
        <v>13914</v>
      </c>
      <c r="I7" s="61">
        <v>5056</v>
      </c>
      <c r="J7" s="61">
        <v>1811</v>
      </c>
      <c r="K7" s="61">
        <v>588</v>
      </c>
      <c r="L7" s="61">
        <v>0.41799999999999998</v>
      </c>
      <c r="M7" s="61">
        <v>0.38200000000000001</v>
      </c>
      <c r="N7" s="61">
        <v>0.79100000000000004</v>
      </c>
      <c r="O7" s="61">
        <v>24</v>
      </c>
      <c r="P7" s="61">
        <v>8.6999999999999993</v>
      </c>
      <c r="Q7" s="61">
        <v>3.1</v>
      </c>
      <c r="R7" s="61">
        <v>1</v>
      </c>
      <c r="S7" s="61">
        <v>24.7</v>
      </c>
      <c r="T7" s="61">
        <v>8.5000000000000006E-2</v>
      </c>
      <c r="U7" s="61">
        <v>-0.8</v>
      </c>
      <c r="V7" s="61">
        <v>4.3</v>
      </c>
      <c r="X7" s="55"/>
    </row>
    <row r="8" spans="1:25" ht="15" hidden="1">
      <c r="A8" s="1">
        <v>7</v>
      </c>
      <c r="B8" s="61">
        <v>7</v>
      </c>
      <c r="C8" s="61" t="s">
        <v>163</v>
      </c>
      <c r="D8" s="61" t="s">
        <v>1623</v>
      </c>
      <c r="E8" s="61" t="s">
        <v>300</v>
      </c>
      <c r="F8" s="61">
        <v>11</v>
      </c>
      <c r="G8" s="61">
        <v>656</v>
      </c>
      <c r="H8" s="61">
        <v>13578</v>
      </c>
      <c r="I8" s="61">
        <v>6808</v>
      </c>
      <c r="J8" s="61">
        <v>3019</v>
      </c>
      <c r="K8" s="61">
        <v>549</v>
      </c>
      <c r="L8" s="61">
        <v>0.435</v>
      </c>
      <c r="M8" s="61">
        <v>0.34100000000000003</v>
      </c>
      <c r="N8" s="61">
        <v>0.77200000000000002</v>
      </c>
      <c r="O8" s="61">
        <v>20.7</v>
      </c>
      <c r="P8" s="61">
        <v>10.4</v>
      </c>
      <c r="Q8" s="61">
        <v>4.5999999999999996</v>
      </c>
      <c r="R8" s="61">
        <v>0.8</v>
      </c>
      <c r="S8" s="61">
        <v>22.6</v>
      </c>
      <c r="T8" s="61">
        <v>0.08</v>
      </c>
      <c r="U8" s="61">
        <v>-0.6</v>
      </c>
      <c r="V8" s="61">
        <v>4.7</v>
      </c>
      <c r="X8" s="56"/>
    </row>
    <row r="9" spans="1:25" ht="15" hidden="1">
      <c r="A9" s="1">
        <v>8</v>
      </c>
      <c r="B9" s="61">
        <v>8</v>
      </c>
      <c r="C9" s="61" t="s">
        <v>50</v>
      </c>
      <c r="D9" s="61" t="s">
        <v>1624</v>
      </c>
      <c r="E9" s="61" t="s">
        <v>224</v>
      </c>
      <c r="F9" s="61">
        <v>13</v>
      </c>
      <c r="G9" s="61">
        <v>890</v>
      </c>
      <c r="H9" s="61">
        <v>19772</v>
      </c>
      <c r="I9" s="61">
        <v>7786</v>
      </c>
      <c r="J9" s="61">
        <v>4002</v>
      </c>
      <c r="K9" s="61">
        <v>864</v>
      </c>
      <c r="L9" s="61">
        <v>0.44</v>
      </c>
      <c r="M9" s="61">
        <v>0.38800000000000001</v>
      </c>
      <c r="N9" s="61">
        <v>0.82199999999999995</v>
      </c>
      <c r="O9" s="61">
        <v>22.2</v>
      </c>
      <c r="P9" s="61">
        <v>8.6999999999999993</v>
      </c>
      <c r="Q9" s="61">
        <v>4.5</v>
      </c>
      <c r="R9" s="61">
        <v>1</v>
      </c>
      <c r="S9" s="61">
        <v>38.9</v>
      </c>
      <c r="T9" s="61">
        <v>9.4E-2</v>
      </c>
      <c r="U9" s="61">
        <v>-0.4</v>
      </c>
      <c r="V9" s="61">
        <v>8</v>
      </c>
      <c r="X9" s="57" t="s">
        <v>111</v>
      </c>
      <c r="Y9" s="116" t="s">
        <v>871</v>
      </c>
    </row>
    <row r="10" spans="1:25" ht="15" hidden="1">
      <c r="A10" s="1">
        <v>9</v>
      </c>
      <c r="B10" s="61">
        <v>9</v>
      </c>
      <c r="C10" s="61" t="s">
        <v>25</v>
      </c>
      <c r="D10" s="61" t="s">
        <v>1625</v>
      </c>
      <c r="E10" s="61" t="s">
        <v>536</v>
      </c>
      <c r="F10" s="61">
        <v>6</v>
      </c>
      <c r="G10" s="61">
        <v>225</v>
      </c>
      <c r="H10" s="61">
        <v>2795</v>
      </c>
      <c r="I10" s="61">
        <v>1348</v>
      </c>
      <c r="J10" s="61">
        <v>689</v>
      </c>
      <c r="K10" s="61">
        <v>69</v>
      </c>
      <c r="L10" s="61">
        <v>0.50900000000000001</v>
      </c>
      <c r="M10" s="61">
        <v>0.5</v>
      </c>
      <c r="N10" s="61">
        <v>0.78600000000000003</v>
      </c>
      <c r="O10" s="61">
        <v>12.4</v>
      </c>
      <c r="P10" s="61">
        <v>6</v>
      </c>
      <c r="Q10" s="61">
        <v>3.1</v>
      </c>
      <c r="R10" s="61">
        <v>0.3</v>
      </c>
      <c r="S10" s="61">
        <v>6.5</v>
      </c>
      <c r="T10" s="61">
        <v>0.112</v>
      </c>
      <c r="U10" s="61">
        <v>-3</v>
      </c>
      <c r="V10" s="61">
        <v>-0.7</v>
      </c>
    </row>
    <row r="11" spans="1:25" ht="15" hidden="1">
      <c r="A11" s="1">
        <v>10</v>
      </c>
      <c r="B11" s="61">
        <v>10</v>
      </c>
      <c r="C11" s="61" t="s">
        <v>31</v>
      </c>
      <c r="D11" s="61" t="s">
        <v>1626</v>
      </c>
      <c r="E11" s="61"/>
      <c r="F11" s="61">
        <v>8</v>
      </c>
      <c r="G11" s="61">
        <v>418</v>
      </c>
      <c r="H11" s="61">
        <v>10690</v>
      </c>
      <c r="I11" s="61">
        <v>4822</v>
      </c>
      <c r="J11" s="61">
        <v>3221</v>
      </c>
      <c r="K11" s="61">
        <v>490</v>
      </c>
      <c r="L11" s="61">
        <v>0.55600000000000005</v>
      </c>
      <c r="M11" s="61">
        <v>0.111</v>
      </c>
      <c r="N11" s="61">
        <v>0.69</v>
      </c>
      <c r="O11" s="61">
        <v>25.6</v>
      </c>
      <c r="P11" s="61">
        <v>11.5</v>
      </c>
      <c r="Q11" s="61">
        <v>7.7</v>
      </c>
      <c r="R11" s="61">
        <v>1.2</v>
      </c>
      <c r="S11" s="61">
        <v>37.4</v>
      </c>
      <c r="T11" s="61">
        <v>0.16800000000000001</v>
      </c>
      <c r="U11" s="61">
        <v>1.4</v>
      </c>
      <c r="V11" s="61">
        <v>9.1</v>
      </c>
    </row>
    <row r="12" spans="1:25" ht="15" hidden="1">
      <c r="A12" s="1">
        <v>11</v>
      </c>
      <c r="B12" s="61">
        <v>11</v>
      </c>
      <c r="C12" s="61" t="s">
        <v>179</v>
      </c>
      <c r="D12" s="61" t="s">
        <v>1627</v>
      </c>
      <c r="E12" s="61"/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</row>
    <row r="13" spans="1:25" ht="15" hidden="1">
      <c r="A13" s="1">
        <v>12</v>
      </c>
      <c r="B13" s="61">
        <v>12</v>
      </c>
      <c r="C13" s="61" t="s">
        <v>28</v>
      </c>
      <c r="D13" s="61" t="s">
        <v>1628</v>
      </c>
      <c r="E13" s="61"/>
      <c r="F13" s="61">
        <v>2</v>
      </c>
      <c r="G13" s="61">
        <v>34</v>
      </c>
      <c r="H13" s="61">
        <v>168</v>
      </c>
      <c r="I13" s="61">
        <v>39</v>
      </c>
      <c r="J13" s="61">
        <v>16</v>
      </c>
      <c r="K13" s="61">
        <v>13</v>
      </c>
      <c r="L13" s="61">
        <v>0.28299999999999997</v>
      </c>
      <c r="M13" s="61">
        <v>0.25</v>
      </c>
      <c r="N13" s="61">
        <v>0.625</v>
      </c>
      <c r="O13" s="61">
        <v>4.9000000000000004</v>
      </c>
      <c r="P13" s="61">
        <v>1.1000000000000001</v>
      </c>
      <c r="Q13" s="61">
        <v>0.5</v>
      </c>
      <c r="R13" s="61">
        <v>0.4</v>
      </c>
      <c r="S13" s="61">
        <v>-0.1</v>
      </c>
      <c r="T13" s="61">
        <v>-2.4E-2</v>
      </c>
      <c r="U13" s="61">
        <v>-5.2</v>
      </c>
      <c r="V13" s="61">
        <v>-0.1</v>
      </c>
    </row>
    <row r="14" spans="1:25" ht="15" hidden="1">
      <c r="A14" s="1">
        <v>13</v>
      </c>
      <c r="B14" s="61">
        <v>13</v>
      </c>
      <c r="C14" s="61" t="s">
        <v>1095</v>
      </c>
      <c r="D14" s="61" t="s">
        <v>1629</v>
      </c>
      <c r="E14" s="61" t="s">
        <v>78</v>
      </c>
      <c r="F14" s="61">
        <v>4</v>
      </c>
      <c r="G14" s="61">
        <v>119</v>
      </c>
      <c r="H14" s="61">
        <v>1868</v>
      </c>
      <c r="I14" s="61">
        <v>821</v>
      </c>
      <c r="J14" s="61">
        <v>481</v>
      </c>
      <c r="K14" s="61">
        <v>115</v>
      </c>
      <c r="L14" s="61">
        <v>0.45800000000000002</v>
      </c>
      <c r="M14" s="61">
        <v>0.23100000000000001</v>
      </c>
      <c r="N14" s="61">
        <v>0.746</v>
      </c>
      <c r="O14" s="61">
        <v>15.7</v>
      </c>
      <c r="P14" s="61">
        <v>6.9</v>
      </c>
      <c r="Q14" s="61">
        <v>4</v>
      </c>
      <c r="R14" s="61">
        <v>1</v>
      </c>
      <c r="S14" s="61">
        <v>2.6</v>
      </c>
      <c r="T14" s="61">
        <v>6.8000000000000005E-2</v>
      </c>
      <c r="U14" s="61">
        <v>-1.7</v>
      </c>
      <c r="V14" s="61">
        <v>0.2</v>
      </c>
    </row>
    <row r="15" spans="1:25" ht="15" hidden="1">
      <c r="A15" s="1">
        <v>14</v>
      </c>
      <c r="B15" s="61">
        <v>14</v>
      </c>
      <c r="C15" s="61" t="s">
        <v>135</v>
      </c>
      <c r="D15" s="61" t="s">
        <v>1630</v>
      </c>
      <c r="E15" s="61" t="s">
        <v>78</v>
      </c>
      <c r="F15" s="61">
        <v>4</v>
      </c>
      <c r="G15" s="61">
        <v>249</v>
      </c>
      <c r="H15" s="61">
        <v>5037</v>
      </c>
      <c r="I15" s="61">
        <v>2479</v>
      </c>
      <c r="J15" s="61">
        <v>506</v>
      </c>
      <c r="K15" s="61">
        <v>331</v>
      </c>
      <c r="L15" s="61">
        <v>0.43099999999999999</v>
      </c>
      <c r="M15" s="61">
        <v>0.36799999999999999</v>
      </c>
      <c r="N15" s="61">
        <v>0.74099999999999999</v>
      </c>
      <c r="O15" s="61">
        <v>20.2</v>
      </c>
      <c r="P15" s="61">
        <v>10</v>
      </c>
      <c r="Q15" s="61">
        <v>2</v>
      </c>
      <c r="R15" s="61">
        <v>1.3</v>
      </c>
      <c r="S15" s="61">
        <v>3.6</v>
      </c>
      <c r="T15" s="61">
        <v>3.5000000000000003E-2</v>
      </c>
      <c r="U15" s="61">
        <v>-1.7</v>
      </c>
      <c r="V15" s="61">
        <v>0.4</v>
      </c>
    </row>
    <row r="16" spans="1:25" ht="15" hidden="1">
      <c r="A16" s="1">
        <v>15</v>
      </c>
      <c r="B16" s="61">
        <v>15</v>
      </c>
      <c r="C16" s="61" t="s">
        <v>1214</v>
      </c>
      <c r="D16" s="61" t="s">
        <v>1631</v>
      </c>
      <c r="E16" s="61" t="s">
        <v>30</v>
      </c>
      <c r="F16" s="61">
        <v>6</v>
      </c>
      <c r="G16" s="61">
        <v>297</v>
      </c>
      <c r="H16" s="61">
        <v>5714</v>
      </c>
      <c r="I16" s="61">
        <v>1614</v>
      </c>
      <c r="J16" s="61">
        <v>681</v>
      </c>
      <c r="K16" s="61">
        <v>295</v>
      </c>
      <c r="L16" s="61">
        <v>0.41199999999999998</v>
      </c>
      <c r="M16" s="61">
        <v>0.30399999999999999</v>
      </c>
      <c r="N16" s="61">
        <v>0.67400000000000004</v>
      </c>
      <c r="O16" s="61">
        <v>19.2</v>
      </c>
      <c r="P16" s="61">
        <v>5.4</v>
      </c>
      <c r="Q16" s="61">
        <v>2.2999999999999998</v>
      </c>
      <c r="R16" s="61">
        <v>1</v>
      </c>
      <c r="S16" s="61">
        <v>3.1</v>
      </c>
      <c r="T16" s="61">
        <v>2.5999999999999999E-2</v>
      </c>
      <c r="U16" s="61">
        <v>-3.7</v>
      </c>
      <c r="V16" s="61">
        <v>-2.4</v>
      </c>
    </row>
    <row r="17" spans="1:22" ht="15" hidden="1">
      <c r="A17" s="1">
        <v>16</v>
      </c>
      <c r="B17" s="61">
        <v>16</v>
      </c>
      <c r="C17" s="61" t="s">
        <v>163</v>
      </c>
      <c r="D17" s="61" t="s">
        <v>1632</v>
      </c>
      <c r="E17" s="61" t="s">
        <v>511</v>
      </c>
      <c r="F17" s="61">
        <v>6</v>
      </c>
      <c r="G17" s="61">
        <v>377</v>
      </c>
      <c r="H17" s="61">
        <v>6117</v>
      </c>
      <c r="I17" s="61">
        <v>2239</v>
      </c>
      <c r="J17" s="61">
        <v>1058</v>
      </c>
      <c r="K17" s="61">
        <v>207</v>
      </c>
      <c r="L17" s="61">
        <v>0.48299999999999998</v>
      </c>
      <c r="M17" s="61">
        <v>0.3</v>
      </c>
      <c r="N17" s="61">
        <v>0.81499999999999995</v>
      </c>
      <c r="O17" s="61">
        <v>16.2</v>
      </c>
      <c r="P17" s="61">
        <v>5.9</v>
      </c>
      <c r="Q17" s="61">
        <v>2.8</v>
      </c>
      <c r="R17" s="61">
        <v>0.5</v>
      </c>
      <c r="S17" s="61">
        <v>7.8</v>
      </c>
      <c r="T17" s="61">
        <v>6.0999999999999999E-2</v>
      </c>
      <c r="U17" s="61">
        <v>-3.6</v>
      </c>
      <c r="V17" s="61">
        <v>-2.4</v>
      </c>
    </row>
    <row r="18" spans="1:22" ht="15" hidden="1">
      <c r="A18" s="1">
        <v>17</v>
      </c>
      <c r="B18" s="61">
        <v>17</v>
      </c>
      <c r="C18" s="61" t="s">
        <v>41</v>
      </c>
      <c r="D18" s="61" t="s">
        <v>1633</v>
      </c>
      <c r="E18" s="61" t="s">
        <v>1066</v>
      </c>
      <c r="F18" s="61">
        <v>10</v>
      </c>
      <c r="G18" s="61">
        <v>586</v>
      </c>
      <c r="H18" s="61">
        <v>18487</v>
      </c>
      <c r="I18" s="61">
        <v>9855</v>
      </c>
      <c r="J18" s="61">
        <v>2888</v>
      </c>
      <c r="K18" s="61">
        <v>1097</v>
      </c>
      <c r="L18" s="61">
        <v>0.434</v>
      </c>
      <c r="M18" s="61">
        <v>0.38</v>
      </c>
      <c r="N18" s="61">
        <v>0.84799999999999998</v>
      </c>
      <c r="O18" s="61">
        <v>31.5</v>
      </c>
      <c r="P18" s="61">
        <v>16.8</v>
      </c>
      <c r="Q18" s="61">
        <v>4.9000000000000004</v>
      </c>
      <c r="R18" s="61">
        <v>1.9</v>
      </c>
      <c r="S18" s="61">
        <v>48.5</v>
      </c>
      <c r="T18" s="61">
        <v>0.126</v>
      </c>
      <c r="U18" s="61">
        <v>1.8</v>
      </c>
      <c r="V18" s="61">
        <v>17.7</v>
      </c>
    </row>
    <row r="19" spans="1:22" ht="15" hidden="1">
      <c r="A19" s="1">
        <v>18</v>
      </c>
      <c r="B19" s="61">
        <v>18</v>
      </c>
      <c r="C19" s="61" t="s">
        <v>190</v>
      </c>
      <c r="D19" s="61" t="s">
        <v>1634</v>
      </c>
      <c r="E19" s="61"/>
      <c r="F19" s="61">
        <v>12</v>
      </c>
      <c r="G19" s="61">
        <v>658</v>
      </c>
      <c r="H19" s="61">
        <v>13026</v>
      </c>
      <c r="I19" s="61">
        <v>6412</v>
      </c>
      <c r="J19" s="61">
        <v>1639</v>
      </c>
      <c r="K19" s="61">
        <v>596</v>
      </c>
      <c r="L19" s="61">
        <v>0.41699999999999998</v>
      </c>
      <c r="M19" s="61">
        <v>0.36099999999999999</v>
      </c>
      <c r="N19" s="61">
        <v>0.81799999999999995</v>
      </c>
      <c r="O19" s="61">
        <v>19.8</v>
      </c>
      <c r="P19" s="61">
        <v>9.6999999999999993</v>
      </c>
      <c r="Q19" s="61">
        <v>2.5</v>
      </c>
      <c r="R19" s="61">
        <v>0.9</v>
      </c>
      <c r="S19" s="61">
        <v>18.399999999999999</v>
      </c>
      <c r="T19" s="61">
        <v>6.8000000000000005E-2</v>
      </c>
      <c r="U19" s="61">
        <v>-1.3</v>
      </c>
      <c r="V19" s="61">
        <v>2.4</v>
      </c>
    </row>
    <row r="20" spans="1:22" ht="15" hidden="1">
      <c r="A20" s="1">
        <v>19</v>
      </c>
      <c r="B20" s="61">
        <v>19</v>
      </c>
      <c r="C20" s="61" t="s">
        <v>152</v>
      </c>
      <c r="D20" s="61" t="s">
        <v>1635</v>
      </c>
      <c r="E20" s="61" t="s">
        <v>68</v>
      </c>
      <c r="F20" s="61">
        <v>8</v>
      </c>
      <c r="G20" s="61">
        <v>526</v>
      </c>
      <c r="H20" s="61">
        <v>10624</v>
      </c>
      <c r="I20" s="61">
        <v>4947</v>
      </c>
      <c r="J20" s="61">
        <v>2117</v>
      </c>
      <c r="K20" s="61">
        <v>400</v>
      </c>
      <c r="L20" s="61">
        <v>0.49</v>
      </c>
      <c r="M20" s="61">
        <v>0.191</v>
      </c>
      <c r="N20" s="61">
        <v>0.72599999999999998</v>
      </c>
      <c r="O20" s="61">
        <v>20.2</v>
      </c>
      <c r="P20" s="61">
        <v>9.4</v>
      </c>
      <c r="Q20" s="61">
        <v>4</v>
      </c>
      <c r="R20" s="61">
        <v>0.8</v>
      </c>
      <c r="S20" s="61">
        <v>20.399999999999999</v>
      </c>
      <c r="T20" s="61">
        <v>9.1999999999999998E-2</v>
      </c>
      <c r="U20" s="61">
        <v>-1.9</v>
      </c>
      <c r="V20" s="61">
        <v>0.4</v>
      </c>
    </row>
    <row r="21" spans="1:22" ht="15" hidden="1">
      <c r="A21" s="1">
        <v>20</v>
      </c>
      <c r="B21" s="61">
        <v>20</v>
      </c>
      <c r="C21" s="61" t="s">
        <v>23</v>
      </c>
      <c r="D21" s="61" t="s">
        <v>1636</v>
      </c>
      <c r="E21" s="61" t="s">
        <v>798</v>
      </c>
      <c r="F21" s="61">
        <v>2</v>
      </c>
      <c r="G21" s="61">
        <v>23</v>
      </c>
      <c r="H21" s="61">
        <v>98</v>
      </c>
      <c r="I21" s="61">
        <v>28</v>
      </c>
      <c r="J21" s="61">
        <v>15</v>
      </c>
      <c r="K21" s="61">
        <v>18</v>
      </c>
      <c r="L21" s="61">
        <v>0.44</v>
      </c>
      <c r="M21" s="61">
        <v>0</v>
      </c>
      <c r="N21" s="61">
        <v>0.5</v>
      </c>
      <c r="O21" s="61">
        <v>4.3</v>
      </c>
      <c r="P21" s="61">
        <v>1.2</v>
      </c>
      <c r="Q21" s="61">
        <v>0.7</v>
      </c>
      <c r="R21" s="61">
        <v>0.8</v>
      </c>
      <c r="S21" s="61">
        <v>0</v>
      </c>
      <c r="T21" s="61">
        <v>3.0000000000000001E-3</v>
      </c>
      <c r="U21" s="61">
        <v>-3.7</v>
      </c>
      <c r="V21" s="61">
        <v>0</v>
      </c>
    </row>
    <row r="22" spans="1:22" ht="15" hidden="1">
      <c r="A22" s="1">
        <v>21</v>
      </c>
      <c r="B22" s="61">
        <v>21</v>
      </c>
      <c r="C22" s="61" t="s">
        <v>323</v>
      </c>
      <c r="D22" s="61" t="s">
        <v>1637</v>
      </c>
      <c r="E22" s="61" t="s">
        <v>38</v>
      </c>
      <c r="F22" s="61">
        <v>11</v>
      </c>
      <c r="G22" s="61">
        <v>618</v>
      </c>
      <c r="H22" s="61">
        <v>13878</v>
      </c>
      <c r="I22" s="61">
        <v>6807</v>
      </c>
      <c r="J22" s="61">
        <v>1446</v>
      </c>
      <c r="K22" s="61">
        <v>1826</v>
      </c>
      <c r="L22" s="61">
        <v>0.42299999999999999</v>
      </c>
      <c r="M22" s="61">
        <v>0.36</v>
      </c>
      <c r="N22" s="61">
        <v>0.79600000000000004</v>
      </c>
      <c r="O22" s="61">
        <v>22.5</v>
      </c>
      <c r="P22" s="61">
        <v>11</v>
      </c>
      <c r="Q22" s="61">
        <v>2.2999999999999998</v>
      </c>
      <c r="R22" s="61">
        <v>3</v>
      </c>
      <c r="S22" s="61">
        <v>27.8</v>
      </c>
      <c r="T22" s="61">
        <v>9.6000000000000002E-2</v>
      </c>
      <c r="U22" s="61">
        <v>0.5</v>
      </c>
      <c r="V22" s="61">
        <v>8.6</v>
      </c>
    </row>
    <row r="23" spans="1:22" ht="15" hidden="1">
      <c r="A23" s="1">
        <v>22</v>
      </c>
      <c r="B23" s="61">
        <v>22</v>
      </c>
      <c r="C23" s="61" t="s">
        <v>23</v>
      </c>
      <c r="D23" s="61" t="s">
        <v>1638</v>
      </c>
      <c r="E23" s="61" t="s">
        <v>744</v>
      </c>
      <c r="F23" s="61">
        <v>13</v>
      </c>
      <c r="G23" s="61">
        <v>867</v>
      </c>
      <c r="H23" s="61">
        <v>24140</v>
      </c>
      <c r="I23" s="61">
        <v>9349</v>
      </c>
      <c r="J23" s="61">
        <v>2487</v>
      </c>
      <c r="K23" s="61">
        <v>3952</v>
      </c>
      <c r="L23" s="61">
        <v>0.44</v>
      </c>
      <c r="M23" s="61">
        <v>0.34300000000000003</v>
      </c>
      <c r="N23" s="61">
        <v>0.85499999999999998</v>
      </c>
      <c r="O23" s="61">
        <v>27.8</v>
      </c>
      <c r="P23" s="61">
        <v>10.8</v>
      </c>
      <c r="Q23" s="61">
        <v>2.9</v>
      </c>
      <c r="R23" s="61">
        <v>4.5999999999999996</v>
      </c>
      <c r="S23" s="61">
        <v>36.799999999999997</v>
      </c>
      <c r="T23" s="61">
        <v>7.2999999999999995E-2</v>
      </c>
      <c r="U23" s="61">
        <v>-0.9</v>
      </c>
      <c r="V23" s="61">
        <v>6.5</v>
      </c>
    </row>
    <row r="24" spans="1:22" ht="15" hidden="1">
      <c r="A24" s="1">
        <v>23</v>
      </c>
      <c r="B24" s="61">
        <v>23</v>
      </c>
      <c r="C24" s="61" t="s">
        <v>36</v>
      </c>
      <c r="D24" s="61" t="s">
        <v>1639</v>
      </c>
      <c r="E24" s="61" t="s">
        <v>61</v>
      </c>
      <c r="F24" s="61">
        <v>10</v>
      </c>
      <c r="G24" s="61">
        <v>549</v>
      </c>
      <c r="H24" s="61">
        <v>11853</v>
      </c>
      <c r="I24" s="61">
        <v>4323</v>
      </c>
      <c r="J24" s="61">
        <v>1400</v>
      </c>
      <c r="K24" s="61">
        <v>747</v>
      </c>
      <c r="L24" s="61">
        <v>0.42699999999999999</v>
      </c>
      <c r="M24" s="61">
        <v>0.35699999999999998</v>
      </c>
      <c r="N24" s="61">
        <v>0.79900000000000004</v>
      </c>
      <c r="O24" s="61">
        <v>21.6</v>
      </c>
      <c r="P24" s="61">
        <v>7.9</v>
      </c>
      <c r="Q24" s="61">
        <v>2.6</v>
      </c>
      <c r="R24" s="61">
        <v>1.4</v>
      </c>
      <c r="S24" s="61">
        <v>18.2</v>
      </c>
      <c r="T24" s="61">
        <v>7.3999999999999996E-2</v>
      </c>
      <c r="U24" s="61">
        <v>-0.1</v>
      </c>
      <c r="V24" s="61">
        <v>5.7</v>
      </c>
    </row>
    <row r="25" spans="1:22" ht="15" hidden="1">
      <c r="A25" s="1">
        <v>24</v>
      </c>
      <c r="B25" s="61">
        <v>24</v>
      </c>
      <c r="C25" s="61" t="s">
        <v>52</v>
      </c>
      <c r="D25" s="61" t="s">
        <v>1640</v>
      </c>
      <c r="E25" s="61" t="s">
        <v>158</v>
      </c>
      <c r="F25" s="61">
        <v>6</v>
      </c>
      <c r="G25" s="61">
        <v>348</v>
      </c>
      <c r="H25" s="61">
        <v>7797</v>
      </c>
      <c r="I25" s="61">
        <v>2842</v>
      </c>
      <c r="J25" s="61">
        <v>845</v>
      </c>
      <c r="K25" s="61">
        <v>747</v>
      </c>
      <c r="L25" s="61">
        <v>0.42299999999999999</v>
      </c>
      <c r="M25" s="61">
        <v>0.38800000000000001</v>
      </c>
      <c r="N25" s="61">
        <v>0.77300000000000002</v>
      </c>
      <c r="O25" s="61">
        <v>22.4</v>
      </c>
      <c r="P25" s="61">
        <v>8.1999999999999993</v>
      </c>
      <c r="Q25" s="61">
        <v>2.4</v>
      </c>
      <c r="R25" s="61">
        <v>2.1</v>
      </c>
      <c r="S25" s="61">
        <v>14.7</v>
      </c>
      <c r="T25" s="61">
        <v>0.09</v>
      </c>
      <c r="U25" s="61">
        <v>0.1</v>
      </c>
      <c r="V25" s="61">
        <v>4.2</v>
      </c>
    </row>
    <row r="26" spans="1:22" ht="15" hidden="1">
      <c r="A26" s="1">
        <v>25</v>
      </c>
      <c r="B26" s="61">
        <v>25</v>
      </c>
      <c r="C26" s="61" t="s">
        <v>141</v>
      </c>
      <c r="D26" s="61" t="s">
        <v>1641</v>
      </c>
      <c r="E26" s="61"/>
      <c r="F26" s="61">
        <v>8</v>
      </c>
      <c r="G26" s="61">
        <v>473</v>
      </c>
      <c r="H26" s="61">
        <v>7262</v>
      </c>
      <c r="I26" s="61">
        <v>2202</v>
      </c>
      <c r="J26" s="61">
        <v>1836</v>
      </c>
      <c r="K26" s="61">
        <v>227</v>
      </c>
      <c r="L26" s="61">
        <v>0.46200000000000002</v>
      </c>
      <c r="M26" s="61">
        <v>0.154</v>
      </c>
      <c r="N26" s="61">
        <v>0.67800000000000005</v>
      </c>
      <c r="O26" s="61">
        <v>15.4</v>
      </c>
      <c r="P26" s="61">
        <v>4.7</v>
      </c>
      <c r="Q26" s="61">
        <v>3.9</v>
      </c>
      <c r="R26" s="61">
        <v>0.5</v>
      </c>
      <c r="S26" s="61">
        <v>5.5</v>
      </c>
      <c r="T26" s="61">
        <v>3.6999999999999998E-2</v>
      </c>
      <c r="U26" s="61">
        <v>-4.5999999999999996</v>
      </c>
      <c r="V26" s="61">
        <v>-4.5999999999999996</v>
      </c>
    </row>
    <row r="27" spans="1:22" ht="15" hidden="1">
      <c r="A27" s="1">
        <v>26</v>
      </c>
      <c r="B27" s="61">
        <v>26</v>
      </c>
      <c r="C27" s="61" t="s">
        <v>34</v>
      </c>
      <c r="D27" s="61" t="s">
        <v>1642</v>
      </c>
      <c r="E27" s="61" t="s">
        <v>131</v>
      </c>
      <c r="F27" s="61">
        <v>10</v>
      </c>
      <c r="G27" s="61">
        <v>618</v>
      </c>
      <c r="H27" s="61">
        <v>11379</v>
      </c>
      <c r="I27" s="61">
        <v>3481</v>
      </c>
      <c r="J27" s="61">
        <v>2576</v>
      </c>
      <c r="K27" s="61">
        <v>266</v>
      </c>
      <c r="L27" s="61">
        <v>0.495</v>
      </c>
      <c r="M27" s="61">
        <v>0</v>
      </c>
      <c r="N27" s="61">
        <v>0.56399999999999995</v>
      </c>
      <c r="O27" s="61">
        <v>18.399999999999999</v>
      </c>
      <c r="P27" s="61">
        <v>5.6</v>
      </c>
      <c r="Q27" s="61">
        <v>4.2</v>
      </c>
      <c r="R27" s="61">
        <v>0.4</v>
      </c>
      <c r="S27" s="61">
        <v>20.3</v>
      </c>
      <c r="T27" s="61">
        <v>8.5999999999999993E-2</v>
      </c>
      <c r="U27" s="61">
        <v>-2.5</v>
      </c>
      <c r="V27" s="61">
        <v>-1.4</v>
      </c>
    </row>
    <row r="28" spans="1:22" ht="15" hidden="1">
      <c r="A28" s="1">
        <v>27</v>
      </c>
      <c r="B28" s="61">
        <v>27</v>
      </c>
      <c r="C28" s="61" t="s">
        <v>124</v>
      </c>
      <c r="D28" s="61" t="s">
        <v>1643</v>
      </c>
      <c r="E28" s="61" t="s">
        <v>71</v>
      </c>
      <c r="F28" s="61">
        <v>7</v>
      </c>
      <c r="G28" s="61">
        <v>409</v>
      </c>
      <c r="H28" s="61">
        <v>8185</v>
      </c>
      <c r="I28" s="61">
        <v>3561</v>
      </c>
      <c r="J28" s="61">
        <v>1470</v>
      </c>
      <c r="K28" s="61">
        <v>321</v>
      </c>
      <c r="L28" s="61">
        <v>0.435</v>
      </c>
      <c r="M28" s="61">
        <v>0.33500000000000002</v>
      </c>
      <c r="N28" s="61">
        <v>0.76300000000000001</v>
      </c>
      <c r="O28" s="61">
        <v>20</v>
      </c>
      <c r="P28" s="61">
        <v>8.6999999999999993</v>
      </c>
      <c r="Q28" s="61">
        <v>3.6</v>
      </c>
      <c r="R28" s="61">
        <v>0.8</v>
      </c>
      <c r="S28" s="61">
        <v>13.6</v>
      </c>
      <c r="T28" s="61">
        <v>0.08</v>
      </c>
      <c r="U28" s="61">
        <v>-2.2999999999999998</v>
      </c>
      <c r="V28" s="61">
        <v>-0.7</v>
      </c>
    </row>
    <row r="29" spans="1:22" ht="15" hidden="1">
      <c r="A29" s="1">
        <v>28</v>
      </c>
      <c r="B29" s="61">
        <v>28</v>
      </c>
      <c r="C29" s="61" t="s">
        <v>79</v>
      </c>
      <c r="D29" s="61" t="s">
        <v>1644</v>
      </c>
      <c r="E29" s="61"/>
      <c r="F29" s="61">
        <v>12</v>
      </c>
      <c r="G29" s="61">
        <v>618</v>
      </c>
      <c r="H29" s="61">
        <v>10353</v>
      </c>
      <c r="I29" s="61">
        <v>3209</v>
      </c>
      <c r="J29" s="61">
        <v>2705</v>
      </c>
      <c r="K29" s="61">
        <v>357</v>
      </c>
      <c r="L29" s="61">
        <v>0.53300000000000003</v>
      </c>
      <c r="M29" s="61">
        <v>0.16</v>
      </c>
      <c r="N29" s="61">
        <v>0.61199999999999999</v>
      </c>
      <c r="O29" s="61">
        <v>16.8</v>
      </c>
      <c r="P29" s="61">
        <v>5.2</v>
      </c>
      <c r="Q29" s="61">
        <v>4.4000000000000004</v>
      </c>
      <c r="R29" s="61">
        <v>0.6</v>
      </c>
      <c r="S29" s="61">
        <v>26.1</v>
      </c>
      <c r="T29" s="61">
        <v>0.121</v>
      </c>
      <c r="U29" s="61">
        <v>-2</v>
      </c>
      <c r="V29" s="61">
        <v>0.1</v>
      </c>
    </row>
    <row r="30" spans="1:22" ht="15" hidden="1">
      <c r="A30" s="1">
        <v>29</v>
      </c>
      <c r="B30" s="61">
        <v>29</v>
      </c>
      <c r="C30" s="61" t="s">
        <v>72</v>
      </c>
      <c r="D30" s="61" t="s">
        <v>1645</v>
      </c>
      <c r="E30" s="61" t="s">
        <v>138</v>
      </c>
      <c r="F30" s="61">
        <v>2</v>
      </c>
      <c r="G30" s="61">
        <v>51</v>
      </c>
      <c r="H30" s="61">
        <v>507</v>
      </c>
      <c r="I30" s="61">
        <v>169</v>
      </c>
      <c r="J30" s="61">
        <v>99</v>
      </c>
      <c r="K30" s="61">
        <v>11</v>
      </c>
      <c r="L30" s="61">
        <v>0.46899999999999997</v>
      </c>
      <c r="M30" s="61">
        <v>0</v>
      </c>
      <c r="N30" s="61">
        <v>0.85399999999999998</v>
      </c>
      <c r="O30" s="61">
        <v>9.9</v>
      </c>
      <c r="P30" s="61">
        <v>3.3</v>
      </c>
      <c r="Q30" s="61">
        <v>1.9</v>
      </c>
      <c r="R30" s="61">
        <v>0.2</v>
      </c>
      <c r="S30" s="61">
        <v>0.9</v>
      </c>
      <c r="T30" s="61">
        <v>8.3000000000000004E-2</v>
      </c>
      <c r="U30" s="61">
        <v>-4.4000000000000004</v>
      </c>
      <c r="V30" s="61">
        <v>-0.3</v>
      </c>
    </row>
    <row r="31" spans="1:22" ht="15" hidden="1">
      <c r="A31" s="1">
        <v>30</v>
      </c>
      <c r="B31" s="61">
        <v>30</v>
      </c>
      <c r="C31" s="61" t="s">
        <v>50</v>
      </c>
      <c r="D31" s="61" t="s">
        <v>1646</v>
      </c>
      <c r="E31" s="61" t="s">
        <v>128</v>
      </c>
      <c r="F31" s="61">
        <v>12</v>
      </c>
      <c r="G31" s="61">
        <v>829</v>
      </c>
      <c r="H31" s="61">
        <v>24293</v>
      </c>
      <c r="I31" s="61">
        <v>11232</v>
      </c>
      <c r="J31" s="61">
        <v>7320</v>
      </c>
      <c r="K31" s="61">
        <v>1825</v>
      </c>
      <c r="L31" s="61">
        <v>0.53500000000000003</v>
      </c>
      <c r="M31" s="61">
        <v>3.4000000000000002E-2</v>
      </c>
      <c r="N31" s="61">
        <v>0.77200000000000002</v>
      </c>
      <c r="O31" s="61">
        <v>29.3</v>
      </c>
      <c r="P31" s="61">
        <v>13.5</v>
      </c>
      <c r="Q31" s="61">
        <v>8.8000000000000007</v>
      </c>
      <c r="R31" s="61">
        <v>2.2000000000000002</v>
      </c>
      <c r="S31" s="61">
        <v>76</v>
      </c>
      <c r="T31" s="61">
        <v>0.15</v>
      </c>
      <c r="U31" s="61">
        <v>1.1000000000000001</v>
      </c>
      <c r="V31" s="61">
        <v>19.2</v>
      </c>
    </row>
    <row r="32" spans="1:22" s="118" customFormat="1" hidden="1">
      <c r="A32" s="68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</row>
    <row r="33" spans="1:22" ht="15">
      <c r="A33" s="1">
        <v>31</v>
      </c>
      <c r="B33" s="61">
        <v>31</v>
      </c>
      <c r="C33" s="61" t="s">
        <v>184</v>
      </c>
      <c r="D33" s="61" t="s">
        <v>1647</v>
      </c>
      <c r="E33" s="61" t="s">
        <v>224</v>
      </c>
      <c r="F33" s="61">
        <v>3</v>
      </c>
      <c r="G33" s="61">
        <v>157</v>
      </c>
      <c r="H33" s="61">
        <v>2672</v>
      </c>
      <c r="I33" s="61">
        <v>1260</v>
      </c>
      <c r="J33" s="61">
        <v>214</v>
      </c>
      <c r="K33" s="61">
        <v>164</v>
      </c>
      <c r="L33" s="61">
        <v>0.40699999999999997</v>
      </c>
      <c r="M33" s="61">
        <v>0.36599999999999999</v>
      </c>
      <c r="N33" s="61">
        <v>0.88200000000000001</v>
      </c>
      <c r="O33" s="61">
        <v>17</v>
      </c>
      <c r="P33" s="61">
        <v>8</v>
      </c>
      <c r="Q33" s="61">
        <v>1.4</v>
      </c>
      <c r="R33" s="61">
        <v>1</v>
      </c>
      <c r="S33" s="61">
        <v>2.2000000000000002</v>
      </c>
      <c r="T33" s="61">
        <v>0.04</v>
      </c>
      <c r="U33" s="61">
        <v>-2.9</v>
      </c>
      <c r="V33" s="61">
        <v>-0.6</v>
      </c>
    </row>
    <row r="34" spans="1:22" ht="15">
      <c r="A34" s="1">
        <v>32</v>
      </c>
      <c r="B34" s="61">
        <v>32</v>
      </c>
      <c r="C34" s="61" t="s">
        <v>28</v>
      </c>
      <c r="D34" s="66" t="s">
        <v>1648</v>
      </c>
      <c r="E34" s="61" t="s">
        <v>171</v>
      </c>
      <c r="F34" s="61">
        <v>2</v>
      </c>
      <c r="G34" s="61">
        <v>127</v>
      </c>
      <c r="H34" s="61">
        <v>1683</v>
      </c>
      <c r="I34" s="61">
        <v>431</v>
      </c>
      <c r="J34" s="61">
        <v>158</v>
      </c>
      <c r="K34" s="61">
        <v>174</v>
      </c>
      <c r="L34" s="61">
        <v>0.38900000000000001</v>
      </c>
      <c r="M34" s="61">
        <v>0.29499999999999998</v>
      </c>
      <c r="N34" s="61">
        <v>0.78</v>
      </c>
      <c r="O34" s="61">
        <v>13.3</v>
      </c>
      <c r="P34" s="61">
        <v>3.4</v>
      </c>
      <c r="Q34" s="61">
        <v>1.2</v>
      </c>
      <c r="R34" s="61">
        <v>1.4</v>
      </c>
      <c r="S34" s="61">
        <v>0.8</v>
      </c>
      <c r="T34" s="61">
        <v>2.4E-2</v>
      </c>
      <c r="U34" s="61">
        <v>-3</v>
      </c>
      <c r="V34" s="61">
        <v>-0.4</v>
      </c>
    </row>
    <row r="35" spans="1:22" ht="15">
      <c r="A35" s="1">
        <v>33</v>
      </c>
      <c r="B35" s="61">
        <v>33</v>
      </c>
      <c r="C35" s="61" t="s">
        <v>1098</v>
      </c>
      <c r="D35" s="61" t="s">
        <v>1649</v>
      </c>
      <c r="E35" s="61" t="s">
        <v>145</v>
      </c>
      <c r="F35" s="61">
        <v>12</v>
      </c>
      <c r="G35" s="61">
        <v>758</v>
      </c>
      <c r="H35" s="61">
        <v>16410</v>
      </c>
      <c r="I35" s="61">
        <v>6575</v>
      </c>
      <c r="J35" s="61">
        <v>3448</v>
      </c>
      <c r="K35" s="61">
        <v>608</v>
      </c>
      <c r="L35" s="61">
        <v>0.499</v>
      </c>
      <c r="M35" s="61">
        <v>0.20699999999999999</v>
      </c>
      <c r="N35" s="61">
        <v>0.83199999999999996</v>
      </c>
      <c r="O35" s="61">
        <v>21.6</v>
      </c>
      <c r="P35" s="61">
        <v>8.6999999999999993</v>
      </c>
      <c r="Q35" s="61">
        <v>4.5</v>
      </c>
      <c r="R35" s="61">
        <v>0.8</v>
      </c>
      <c r="S35" s="61">
        <v>42.8</v>
      </c>
      <c r="T35" s="61">
        <v>0.125</v>
      </c>
      <c r="U35" s="61">
        <v>-0.8</v>
      </c>
      <c r="V35" s="61">
        <v>5.0999999999999996</v>
      </c>
    </row>
    <row r="36" spans="1:22" ht="15">
      <c r="A36" s="1">
        <v>34</v>
      </c>
      <c r="B36" s="61">
        <v>34</v>
      </c>
      <c r="C36" s="61" t="s">
        <v>193</v>
      </c>
      <c r="D36" s="61" t="s">
        <v>1650</v>
      </c>
      <c r="E36" s="61"/>
      <c r="F36" s="61">
        <v>16</v>
      </c>
      <c r="G36" s="61">
        <v>849</v>
      </c>
      <c r="H36" s="61">
        <v>17284</v>
      </c>
      <c r="I36" s="61">
        <v>8108</v>
      </c>
      <c r="J36" s="61">
        <v>2011</v>
      </c>
      <c r="K36" s="61">
        <v>914</v>
      </c>
      <c r="L36" s="61">
        <v>0.41099999999999998</v>
      </c>
      <c r="M36" s="61">
        <v>0.35799999999999998</v>
      </c>
      <c r="N36" s="61">
        <v>0.80900000000000005</v>
      </c>
      <c r="O36" s="61">
        <v>20.399999999999999</v>
      </c>
      <c r="P36" s="61">
        <v>9.6</v>
      </c>
      <c r="Q36" s="61">
        <v>2.4</v>
      </c>
      <c r="R36" s="61">
        <v>1.1000000000000001</v>
      </c>
      <c r="S36" s="61">
        <v>30.1</v>
      </c>
      <c r="T36" s="61">
        <v>8.4000000000000005E-2</v>
      </c>
      <c r="U36" s="61">
        <v>-0.4</v>
      </c>
      <c r="V36" s="61">
        <v>6.9</v>
      </c>
    </row>
    <row r="37" spans="1:22" ht="15">
      <c r="A37" s="1">
        <v>35</v>
      </c>
      <c r="B37" s="61">
        <v>35</v>
      </c>
      <c r="C37" s="61" t="s">
        <v>124</v>
      </c>
      <c r="D37" s="66" t="s">
        <v>1651</v>
      </c>
      <c r="E37" s="61"/>
      <c r="F37" s="61">
        <v>0</v>
      </c>
      <c r="G37" s="61">
        <v>0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</row>
    <row r="38" spans="1:22" ht="15">
      <c r="A38" s="1">
        <v>36</v>
      </c>
      <c r="B38" s="61">
        <v>36</v>
      </c>
      <c r="C38" s="61" t="s">
        <v>57</v>
      </c>
      <c r="D38" s="61" t="s">
        <v>1652</v>
      </c>
      <c r="E38" s="61"/>
      <c r="F38" s="61">
        <v>13</v>
      </c>
      <c r="G38" s="61">
        <v>825</v>
      </c>
      <c r="H38" s="61">
        <v>18957</v>
      </c>
      <c r="I38" s="61">
        <v>8364</v>
      </c>
      <c r="J38" s="61">
        <v>4661</v>
      </c>
      <c r="K38" s="61">
        <v>908</v>
      </c>
      <c r="L38" s="61">
        <v>0.443</v>
      </c>
      <c r="M38" s="61">
        <v>0.36699999999999999</v>
      </c>
      <c r="N38" s="61">
        <v>0.77700000000000002</v>
      </c>
      <c r="O38" s="61">
        <v>23</v>
      </c>
      <c r="P38" s="61">
        <v>10.1</v>
      </c>
      <c r="Q38" s="61">
        <v>5.6</v>
      </c>
      <c r="R38" s="61">
        <v>1.1000000000000001</v>
      </c>
      <c r="S38" s="61">
        <v>48.8</v>
      </c>
      <c r="T38" s="61">
        <v>0.124</v>
      </c>
      <c r="U38" s="61">
        <v>-0.1</v>
      </c>
      <c r="V38" s="61">
        <v>9</v>
      </c>
    </row>
    <row r="39" spans="1:22" ht="15">
      <c r="A39" s="1">
        <v>37</v>
      </c>
      <c r="B39" s="61">
        <v>37</v>
      </c>
      <c r="C39" s="61" t="s">
        <v>31</v>
      </c>
      <c r="D39" s="61" t="s">
        <v>1653</v>
      </c>
      <c r="E39" s="61" t="s">
        <v>43</v>
      </c>
      <c r="F39" s="61">
        <v>10</v>
      </c>
      <c r="G39" s="61">
        <v>473</v>
      </c>
      <c r="H39" s="61">
        <v>8020</v>
      </c>
      <c r="I39" s="61">
        <v>2209</v>
      </c>
      <c r="J39" s="61">
        <v>1757</v>
      </c>
      <c r="K39" s="61">
        <v>618</v>
      </c>
      <c r="L39" s="61">
        <v>0.53300000000000003</v>
      </c>
      <c r="M39" s="61">
        <v>0</v>
      </c>
      <c r="N39" s="61">
        <v>0.63600000000000001</v>
      </c>
      <c r="O39" s="61">
        <v>17</v>
      </c>
      <c r="P39" s="61">
        <v>4.7</v>
      </c>
      <c r="Q39" s="61">
        <v>3.7</v>
      </c>
      <c r="R39" s="61">
        <v>1.3</v>
      </c>
      <c r="S39" s="61">
        <v>19.2</v>
      </c>
      <c r="T39" s="61">
        <v>0.115</v>
      </c>
      <c r="U39" s="61">
        <v>0.3</v>
      </c>
      <c r="V39" s="61">
        <v>4.7</v>
      </c>
    </row>
    <row r="40" spans="1:22" ht="15">
      <c r="A40" s="1">
        <v>38</v>
      </c>
      <c r="B40" s="61">
        <v>38</v>
      </c>
      <c r="C40" s="61" t="s">
        <v>179</v>
      </c>
      <c r="D40" s="61" t="s">
        <v>1654</v>
      </c>
      <c r="E40" s="61" t="s">
        <v>123</v>
      </c>
      <c r="F40" s="61">
        <v>5</v>
      </c>
      <c r="G40" s="61">
        <v>179</v>
      </c>
      <c r="H40" s="61">
        <v>2660</v>
      </c>
      <c r="I40" s="61">
        <v>854</v>
      </c>
      <c r="J40" s="61">
        <v>243</v>
      </c>
      <c r="K40" s="61">
        <v>432</v>
      </c>
      <c r="L40" s="61">
        <v>0.38800000000000001</v>
      </c>
      <c r="M40" s="61">
        <v>0.35299999999999998</v>
      </c>
      <c r="N40" s="61">
        <v>0.84699999999999998</v>
      </c>
      <c r="O40" s="61">
        <v>14.9</v>
      </c>
      <c r="P40" s="61">
        <v>4.8</v>
      </c>
      <c r="Q40" s="61">
        <v>1.4</v>
      </c>
      <c r="R40" s="61">
        <v>2.4</v>
      </c>
      <c r="S40" s="61">
        <v>5.6</v>
      </c>
      <c r="T40" s="61">
        <v>0.10199999999999999</v>
      </c>
      <c r="U40" s="61">
        <v>-0.4</v>
      </c>
      <c r="V40" s="61">
        <v>1.1000000000000001</v>
      </c>
    </row>
    <row r="41" spans="1:22" ht="15">
      <c r="A41" s="1">
        <v>39</v>
      </c>
      <c r="B41" s="61">
        <v>39</v>
      </c>
      <c r="C41" s="61" t="s">
        <v>31</v>
      </c>
      <c r="D41" s="61" t="s">
        <v>1655</v>
      </c>
      <c r="E41" s="61" t="s">
        <v>182</v>
      </c>
      <c r="F41" s="61">
        <v>6</v>
      </c>
      <c r="G41" s="61">
        <v>200</v>
      </c>
      <c r="H41" s="61">
        <v>2475</v>
      </c>
      <c r="I41" s="61">
        <v>1054</v>
      </c>
      <c r="J41" s="61">
        <v>234</v>
      </c>
      <c r="K41" s="61">
        <v>146</v>
      </c>
      <c r="L41" s="61">
        <v>0.42</v>
      </c>
      <c r="M41" s="61">
        <v>0.32500000000000001</v>
      </c>
      <c r="N41" s="61">
        <v>0.751</v>
      </c>
      <c r="O41" s="61">
        <v>12.4</v>
      </c>
      <c r="P41" s="61">
        <v>5.3</v>
      </c>
      <c r="Q41" s="61">
        <v>1.2</v>
      </c>
      <c r="R41" s="61">
        <v>0.7</v>
      </c>
      <c r="S41" s="61">
        <v>3.3</v>
      </c>
      <c r="T41" s="61">
        <v>6.4000000000000001E-2</v>
      </c>
      <c r="U41" s="61">
        <v>-1.8</v>
      </c>
      <c r="V41" s="61">
        <v>0.1</v>
      </c>
    </row>
    <row r="42" spans="1:22" ht="15">
      <c r="A42" s="1">
        <v>40</v>
      </c>
      <c r="B42" s="61">
        <v>40</v>
      </c>
      <c r="C42" s="61" t="s">
        <v>25</v>
      </c>
      <c r="D42" s="61" t="s">
        <v>1656</v>
      </c>
      <c r="E42" s="61"/>
      <c r="F42" s="61">
        <v>12</v>
      </c>
      <c r="G42" s="61">
        <v>833</v>
      </c>
      <c r="H42" s="61">
        <v>29011</v>
      </c>
      <c r="I42" s="61">
        <v>14858</v>
      </c>
      <c r="J42" s="61">
        <v>2874</v>
      </c>
      <c r="K42" s="61">
        <v>3856</v>
      </c>
      <c r="L42" s="61">
        <v>0.45100000000000001</v>
      </c>
      <c r="M42" s="61">
        <v>0.314</v>
      </c>
      <c r="N42" s="61">
        <v>0.77200000000000002</v>
      </c>
      <c r="O42" s="61">
        <v>34.799999999999997</v>
      </c>
      <c r="P42" s="61">
        <v>17.8</v>
      </c>
      <c r="Q42" s="61">
        <v>3.5</v>
      </c>
      <c r="R42" s="61">
        <v>4.5999999999999996</v>
      </c>
      <c r="S42" s="61">
        <v>41.9</v>
      </c>
      <c r="T42" s="61">
        <v>6.9000000000000006E-2</v>
      </c>
      <c r="U42" s="61">
        <v>-0.3</v>
      </c>
      <c r="V42" s="61">
        <v>12.4</v>
      </c>
    </row>
    <row r="43" spans="1:22" ht="15">
      <c r="A43" s="1">
        <v>41</v>
      </c>
      <c r="B43" s="61">
        <v>41</v>
      </c>
      <c r="C43" s="61" t="s">
        <v>163</v>
      </c>
      <c r="D43" s="66" t="s">
        <v>1657</v>
      </c>
      <c r="E43" s="61"/>
      <c r="F43" s="61">
        <v>2</v>
      </c>
      <c r="G43" s="61">
        <v>85</v>
      </c>
      <c r="H43" s="61">
        <v>987</v>
      </c>
      <c r="I43" s="61">
        <v>341</v>
      </c>
      <c r="J43" s="61">
        <v>78</v>
      </c>
      <c r="K43" s="61">
        <v>165</v>
      </c>
      <c r="L43" s="61">
        <v>0.38700000000000001</v>
      </c>
      <c r="M43" s="61">
        <v>0.189</v>
      </c>
      <c r="N43" s="61">
        <v>0.746</v>
      </c>
      <c r="O43" s="61">
        <v>11.6</v>
      </c>
      <c r="P43" s="61">
        <v>4</v>
      </c>
      <c r="Q43" s="61">
        <v>0.9</v>
      </c>
      <c r="R43" s="61">
        <v>1.9</v>
      </c>
      <c r="S43" s="61">
        <v>-0.2</v>
      </c>
      <c r="T43" s="61">
        <v>-7.0000000000000001E-3</v>
      </c>
      <c r="U43" s="61">
        <v>-4.3</v>
      </c>
      <c r="V43" s="61">
        <v>-0.6</v>
      </c>
    </row>
    <row r="44" spans="1:22" ht="15">
      <c r="A44" s="1">
        <v>42</v>
      </c>
      <c r="B44" s="61">
        <v>42</v>
      </c>
      <c r="C44" s="61" t="s">
        <v>25</v>
      </c>
      <c r="D44" s="66" t="s">
        <v>1658</v>
      </c>
      <c r="E44" s="61" t="s">
        <v>219</v>
      </c>
      <c r="F44" s="61">
        <v>1</v>
      </c>
      <c r="G44" s="61">
        <v>17</v>
      </c>
      <c r="H44" s="61">
        <v>144</v>
      </c>
      <c r="I44" s="61">
        <v>47</v>
      </c>
      <c r="J44" s="61">
        <v>36</v>
      </c>
      <c r="K44" s="61">
        <v>2</v>
      </c>
      <c r="L44" s="61">
        <v>0.60499999999999998</v>
      </c>
      <c r="M44" s="61">
        <v>0</v>
      </c>
      <c r="N44" s="61">
        <v>0.16700000000000001</v>
      </c>
      <c r="O44" s="61">
        <v>8.5</v>
      </c>
      <c r="P44" s="61">
        <v>2.8</v>
      </c>
      <c r="Q44" s="61">
        <v>2.1</v>
      </c>
      <c r="R44" s="61">
        <v>0.1</v>
      </c>
      <c r="S44" s="61">
        <v>0.5</v>
      </c>
      <c r="T44" s="61">
        <v>0.155</v>
      </c>
      <c r="U44" s="61">
        <v>-0.7</v>
      </c>
      <c r="V44" s="61">
        <v>0</v>
      </c>
    </row>
    <row r="45" spans="1:22" ht="15">
      <c r="A45" s="1">
        <v>43</v>
      </c>
      <c r="B45" s="61">
        <v>43</v>
      </c>
      <c r="C45" s="61" t="s">
        <v>1214</v>
      </c>
      <c r="D45" s="66" t="s">
        <v>1659</v>
      </c>
      <c r="E45" s="61"/>
      <c r="F45" s="61">
        <v>1</v>
      </c>
      <c r="G45" s="61">
        <v>5</v>
      </c>
      <c r="H45" s="61">
        <v>6</v>
      </c>
      <c r="I45" s="61">
        <v>0</v>
      </c>
      <c r="J45" s="61">
        <v>1</v>
      </c>
      <c r="K45" s="61">
        <v>0</v>
      </c>
      <c r="L45" s="61">
        <v>0</v>
      </c>
      <c r="M45" s="61">
        <v>0</v>
      </c>
      <c r="N45" s="61">
        <v>0</v>
      </c>
      <c r="O45" s="61">
        <v>1.2</v>
      </c>
      <c r="P45" s="61">
        <v>0</v>
      </c>
      <c r="Q45" s="61">
        <v>0.2</v>
      </c>
      <c r="R45" s="61">
        <v>0</v>
      </c>
      <c r="S45" s="61">
        <v>-0.2</v>
      </c>
      <c r="T45" s="61">
        <v>-1.264</v>
      </c>
      <c r="U45" s="61">
        <v>-52</v>
      </c>
      <c r="V45" s="61">
        <v>-0.1</v>
      </c>
    </row>
    <row r="46" spans="1:22" ht="15">
      <c r="A46" s="1">
        <v>44</v>
      </c>
      <c r="B46" s="61">
        <v>44</v>
      </c>
      <c r="C46" s="61" t="s">
        <v>179</v>
      </c>
      <c r="D46" s="66" t="s">
        <v>1660</v>
      </c>
      <c r="E46" s="61"/>
      <c r="F46" s="61">
        <v>1</v>
      </c>
      <c r="G46" s="61">
        <v>6</v>
      </c>
      <c r="H46" s="61">
        <v>9</v>
      </c>
      <c r="I46" s="61">
        <v>0</v>
      </c>
      <c r="J46" s="61">
        <v>4</v>
      </c>
      <c r="K46" s="61">
        <v>0</v>
      </c>
      <c r="L46" s="61">
        <v>0</v>
      </c>
      <c r="M46" s="61">
        <v>0</v>
      </c>
      <c r="N46" s="61">
        <v>0</v>
      </c>
      <c r="O46" s="61">
        <v>1.5</v>
      </c>
      <c r="P46" s="61">
        <v>0</v>
      </c>
      <c r="Q46" s="61">
        <v>0.7</v>
      </c>
      <c r="R46" s="61">
        <v>0</v>
      </c>
      <c r="S46" s="61">
        <v>0</v>
      </c>
      <c r="T46" s="61">
        <v>0.155</v>
      </c>
      <c r="U46" s="61">
        <v>5.2</v>
      </c>
      <c r="V46" s="61">
        <v>0</v>
      </c>
    </row>
    <row r="47" spans="1:22" ht="15">
      <c r="A47" s="1">
        <v>45</v>
      </c>
      <c r="B47" s="61">
        <v>45</v>
      </c>
      <c r="C47" s="61" t="s">
        <v>66</v>
      </c>
      <c r="D47" s="61" t="s">
        <v>1661</v>
      </c>
      <c r="E47" s="61"/>
      <c r="F47" s="61">
        <v>17</v>
      </c>
      <c r="G47" s="61">
        <v>1123</v>
      </c>
      <c r="H47" s="61">
        <v>27104</v>
      </c>
      <c r="I47" s="61">
        <v>15593</v>
      </c>
      <c r="J47" s="61">
        <v>2484</v>
      </c>
      <c r="K47" s="61">
        <v>3789</v>
      </c>
      <c r="L47" s="61">
        <v>0.41899999999999998</v>
      </c>
      <c r="M47" s="61">
        <v>0.35099999999999998</v>
      </c>
      <c r="N47" s="61">
        <v>0.84199999999999997</v>
      </c>
      <c r="O47" s="61">
        <v>24.1</v>
      </c>
      <c r="P47" s="61">
        <v>13.9</v>
      </c>
      <c r="Q47" s="61">
        <v>2.2000000000000002</v>
      </c>
      <c r="R47" s="61">
        <v>3.4</v>
      </c>
      <c r="S47" s="61">
        <v>65.7</v>
      </c>
      <c r="T47" s="61">
        <v>0.11600000000000001</v>
      </c>
      <c r="U47" s="61">
        <v>1.4</v>
      </c>
      <c r="V47" s="61">
        <v>23.2</v>
      </c>
    </row>
    <row r="48" spans="1:22" ht="15">
      <c r="A48" s="1">
        <v>46</v>
      </c>
      <c r="B48" s="61">
        <v>46</v>
      </c>
      <c r="C48" s="61" t="s">
        <v>41</v>
      </c>
      <c r="D48" s="66" t="s">
        <v>1662</v>
      </c>
      <c r="E48" s="61"/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61">
        <v>0</v>
      </c>
    </row>
    <row r="49" spans="1:24" ht="15">
      <c r="A49" s="1">
        <v>47</v>
      </c>
      <c r="B49" s="61">
        <v>47</v>
      </c>
      <c r="C49" s="61" t="s">
        <v>135</v>
      </c>
      <c r="D49" s="66" t="s">
        <v>1663</v>
      </c>
      <c r="E49" s="61" t="s">
        <v>195</v>
      </c>
      <c r="F49" s="61">
        <v>2</v>
      </c>
      <c r="G49" s="61">
        <v>26</v>
      </c>
      <c r="H49" s="61">
        <v>325</v>
      </c>
      <c r="I49" s="61">
        <v>129</v>
      </c>
      <c r="J49" s="61">
        <v>39</v>
      </c>
      <c r="K49" s="61">
        <v>20</v>
      </c>
      <c r="L49" s="61">
        <v>0.40500000000000003</v>
      </c>
      <c r="M49" s="61">
        <v>0.32400000000000001</v>
      </c>
      <c r="N49" s="61">
        <v>0.79400000000000004</v>
      </c>
      <c r="O49" s="61">
        <v>12.5</v>
      </c>
      <c r="P49" s="61">
        <v>5</v>
      </c>
      <c r="Q49" s="61">
        <v>1.5</v>
      </c>
      <c r="R49" s="61">
        <v>0.8</v>
      </c>
      <c r="S49" s="61">
        <v>0.5</v>
      </c>
      <c r="T49" s="61">
        <v>6.8000000000000005E-2</v>
      </c>
      <c r="U49" s="61">
        <v>-1.6</v>
      </c>
      <c r="V49" s="61">
        <v>0</v>
      </c>
    </row>
    <row r="50" spans="1:24" ht="15">
      <c r="A50" s="1">
        <v>48</v>
      </c>
      <c r="B50" s="61">
        <v>48</v>
      </c>
      <c r="C50" s="61" t="s">
        <v>141</v>
      </c>
      <c r="D50" s="61" t="s">
        <v>1664</v>
      </c>
      <c r="E50" s="61"/>
      <c r="F50" s="61">
        <v>3</v>
      </c>
      <c r="G50" s="61">
        <v>145</v>
      </c>
      <c r="H50" s="61">
        <v>2348</v>
      </c>
      <c r="I50" s="61">
        <v>670</v>
      </c>
      <c r="J50" s="61">
        <v>330</v>
      </c>
      <c r="K50" s="61">
        <v>115</v>
      </c>
      <c r="L50" s="61">
        <v>0.47</v>
      </c>
      <c r="M50" s="61">
        <v>0.316</v>
      </c>
      <c r="N50" s="61">
        <v>0.81499999999999995</v>
      </c>
      <c r="O50" s="61">
        <v>16.2</v>
      </c>
      <c r="P50" s="61">
        <v>4.5999999999999996</v>
      </c>
      <c r="Q50" s="61">
        <v>2.2999999999999998</v>
      </c>
      <c r="R50" s="61">
        <v>0.8</v>
      </c>
      <c r="S50" s="61">
        <v>3</v>
      </c>
      <c r="T50" s="61">
        <v>6.2E-2</v>
      </c>
      <c r="U50" s="61">
        <v>-2.1</v>
      </c>
      <c r="V50" s="61">
        <v>0</v>
      </c>
    </row>
    <row r="51" spans="1:24" ht="15">
      <c r="A51" s="1">
        <v>49</v>
      </c>
      <c r="B51" s="61">
        <v>49</v>
      </c>
      <c r="C51" s="61" t="s">
        <v>69</v>
      </c>
      <c r="D51" s="61" t="s">
        <v>1665</v>
      </c>
      <c r="E51" s="61"/>
      <c r="F51" s="61">
        <v>9</v>
      </c>
      <c r="G51" s="61">
        <v>564</v>
      </c>
      <c r="H51" s="61">
        <v>12462</v>
      </c>
      <c r="I51" s="61">
        <v>5706</v>
      </c>
      <c r="J51" s="61">
        <v>3024</v>
      </c>
      <c r="K51" s="61">
        <v>798</v>
      </c>
      <c r="L51" s="61">
        <v>0.46700000000000003</v>
      </c>
      <c r="M51" s="61">
        <v>0.23699999999999999</v>
      </c>
      <c r="N51" s="61">
        <v>0.72499999999999998</v>
      </c>
      <c r="O51" s="61">
        <v>22.1</v>
      </c>
      <c r="P51" s="61">
        <v>10.1</v>
      </c>
      <c r="Q51" s="61">
        <v>5.4</v>
      </c>
      <c r="R51" s="61">
        <v>1.4</v>
      </c>
      <c r="S51" s="61">
        <v>19.2</v>
      </c>
      <c r="T51" s="61">
        <v>7.3999999999999996E-2</v>
      </c>
      <c r="U51" s="61">
        <v>-0.8</v>
      </c>
      <c r="V51" s="61">
        <v>3.8</v>
      </c>
    </row>
    <row r="52" spans="1:24" ht="15">
      <c r="A52" s="1">
        <v>50</v>
      </c>
      <c r="B52" s="61">
        <v>50</v>
      </c>
      <c r="C52" s="61" t="s">
        <v>190</v>
      </c>
      <c r="D52" s="61" t="s">
        <v>1666</v>
      </c>
      <c r="E52" s="61" t="s">
        <v>314</v>
      </c>
      <c r="F52" s="61">
        <v>8</v>
      </c>
      <c r="G52" s="61">
        <v>487</v>
      </c>
      <c r="H52" s="61">
        <v>13463</v>
      </c>
      <c r="I52" s="61">
        <v>4926</v>
      </c>
      <c r="J52" s="61">
        <v>2239</v>
      </c>
      <c r="K52" s="61">
        <v>712</v>
      </c>
      <c r="L52" s="61">
        <v>0.44500000000000001</v>
      </c>
      <c r="M52" s="61">
        <v>0.34899999999999998</v>
      </c>
      <c r="N52" s="61">
        <v>0.79900000000000004</v>
      </c>
      <c r="O52" s="61">
        <v>27.6</v>
      </c>
      <c r="P52" s="61">
        <v>10.1</v>
      </c>
      <c r="Q52" s="61">
        <v>4.5999999999999996</v>
      </c>
      <c r="R52" s="61">
        <v>1.5</v>
      </c>
      <c r="S52" s="61">
        <v>19.399999999999999</v>
      </c>
      <c r="T52" s="61">
        <v>6.9000000000000006E-2</v>
      </c>
      <c r="U52" s="61">
        <v>-1.6</v>
      </c>
      <c r="V52" s="61">
        <v>1.4</v>
      </c>
    </row>
    <row r="53" spans="1:24" ht="15">
      <c r="A53" s="1">
        <v>51</v>
      </c>
      <c r="B53" s="61">
        <v>51</v>
      </c>
      <c r="C53" s="61" t="s">
        <v>193</v>
      </c>
      <c r="D53" s="66" t="s">
        <v>1667</v>
      </c>
      <c r="E53" s="61" t="s">
        <v>1668</v>
      </c>
      <c r="F53" s="61">
        <v>1</v>
      </c>
      <c r="G53" s="61">
        <v>23</v>
      </c>
      <c r="H53" s="61">
        <v>212</v>
      </c>
      <c r="I53" s="61">
        <v>49</v>
      </c>
      <c r="J53" s="61">
        <v>43</v>
      </c>
      <c r="K53" s="61">
        <v>17</v>
      </c>
      <c r="L53" s="61">
        <v>0.40400000000000003</v>
      </c>
      <c r="M53" s="61">
        <v>0</v>
      </c>
      <c r="N53" s="61">
        <v>0.5</v>
      </c>
      <c r="O53" s="61">
        <v>9.1999999999999993</v>
      </c>
      <c r="P53" s="61">
        <v>2.1</v>
      </c>
      <c r="Q53" s="61">
        <v>1.9</v>
      </c>
      <c r="R53" s="61">
        <v>0.7</v>
      </c>
      <c r="S53" s="61">
        <v>0</v>
      </c>
      <c r="T53" s="61">
        <v>4.0000000000000001E-3</v>
      </c>
      <c r="U53" s="61">
        <v>-5.0999999999999996</v>
      </c>
      <c r="V53" s="61">
        <v>-0.2</v>
      </c>
    </row>
    <row r="54" spans="1:24" ht="15">
      <c r="A54" s="1">
        <v>52</v>
      </c>
      <c r="B54" s="61">
        <v>52</v>
      </c>
      <c r="C54" s="61" t="s">
        <v>23</v>
      </c>
      <c r="D54" s="66" t="s">
        <v>1669</v>
      </c>
      <c r="E54" s="61"/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</row>
    <row r="55" spans="1:24" ht="15">
      <c r="A55" s="1">
        <v>53</v>
      </c>
      <c r="B55" s="61">
        <v>53</v>
      </c>
      <c r="C55" s="61" t="s">
        <v>190</v>
      </c>
      <c r="D55" s="61" t="s">
        <v>1670</v>
      </c>
      <c r="E55" s="61" t="s">
        <v>1022</v>
      </c>
      <c r="F55" s="61">
        <v>4</v>
      </c>
      <c r="G55" s="61">
        <v>131</v>
      </c>
      <c r="H55" s="61">
        <v>1555</v>
      </c>
      <c r="I55" s="61">
        <v>326</v>
      </c>
      <c r="J55" s="61">
        <v>195</v>
      </c>
      <c r="K55" s="61">
        <v>155</v>
      </c>
      <c r="L55" s="61">
        <v>0.38700000000000001</v>
      </c>
      <c r="M55" s="61">
        <v>0.21199999999999999</v>
      </c>
      <c r="N55" s="61">
        <v>0.64200000000000002</v>
      </c>
      <c r="O55" s="61">
        <v>11.9</v>
      </c>
      <c r="P55" s="61">
        <v>2.5</v>
      </c>
      <c r="Q55" s="61">
        <v>1.5</v>
      </c>
      <c r="R55" s="61">
        <v>1.2</v>
      </c>
      <c r="S55" s="61">
        <v>-0.7</v>
      </c>
      <c r="T55" s="61">
        <v>-2.1999999999999999E-2</v>
      </c>
      <c r="U55" s="61">
        <v>-4.5999999999999996</v>
      </c>
      <c r="V55" s="61">
        <v>-1</v>
      </c>
      <c r="W55" s="116">
        <f>(4*0.438)+(1.06*2)+(1.75)</f>
        <v>5.6219999999999999</v>
      </c>
      <c r="X55" s="116">
        <f>W55/30</f>
        <v>0.18739999999999998</v>
      </c>
    </row>
    <row r="56" spans="1:24" ht="15">
      <c r="A56" s="1">
        <v>54</v>
      </c>
      <c r="B56" s="61">
        <v>54</v>
      </c>
      <c r="C56" s="61" t="s">
        <v>50</v>
      </c>
      <c r="D56" s="66" t="s">
        <v>1671</v>
      </c>
      <c r="E56" s="61" t="s">
        <v>63</v>
      </c>
      <c r="F56" s="61">
        <v>2</v>
      </c>
      <c r="G56" s="61">
        <v>16</v>
      </c>
      <c r="H56" s="61">
        <v>93</v>
      </c>
      <c r="I56" s="61">
        <v>45</v>
      </c>
      <c r="J56" s="61">
        <v>19</v>
      </c>
      <c r="K56" s="61">
        <v>3</v>
      </c>
      <c r="L56" s="61">
        <v>0.42499999999999999</v>
      </c>
      <c r="M56" s="61">
        <v>0.308</v>
      </c>
      <c r="N56" s="61">
        <v>0.875</v>
      </c>
      <c r="O56" s="61">
        <v>5.8</v>
      </c>
      <c r="P56" s="61">
        <v>2.8</v>
      </c>
      <c r="Q56" s="61">
        <v>1.2</v>
      </c>
      <c r="R56" s="61">
        <v>0.2</v>
      </c>
      <c r="S56" s="61">
        <v>0.2</v>
      </c>
      <c r="T56" s="61">
        <v>0.10199999999999999</v>
      </c>
      <c r="U56" s="61">
        <v>-0.5</v>
      </c>
      <c r="V56" s="61">
        <v>0</v>
      </c>
    </row>
    <row r="57" spans="1:24" ht="15">
      <c r="A57" s="1">
        <v>55</v>
      </c>
      <c r="B57" s="61">
        <v>55</v>
      </c>
      <c r="C57" s="61" t="s">
        <v>141</v>
      </c>
      <c r="D57" s="66" t="s">
        <v>1672</v>
      </c>
      <c r="E57" s="61" t="s">
        <v>619</v>
      </c>
      <c r="F57" s="61">
        <v>2</v>
      </c>
      <c r="G57" s="61">
        <v>87</v>
      </c>
      <c r="H57" s="61">
        <v>1150</v>
      </c>
      <c r="I57" s="61">
        <v>334</v>
      </c>
      <c r="J57" s="61">
        <v>310</v>
      </c>
      <c r="K57" s="61">
        <v>35</v>
      </c>
      <c r="L57" s="61">
        <v>0.45200000000000001</v>
      </c>
      <c r="M57" s="61">
        <v>0</v>
      </c>
      <c r="N57" s="61">
        <v>0.68799999999999994</v>
      </c>
      <c r="O57" s="61">
        <v>13.2</v>
      </c>
      <c r="P57" s="61">
        <v>3.8</v>
      </c>
      <c r="Q57" s="61">
        <v>3.6</v>
      </c>
      <c r="R57" s="61">
        <v>0.4</v>
      </c>
      <c r="S57" s="61">
        <v>2.5</v>
      </c>
      <c r="T57" s="61">
        <v>0.106</v>
      </c>
      <c r="U57" s="61">
        <v>-1.9</v>
      </c>
      <c r="V57" s="61">
        <v>0</v>
      </c>
    </row>
    <row r="58" spans="1:24" ht="15">
      <c r="A58" s="1">
        <v>56</v>
      </c>
      <c r="B58" s="61">
        <v>56</v>
      </c>
      <c r="C58" s="61" t="s">
        <v>34</v>
      </c>
      <c r="D58" s="61" t="s">
        <v>1673</v>
      </c>
      <c r="E58" s="61"/>
      <c r="F58" s="61">
        <v>14</v>
      </c>
      <c r="G58" s="61">
        <v>870</v>
      </c>
      <c r="H58" s="61">
        <v>18323</v>
      </c>
      <c r="I58" s="61">
        <v>6102</v>
      </c>
      <c r="J58" s="61">
        <v>4692</v>
      </c>
      <c r="K58" s="61">
        <v>1073</v>
      </c>
      <c r="L58" s="61">
        <v>0.56999999999999995</v>
      </c>
      <c r="M58" s="61">
        <v>0.33200000000000002</v>
      </c>
      <c r="N58" s="61">
        <v>0.67300000000000004</v>
      </c>
      <c r="O58" s="61">
        <v>21.1</v>
      </c>
      <c r="P58" s="61">
        <v>7</v>
      </c>
      <c r="Q58" s="61">
        <v>5.4</v>
      </c>
      <c r="R58" s="61">
        <v>1.2</v>
      </c>
      <c r="S58" s="61">
        <v>55.3</v>
      </c>
      <c r="T58" s="61">
        <v>0.14499999999999999</v>
      </c>
      <c r="U58" s="61">
        <v>0.3</v>
      </c>
      <c r="V58" s="61">
        <v>10.6</v>
      </c>
    </row>
    <row r="59" spans="1:24" ht="15">
      <c r="A59" s="1">
        <v>57</v>
      </c>
      <c r="B59" s="61">
        <v>57</v>
      </c>
      <c r="C59" s="61" t="s">
        <v>323</v>
      </c>
      <c r="D59" s="61" t="s">
        <v>1674</v>
      </c>
      <c r="E59" s="61"/>
      <c r="F59" s="61">
        <v>12</v>
      </c>
      <c r="G59" s="61">
        <v>806</v>
      </c>
      <c r="H59" s="61">
        <v>20691</v>
      </c>
      <c r="I59" s="61">
        <v>7951</v>
      </c>
      <c r="J59" s="61">
        <v>6407</v>
      </c>
      <c r="K59" s="61">
        <v>915</v>
      </c>
      <c r="L59" s="61">
        <v>0.55100000000000005</v>
      </c>
      <c r="M59" s="61">
        <v>0.15</v>
      </c>
      <c r="N59" s="61">
        <v>0.68</v>
      </c>
      <c r="O59" s="61">
        <v>25.7</v>
      </c>
      <c r="P59" s="61">
        <v>9.9</v>
      </c>
      <c r="Q59" s="61">
        <v>7.9</v>
      </c>
      <c r="R59" s="61">
        <v>1.1000000000000001</v>
      </c>
      <c r="S59" s="61">
        <v>61.3</v>
      </c>
      <c r="T59" s="61">
        <v>0.14199999999999999</v>
      </c>
      <c r="U59" s="61">
        <v>0.4</v>
      </c>
      <c r="V59" s="61">
        <v>12.7</v>
      </c>
    </row>
    <row r="60" spans="1:24" ht="15">
      <c r="A60" s="1">
        <v>58</v>
      </c>
      <c r="B60" s="61">
        <v>58</v>
      </c>
      <c r="C60" s="61" t="s">
        <v>163</v>
      </c>
      <c r="D60" s="66" t="s">
        <v>1675</v>
      </c>
      <c r="E60" s="61"/>
      <c r="F60" s="61">
        <v>1</v>
      </c>
      <c r="G60" s="61">
        <v>20</v>
      </c>
      <c r="H60" s="61">
        <v>72</v>
      </c>
      <c r="I60" s="61">
        <v>38</v>
      </c>
      <c r="J60" s="61">
        <v>14</v>
      </c>
      <c r="K60" s="61">
        <v>1</v>
      </c>
      <c r="L60" s="61">
        <v>0.53800000000000003</v>
      </c>
      <c r="M60" s="61">
        <v>0.5</v>
      </c>
      <c r="N60" s="61">
        <v>0.69199999999999995</v>
      </c>
      <c r="O60" s="61">
        <v>3.6</v>
      </c>
      <c r="P60" s="61">
        <v>1.9</v>
      </c>
      <c r="Q60" s="61">
        <v>0.7</v>
      </c>
      <c r="R60" s="61">
        <v>0.1</v>
      </c>
      <c r="S60" s="61">
        <v>0.1</v>
      </c>
      <c r="T60" s="61">
        <v>4.2000000000000003E-2</v>
      </c>
      <c r="U60" s="61">
        <v>-5.6</v>
      </c>
      <c r="V60" s="61">
        <v>-0.1</v>
      </c>
    </row>
    <row r="61" spans="1:24" ht="15">
      <c r="A61" s="1">
        <v>59</v>
      </c>
      <c r="B61" s="61">
        <v>59</v>
      </c>
      <c r="C61" s="61" t="s">
        <v>184</v>
      </c>
      <c r="D61" s="66" t="s">
        <v>1676</v>
      </c>
      <c r="E61" s="61"/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</row>
    <row r="62" spans="1:24" ht="15">
      <c r="A62" s="1">
        <v>60</v>
      </c>
      <c r="B62" s="61">
        <v>60</v>
      </c>
      <c r="C62" s="61" t="s">
        <v>34</v>
      </c>
      <c r="D62" s="66" t="s">
        <v>1677</v>
      </c>
      <c r="E62" s="61" t="s">
        <v>162</v>
      </c>
      <c r="F62" s="61">
        <v>2</v>
      </c>
      <c r="G62" s="61">
        <v>30</v>
      </c>
      <c r="H62" s="61">
        <v>234</v>
      </c>
      <c r="I62" s="61">
        <v>81</v>
      </c>
      <c r="J62" s="61">
        <v>29</v>
      </c>
      <c r="K62" s="61">
        <v>16</v>
      </c>
      <c r="L62" s="61">
        <v>0.37</v>
      </c>
      <c r="M62" s="61">
        <v>0.32</v>
      </c>
      <c r="N62" s="61">
        <v>0.5</v>
      </c>
      <c r="O62" s="61">
        <v>7.8</v>
      </c>
      <c r="P62" s="61">
        <v>2.7</v>
      </c>
      <c r="Q62" s="61">
        <v>1</v>
      </c>
      <c r="R62" s="61">
        <v>0.5</v>
      </c>
      <c r="S62" s="61">
        <v>-0.2</v>
      </c>
      <c r="T62" s="61">
        <v>-4.2999999999999997E-2</v>
      </c>
      <c r="U62" s="61">
        <v>-5.3</v>
      </c>
      <c r="V62" s="61">
        <v>-0.2</v>
      </c>
    </row>
    <row r="64" spans="1:24" ht="15">
      <c r="D64" s="1" t="s">
        <v>3</v>
      </c>
      <c r="E64" s="1" t="s">
        <v>500</v>
      </c>
    </row>
    <row r="65" spans="4:5" ht="15">
      <c r="D65" s="3" t="s">
        <v>1678</v>
      </c>
      <c r="E65" s="3" t="s">
        <v>6</v>
      </c>
    </row>
    <row r="66" spans="4:5" ht="15">
      <c r="D66" s="3" t="s">
        <v>1679</v>
      </c>
      <c r="E66" s="3" t="s">
        <v>1001</v>
      </c>
    </row>
    <row r="67" spans="4:5" ht="15">
      <c r="D67" s="3" t="s">
        <v>1680</v>
      </c>
      <c r="E67" s="3" t="s">
        <v>846</v>
      </c>
    </row>
    <row r="68" spans="4:5" ht="15">
      <c r="D68" s="3" t="s">
        <v>1681</v>
      </c>
      <c r="E68" s="3" t="s">
        <v>6</v>
      </c>
    </row>
    <row r="69" spans="4:5" ht="15">
      <c r="D69" s="3" t="s">
        <v>1682</v>
      </c>
      <c r="E69" s="3" t="s">
        <v>506</v>
      </c>
    </row>
    <row r="70" spans="4:5" ht="15">
      <c r="D70" s="3" t="s">
        <v>1683</v>
      </c>
      <c r="E70" s="3" t="s">
        <v>722</v>
      </c>
    </row>
    <row r="71" spans="4:5" ht="15">
      <c r="D71" s="3" t="s">
        <v>1684</v>
      </c>
      <c r="E71" s="3" t="s">
        <v>6</v>
      </c>
    </row>
  </sheetData>
  <conditionalFormatting sqref="G1:G62">
    <cfRule type="cellIs" dxfId="2" priority="1" operator="greaterThan">
      <formula>82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6628-15C3-4C42-A201-022D3AA0FD81}">
  <dimension ref="A1:AK70"/>
  <sheetViews>
    <sheetView zoomScale="115" workbookViewId="0">
      <pane ySplit="1" topLeftCell="A38" activePane="bottomLeft" state="frozen"/>
      <selection pane="bottomLeft" activeCell="AK66" sqref="AK66"/>
    </sheetView>
  </sheetViews>
  <sheetFormatPr defaultColWidth="8.875" defaultRowHeight="14.1"/>
  <cols>
    <col min="1" max="1" width="3" style="116" bestFit="1" customWidth="1"/>
    <col min="2" max="2" width="2.875" style="116" bestFit="1" customWidth="1"/>
    <col min="3" max="3" width="4.375" style="116" bestFit="1" customWidth="1"/>
    <col min="4" max="4" width="13" style="116" bestFit="1" customWidth="1"/>
    <col min="5" max="5" width="19.625" style="116" bestFit="1" customWidth="1"/>
    <col min="6" max="6" width="3.375" style="116" bestFit="1" customWidth="1"/>
    <col min="7" max="7" width="4.5" style="116" bestFit="1" customWidth="1"/>
    <col min="8" max="10" width="5.375" style="116" bestFit="1" customWidth="1"/>
    <col min="11" max="11" width="4.5" style="116" bestFit="1" customWidth="1"/>
    <col min="12" max="14" width="5.375" style="116" bestFit="1" customWidth="1"/>
    <col min="15" max="17" width="4.5" style="116" bestFit="1" customWidth="1"/>
    <col min="18" max="18" width="3.875" style="116" bestFit="1" customWidth="1"/>
    <col min="19" max="19" width="5.375" style="116" bestFit="1" customWidth="1"/>
    <col min="20" max="20" width="5.875" style="116" bestFit="1" customWidth="1"/>
    <col min="21" max="21" width="4.125" style="116" bestFit="1" customWidth="1"/>
    <col min="22" max="22" width="5" style="116" bestFit="1" customWidth="1"/>
    <col min="23" max="23" width="8.875" style="116"/>
    <col min="24" max="24" width="14.625" style="116" customWidth="1"/>
    <col min="25" max="16384" width="8.875" style="116"/>
  </cols>
  <sheetData>
    <row r="1" spans="1:25" ht="15">
      <c r="A1" s="1" t="s">
        <v>292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5" ht="30" hidden="1">
      <c r="A2" s="1">
        <v>1</v>
      </c>
      <c r="B2" s="61">
        <v>1</v>
      </c>
      <c r="C2" s="61" t="s">
        <v>179</v>
      </c>
      <c r="D2" s="61" t="s">
        <v>1685</v>
      </c>
      <c r="E2" s="61"/>
      <c r="F2" s="61">
        <v>18</v>
      </c>
      <c r="G2" s="61">
        <v>1242</v>
      </c>
      <c r="H2" s="61">
        <v>39457</v>
      </c>
      <c r="I2" s="61">
        <v>19485</v>
      </c>
      <c r="J2" s="61">
        <v>14627</v>
      </c>
      <c r="K2" s="61">
        <v>1676</v>
      </c>
      <c r="L2" s="61">
        <v>0.58699999999999997</v>
      </c>
      <c r="M2" s="61">
        <v>0.214</v>
      </c>
      <c r="N2" s="61">
        <v>0.56699999999999995</v>
      </c>
      <c r="O2" s="61">
        <v>31.8</v>
      </c>
      <c r="P2" s="61">
        <v>15.7</v>
      </c>
      <c r="Q2" s="61">
        <v>11.8</v>
      </c>
      <c r="R2" s="61">
        <v>1.3</v>
      </c>
      <c r="S2" s="61">
        <v>141.69999999999999</v>
      </c>
      <c r="T2" s="61">
        <v>0.17199999999999999</v>
      </c>
      <c r="U2" s="61">
        <v>1.9</v>
      </c>
      <c r="V2" s="61">
        <v>39</v>
      </c>
      <c r="X2" s="1" t="s">
        <v>294</v>
      </c>
    </row>
    <row r="3" spans="1:25" ht="15" hidden="1">
      <c r="A3" s="1">
        <v>2</v>
      </c>
      <c r="B3" s="61">
        <v>2</v>
      </c>
      <c r="C3" s="61" t="s">
        <v>1095</v>
      </c>
      <c r="D3" s="61" t="s">
        <v>1686</v>
      </c>
      <c r="E3" s="61" t="s">
        <v>300</v>
      </c>
      <c r="F3" s="61">
        <v>10</v>
      </c>
      <c r="G3" s="61">
        <v>616</v>
      </c>
      <c r="H3" s="61">
        <v>19055</v>
      </c>
      <c r="I3" s="61">
        <v>7370</v>
      </c>
      <c r="J3" s="61">
        <v>5967</v>
      </c>
      <c r="K3" s="61">
        <v>520</v>
      </c>
      <c r="L3" s="61">
        <v>0.51200000000000001</v>
      </c>
      <c r="M3" s="61">
        <v>0</v>
      </c>
      <c r="N3" s="61">
        <v>0.58599999999999997</v>
      </c>
      <c r="O3" s="61">
        <v>30.9</v>
      </c>
      <c r="P3" s="61">
        <v>12</v>
      </c>
      <c r="Q3" s="61">
        <v>9.6999999999999993</v>
      </c>
      <c r="R3" s="61">
        <v>0.8</v>
      </c>
      <c r="S3" s="61">
        <v>45.3</v>
      </c>
      <c r="T3" s="61">
        <v>0.114</v>
      </c>
      <c r="U3" s="61">
        <v>-0.6</v>
      </c>
      <c r="V3" s="61">
        <v>6.8</v>
      </c>
      <c r="X3" s="53" t="s">
        <v>296</v>
      </c>
    </row>
    <row r="4" spans="1:25" ht="15" hidden="1">
      <c r="A4" s="1">
        <v>3</v>
      </c>
      <c r="B4" s="61">
        <v>3</v>
      </c>
      <c r="C4" s="61" t="s">
        <v>99</v>
      </c>
      <c r="D4" s="61" t="s">
        <v>1687</v>
      </c>
      <c r="E4" s="61" t="s">
        <v>300</v>
      </c>
      <c r="F4" s="61">
        <v>11</v>
      </c>
      <c r="G4" s="61">
        <v>744</v>
      </c>
      <c r="H4" s="61">
        <v>20366</v>
      </c>
      <c r="I4" s="61">
        <v>11084</v>
      </c>
      <c r="J4" s="61">
        <v>1851</v>
      </c>
      <c r="K4" s="61">
        <v>1868</v>
      </c>
      <c r="L4" s="61">
        <v>0.432</v>
      </c>
      <c r="M4" s="61">
        <v>0.40100000000000002</v>
      </c>
      <c r="N4" s="61">
        <v>0.85699999999999998</v>
      </c>
      <c r="O4" s="61">
        <v>27.4</v>
      </c>
      <c r="P4" s="61">
        <v>14.9</v>
      </c>
      <c r="Q4" s="61">
        <v>2.5</v>
      </c>
      <c r="R4" s="61">
        <v>2.5</v>
      </c>
      <c r="S4" s="61">
        <v>33.299999999999997</v>
      </c>
      <c r="T4" s="61">
        <v>7.8E-2</v>
      </c>
      <c r="U4" s="61">
        <v>-0.3</v>
      </c>
      <c r="V4" s="61">
        <v>8.6999999999999993</v>
      </c>
      <c r="X4" s="54" t="s">
        <v>298</v>
      </c>
    </row>
    <row r="5" spans="1:25" ht="15" hidden="1">
      <c r="A5" s="1">
        <v>4</v>
      </c>
      <c r="B5" s="61">
        <v>4</v>
      </c>
      <c r="C5" s="61" t="s">
        <v>28</v>
      </c>
      <c r="D5" s="61" t="s">
        <v>1688</v>
      </c>
      <c r="E5" s="61"/>
      <c r="F5" s="61">
        <v>14</v>
      </c>
      <c r="G5" s="61">
        <v>833</v>
      </c>
      <c r="H5" s="61">
        <v>17188</v>
      </c>
      <c r="I5" s="61">
        <v>5231</v>
      </c>
      <c r="J5" s="61">
        <v>1989</v>
      </c>
      <c r="K5" s="61">
        <v>2483</v>
      </c>
      <c r="L5" s="61">
        <v>0.48599999999999999</v>
      </c>
      <c r="M5" s="61">
        <v>0.17799999999999999</v>
      </c>
      <c r="N5" s="61">
        <v>0.79400000000000004</v>
      </c>
      <c r="O5" s="61">
        <v>20.6</v>
      </c>
      <c r="P5" s="61">
        <v>6.3</v>
      </c>
      <c r="Q5" s="61">
        <v>2.4</v>
      </c>
      <c r="R5" s="61">
        <v>3</v>
      </c>
      <c r="S5" s="61">
        <v>29.9</v>
      </c>
      <c r="T5" s="61">
        <v>8.4000000000000005E-2</v>
      </c>
      <c r="U5" s="61">
        <v>-1</v>
      </c>
      <c r="V5" s="61">
        <v>4.3</v>
      </c>
      <c r="X5" s="58" t="s">
        <v>39</v>
      </c>
    </row>
    <row r="6" spans="1:25" ht="15" hidden="1">
      <c r="A6" s="1">
        <v>5</v>
      </c>
      <c r="B6" s="61">
        <v>5</v>
      </c>
      <c r="C6" s="61" t="s">
        <v>69</v>
      </c>
      <c r="D6" s="61" t="s">
        <v>1689</v>
      </c>
      <c r="E6" s="61" t="s">
        <v>453</v>
      </c>
      <c r="F6" s="61">
        <v>15</v>
      </c>
      <c r="G6" s="61">
        <v>985</v>
      </c>
      <c r="H6" s="61">
        <v>23963</v>
      </c>
      <c r="I6" s="61">
        <v>10597</v>
      </c>
      <c r="J6" s="61">
        <v>2151</v>
      </c>
      <c r="K6" s="61">
        <v>3869</v>
      </c>
      <c r="L6" s="61">
        <v>0.432</v>
      </c>
      <c r="M6" s="61">
        <v>0.32500000000000001</v>
      </c>
      <c r="N6" s="61">
        <v>0.79600000000000004</v>
      </c>
      <c r="O6" s="61">
        <v>24.3</v>
      </c>
      <c r="P6" s="61">
        <v>10.8</v>
      </c>
      <c r="Q6" s="61">
        <v>2.2000000000000002</v>
      </c>
      <c r="R6" s="61">
        <v>3.9</v>
      </c>
      <c r="S6" s="61">
        <v>54.9</v>
      </c>
      <c r="T6" s="61">
        <v>0.11</v>
      </c>
      <c r="U6" s="61">
        <v>0.6</v>
      </c>
      <c r="V6" s="61">
        <v>15.5</v>
      </c>
      <c r="X6" s="59" t="s">
        <v>302</v>
      </c>
    </row>
    <row r="7" spans="1:25" ht="15" hidden="1">
      <c r="A7" s="1">
        <v>6</v>
      </c>
      <c r="B7" s="61">
        <v>6</v>
      </c>
      <c r="C7" s="61" t="s">
        <v>184</v>
      </c>
      <c r="D7" s="61" t="s">
        <v>1690</v>
      </c>
      <c r="E7" s="61" t="s">
        <v>121</v>
      </c>
      <c r="F7" s="61">
        <v>8</v>
      </c>
      <c r="G7" s="61">
        <v>391</v>
      </c>
      <c r="H7" s="61">
        <v>10432</v>
      </c>
      <c r="I7" s="61">
        <v>3548</v>
      </c>
      <c r="J7" s="61">
        <v>1850</v>
      </c>
      <c r="K7" s="61">
        <v>609</v>
      </c>
      <c r="L7" s="61">
        <v>0.52200000000000002</v>
      </c>
      <c r="M7" s="61">
        <v>0.32900000000000001</v>
      </c>
      <c r="N7" s="61">
        <v>0.77900000000000003</v>
      </c>
      <c r="O7" s="61">
        <v>26.7</v>
      </c>
      <c r="P7" s="61">
        <v>9.1</v>
      </c>
      <c r="Q7" s="61">
        <v>4.7</v>
      </c>
      <c r="R7" s="61">
        <v>1.6</v>
      </c>
      <c r="S7" s="61">
        <v>25.7</v>
      </c>
      <c r="T7" s="61">
        <v>0.11799999999999999</v>
      </c>
      <c r="U7" s="61">
        <v>0.8</v>
      </c>
      <c r="V7" s="61">
        <v>7.4</v>
      </c>
      <c r="X7" s="60" t="s">
        <v>867</v>
      </c>
    </row>
    <row r="8" spans="1:25" ht="15" hidden="1">
      <c r="A8" s="1">
        <v>7</v>
      </c>
      <c r="B8" s="61">
        <v>7</v>
      </c>
      <c r="C8" s="61" t="s">
        <v>323</v>
      </c>
      <c r="D8" s="61" t="s">
        <v>1691</v>
      </c>
      <c r="E8" s="61" t="s">
        <v>171</v>
      </c>
      <c r="F8" s="61">
        <v>15</v>
      </c>
      <c r="G8" s="61">
        <v>902</v>
      </c>
      <c r="H8" s="61">
        <v>30941</v>
      </c>
      <c r="I8" s="61">
        <v>13361</v>
      </c>
      <c r="J8" s="61">
        <v>5468</v>
      </c>
      <c r="K8" s="61">
        <v>2042</v>
      </c>
      <c r="L8" s="61">
        <v>0.45600000000000002</v>
      </c>
      <c r="M8" s="61">
        <v>0.33200000000000002</v>
      </c>
      <c r="N8" s="61">
        <v>0.76900000000000002</v>
      </c>
      <c r="O8" s="61">
        <v>34.299999999999997</v>
      </c>
      <c r="P8" s="61">
        <v>14.8</v>
      </c>
      <c r="Q8" s="61">
        <v>6.1</v>
      </c>
      <c r="R8" s="61">
        <v>2.2999999999999998</v>
      </c>
      <c r="S8" s="61">
        <v>74</v>
      </c>
      <c r="T8" s="61">
        <v>0.115</v>
      </c>
      <c r="U8" s="61">
        <v>0.9</v>
      </c>
      <c r="V8" s="61">
        <v>22.9</v>
      </c>
      <c r="X8" s="55"/>
    </row>
    <row r="9" spans="1:25" ht="15" hidden="1">
      <c r="A9" s="1">
        <v>8</v>
      </c>
      <c r="B9" s="61">
        <v>8</v>
      </c>
      <c r="C9" s="61" t="s">
        <v>163</v>
      </c>
      <c r="D9" s="61" t="s">
        <v>1692</v>
      </c>
      <c r="E9" s="61" t="s">
        <v>1241</v>
      </c>
      <c r="F9" s="61">
        <v>3</v>
      </c>
      <c r="G9" s="61">
        <v>139</v>
      </c>
      <c r="H9" s="61">
        <v>1585</v>
      </c>
      <c r="I9" s="61">
        <v>389</v>
      </c>
      <c r="J9" s="61">
        <v>395</v>
      </c>
      <c r="K9" s="61">
        <v>41</v>
      </c>
      <c r="L9" s="61">
        <v>0.40500000000000003</v>
      </c>
      <c r="M9" s="61">
        <v>0.25</v>
      </c>
      <c r="N9" s="61">
        <v>0.67900000000000005</v>
      </c>
      <c r="O9" s="61">
        <v>11.4</v>
      </c>
      <c r="P9" s="61">
        <v>2.8</v>
      </c>
      <c r="Q9" s="61">
        <v>2.8</v>
      </c>
      <c r="R9" s="61">
        <v>0.3</v>
      </c>
      <c r="S9" s="61">
        <v>-0.4</v>
      </c>
      <c r="T9" s="61">
        <v>-1.2999999999999999E-2</v>
      </c>
      <c r="U9" s="61">
        <v>-7.2</v>
      </c>
      <c r="V9" s="61">
        <v>-2.1</v>
      </c>
      <c r="X9" s="56"/>
    </row>
    <row r="10" spans="1:25" ht="15" hidden="1">
      <c r="A10" s="1">
        <v>9</v>
      </c>
      <c r="B10" s="61">
        <v>9</v>
      </c>
      <c r="C10" s="61" t="s">
        <v>66</v>
      </c>
      <c r="D10" s="61" t="s">
        <v>1693</v>
      </c>
      <c r="E10" s="61" t="s">
        <v>224</v>
      </c>
      <c r="F10" s="61">
        <v>19</v>
      </c>
      <c r="G10" s="61">
        <v>1231</v>
      </c>
      <c r="H10" s="61">
        <v>39507</v>
      </c>
      <c r="I10" s="61">
        <v>13968</v>
      </c>
      <c r="J10" s="61">
        <v>6047</v>
      </c>
      <c r="K10" s="61">
        <v>5147</v>
      </c>
      <c r="L10" s="61">
        <v>0.46300000000000002</v>
      </c>
      <c r="M10" s="61">
        <v>0.33</v>
      </c>
      <c r="N10" s="61">
        <v>0.70899999999999996</v>
      </c>
      <c r="O10" s="61">
        <v>32.1</v>
      </c>
      <c r="P10" s="61">
        <v>11.3</v>
      </c>
      <c r="Q10" s="61">
        <v>4.9000000000000004</v>
      </c>
      <c r="R10" s="61">
        <v>4.2</v>
      </c>
      <c r="S10" s="61">
        <v>100.4</v>
      </c>
      <c r="T10" s="61">
        <v>0.122</v>
      </c>
      <c r="U10" s="61">
        <v>2.1</v>
      </c>
      <c r="V10" s="61">
        <v>41.3</v>
      </c>
      <c r="X10" s="57" t="s">
        <v>111</v>
      </c>
      <c r="Y10" s="116" t="s">
        <v>871</v>
      </c>
    </row>
    <row r="11" spans="1:25" ht="15" hidden="1">
      <c r="A11" s="1">
        <v>10</v>
      </c>
      <c r="B11" s="61">
        <v>10</v>
      </c>
      <c r="C11" s="61" t="s">
        <v>76</v>
      </c>
      <c r="D11" s="61" t="s">
        <v>1694</v>
      </c>
      <c r="E11" s="61" t="s">
        <v>55</v>
      </c>
      <c r="F11" s="61">
        <v>4</v>
      </c>
      <c r="G11" s="61">
        <v>73</v>
      </c>
      <c r="H11" s="61">
        <v>724</v>
      </c>
      <c r="I11" s="61">
        <v>252</v>
      </c>
      <c r="J11" s="61">
        <v>89</v>
      </c>
      <c r="K11" s="61">
        <v>58</v>
      </c>
      <c r="L11" s="61">
        <v>0.35699999999999998</v>
      </c>
      <c r="M11" s="61">
        <v>0.36</v>
      </c>
      <c r="N11" s="61">
        <v>0.73199999999999998</v>
      </c>
      <c r="O11" s="61">
        <v>9.9</v>
      </c>
      <c r="P11" s="61">
        <v>3.5</v>
      </c>
      <c r="Q11" s="61">
        <v>1.2</v>
      </c>
      <c r="R11" s="61">
        <v>0.8</v>
      </c>
      <c r="S11" s="61">
        <v>0.2</v>
      </c>
      <c r="T11" s="61">
        <v>0.01</v>
      </c>
      <c r="U11" s="61">
        <v>-3.7</v>
      </c>
      <c r="V11" s="61">
        <v>-0.3</v>
      </c>
    </row>
    <row r="12" spans="1:25" ht="15" hidden="1">
      <c r="A12" s="1">
        <v>11</v>
      </c>
      <c r="B12" s="61">
        <v>11</v>
      </c>
      <c r="C12" s="61" t="s">
        <v>25</v>
      </c>
      <c r="D12" s="61" t="s">
        <v>1695</v>
      </c>
      <c r="E12" s="61"/>
      <c r="F12" s="61">
        <v>10</v>
      </c>
      <c r="G12" s="61">
        <v>516</v>
      </c>
      <c r="H12" s="61">
        <v>11146</v>
      </c>
      <c r="I12" s="61">
        <v>3247</v>
      </c>
      <c r="J12" s="61">
        <v>3631</v>
      </c>
      <c r="K12" s="61">
        <v>467</v>
      </c>
      <c r="L12" s="61">
        <v>0.59399999999999997</v>
      </c>
      <c r="M12" s="61">
        <v>0</v>
      </c>
      <c r="N12" s="61">
        <v>0.5</v>
      </c>
      <c r="O12" s="61">
        <v>21.6</v>
      </c>
      <c r="P12" s="61">
        <v>6.3</v>
      </c>
      <c r="Q12" s="61">
        <v>7</v>
      </c>
      <c r="R12" s="61">
        <v>0.9</v>
      </c>
      <c r="S12" s="61">
        <v>30.7</v>
      </c>
      <c r="T12" s="61">
        <v>0.13200000000000001</v>
      </c>
      <c r="U12" s="61">
        <v>-0.4</v>
      </c>
      <c r="V12" s="61">
        <v>4.5999999999999996</v>
      </c>
    </row>
    <row r="13" spans="1:25" ht="15" hidden="1">
      <c r="A13" s="1">
        <v>12</v>
      </c>
      <c r="B13" s="61">
        <v>12</v>
      </c>
      <c r="C13" s="61" t="s">
        <v>141</v>
      </c>
      <c r="D13" s="61" t="s">
        <v>1696</v>
      </c>
      <c r="E13" s="61"/>
      <c r="F13" s="61">
        <v>4</v>
      </c>
      <c r="G13" s="61">
        <v>97</v>
      </c>
      <c r="H13" s="61">
        <v>1500</v>
      </c>
      <c r="I13" s="61">
        <v>416</v>
      </c>
      <c r="J13" s="61">
        <v>376</v>
      </c>
      <c r="K13" s="61">
        <v>20</v>
      </c>
      <c r="L13" s="61">
        <v>0.50600000000000001</v>
      </c>
      <c r="M13" s="61">
        <v>0</v>
      </c>
      <c r="N13" s="61">
        <v>0.61</v>
      </c>
      <c r="O13" s="61">
        <v>15.5</v>
      </c>
      <c r="P13" s="61">
        <v>4.3</v>
      </c>
      <c r="Q13" s="61">
        <v>3.9</v>
      </c>
      <c r="R13" s="61">
        <v>0.2</v>
      </c>
      <c r="S13" s="61">
        <v>1.7</v>
      </c>
      <c r="T13" s="61">
        <v>5.3999999999999999E-2</v>
      </c>
      <c r="U13" s="61">
        <v>-3.8</v>
      </c>
      <c r="V13" s="61">
        <v>-0.7</v>
      </c>
    </row>
    <row r="14" spans="1:25" ht="15" hidden="1">
      <c r="A14" s="1">
        <v>13</v>
      </c>
      <c r="B14" s="61">
        <v>13</v>
      </c>
      <c r="C14" s="61" t="s">
        <v>124</v>
      </c>
      <c r="D14" s="61" t="s">
        <v>1697</v>
      </c>
      <c r="E14" s="61"/>
      <c r="F14" s="61">
        <v>10</v>
      </c>
      <c r="G14" s="61">
        <v>564</v>
      </c>
      <c r="H14" s="61">
        <v>12149</v>
      </c>
      <c r="I14" s="61">
        <v>4183</v>
      </c>
      <c r="J14" s="61">
        <v>898</v>
      </c>
      <c r="K14" s="61">
        <v>1960</v>
      </c>
      <c r="L14" s="61">
        <v>0.39</v>
      </c>
      <c r="M14" s="61">
        <v>0.31900000000000001</v>
      </c>
      <c r="N14" s="61">
        <v>0.77700000000000002</v>
      </c>
      <c r="O14" s="61">
        <v>21.5</v>
      </c>
      <c r="P14" s="61">
        <v>7.4</v>
      </c>
      <c r="Q14" s="61">
        <v>1.6</v>
      </c>
      <c r="R14" s="61">
        <v>3.5</v>
      </c>
      <c r="S14" s="61">
        <v>5</v>
      </c>
      <c r="T14" s="61">
        <v>0.02</v>
      </c>
      <c r="U14" s="61">
        <v>-3.4</v>
      </c>
      <c r="V14" s="61">
        <v>-4.2</v>
      </c>
    </row>
    <row r="15" spans="1:25" ht="15" hidden="1">
      <c r="A15" s="1">
        <v>14</v>
      </c>
      <c r="B15" s="61">
        <v>14</v>
      </c>
      <c r="C15" s="61" t="s">
        <v>193</v>
      </c>
      <c r="D15" s="61" t="s">
        <v>1698</v>
      </c>
      <c r="E15" s="61" t="s">
        <v>356</v>
      </c>
      <c r="F15" s="61">
        <v>13</v>
      </c>
      <c r="G15" s="61">
        <v>800</v>
      </c>
      <c r="H15" s="61">
        <v>14232</v>
      </c>
      <c r="I15" s="61">
        <v>5350</v>
      </c>
      <c r="J15" s="61">
        <v>4314</v>
      </c>
      <c r="K15" s="61">
        <v>556</v>
      </c>
      <c r="L15" s="61">
        <v>0.46300000000000002</v>
      </c>
      <c r="M15" s="61">
        <v>0.29299999999999998</v>
      </c>
      <c r="N15" s="61">
        <v>0.7</v>
      </c>
      <c r="O15" s="61">
        <v>17.8</v>
      </c>
      <c r="P15" s="61">
        <v>6.7</v>
      </c>
      <c r="Q15" s="61">
        <v>5.4</v>
      </c>
      <c r="R15" s="61">
        <v>0.7</v>
      </c>
      <c r="S15" s="61">
        <v>30.3</v>
      </c>
      <c r="T15" s="61">
        <v>0.10199999999999999</v>
      </c>
      <c r="U15" s="61">
        <v>-1.7</v>
      </c>
      <c r="V15" s="61">
        <v>1.2</v>
      </c>
    </row>
    <row r="16" spans="1:25" ht="15" hidden="1">
      <c r="A16" s="1">
        <v>15</v>
      </c>
      <c r="B16" s="61">
        <v>15</v>
      </c>
      <c r="C16" s="61" t="s">
        <v>190</v>
      </c>
      <c r="D16" s="61" t="s">
        <v>1699</v>
      </c>
      <c r="E16" s="61"/>
      <c r="F16" s="61">
        <v>14</v>
      </c>
      <c r="G16" s="61">
        <v>915</v>
      </c>
      <c r="H16" s="61">
        <v>26299</v>
      </c>
      <c r="I16" s="61">
        <v>14343</v>
      </c>
      <c r="J16" s="61">
        <v>7690</v>
      </c>
      <c r="K16" s="61">
        <v>1347</v>
      </c>
      <c r="L16" s="61">
        <v>0.499</v>
      </c>
      <c r="M16" s="61">
        <v>0.121</v>
      </c>
      <c r="N16" s="61">
        <v>0.71099999999999997</v>
      </c>
      <c r="O16" s="61">
        <v>28.7</v>
      </c>
      <c r="P16" s="61">
        <v>15.7</v>
      </c>
      <c r="Q16" s="61">
        <v>8.4</v>
      </c>
      <c r="R16" s="61">
        <v>1.5</v>
      </c>
      <c r="S16" s="61">
        <v>71</v>
      </c>
      <c r="T16" s="61">
        <v>0.13</v>
      </c>
      <c r="U16" s="61">
        <v>1.2</v>
      </c>
      <c r="V16" s="61">
        <v>21.3</v>
      </c>
    </row>
    <row r="17" spans="1:22" ht="15" hidden="1">
      <c r="A17" s="1">
        <v>16</v>
      </c>
      <c r="B17" s="61">
        <v>16</v>
      </c>
      <c r="C17" s="61" t="s">
        <v>193</v>
      </c>
      <c r="D17" s="61" t="s">
        <v>1700</v>
      </c>
      <c r="E17" s="61" t="s">
        <v>147</v>
      </c>
      <c r="F17" s="61">
        <v>4</v>
      </c>
      <c r="G17" s="61">
        <v>211</v>
      </c>
      <c r="H17" s="61">
        <v>3540</v>
      </c>
      <c r="I17" s="61">
        <v>1333</v>
      </c>
      <c r="J17" s="61">
        <v>491</v>
      </c>
      <c r="K17" s="61">
        <v>241</v>
      </c>
      <c r="L17" s="61">
        <v>0.438</v>
      </c>
      <c r="M17" s="61">
        <v>0.32700000000000001</v>
      </c>
      <c r="N17" s="61">
        <v>0.69899999999999995</v>
      </c>
      <c r="O17" s="61">
        <v>16.8</v>
      </c>
      <c r="P17" s="61">
        <v>6.3</v>
      </c>
      <c r="Q17" s="61">
        <v>2.2999999999999998</v>
      </c>
      <c r="R17" s="61">
        <v>1.1000000000000001</v>
      </c>
      <c r="S17" s="61">
        <v>4.5</v>
      </c>
      <c r="T17" s="61">
        <v>6.0999999999999999E-2</v>
      </c>
      <c r="U17" s="61">
        <v>-1.2</v>
      </c>
      <c r="V17" s="61">
        <v>0.7</v>
      </c>
    </row>
    <row r="18" spans="1:22" ht="15" hidden="1">
      <c r="A18" s="1">
        <v>17</v>
      </c>
      <c r="B18" s="61">
        <v>17</v>
      </c>
      <c r="C18" s="61" t="s">
        <v>184</v>
      </c>
      <c r="D18" s="61" t="s">
        <v>1701</v>
      </c>
      <c r="E18" s="61"/>
      <c r="F18" s="61">
        <v>13</v>
      </c>
      <c r="G18" s="61">
        <v>894</v>
      </c>
      <c r="H18" s="61">
        <v>29000</v>
      </c>
      <c r="I18" s="61">
        <v>12996</v>
      </c>
      <c r="J18" s="61">
        <v>6653</v>
      </c>
      <c r="K18" s="61">
        <v>2789</v>
      </c>
      <c r="L18" s="61">
        <v>0.45200000000000001</v>
      </c>
      <c r="M18" s="61">
        <v>0.28499999999999998</v>
      </c>
      <c r="N18" s="61">
        <v>0.63200000000000001</v>
      </c>
      <c r="O18" s="61">
        <v>32.4</v>
      </c>
      <c r="P18" s="61">
        <v>14.5</v>
      </c>
      <c r="Q18" s="61">
        <v>7.4</v>
      </c>
      <c r="R18" s="61">
        <v>3.1</v>
      </c>
      <c r="S18" s="61">
        <v>51</v>
      </c>
      <c r="T18" s="61">
        <v>8.4000000000000005E-2</v>
      </c>
      <c r="U18" s="61">
        <v>1.7</v>
      </c>
      <c r="V18" s="61">
        <v>27.2</v>
      </c>
    </row>
    <row r="19" spans="1:22" ht="15" hidden="1">
      <c r="A19" s="1">
        <v>18</v>
      </c>
      <c r="B19" s="61">
        <v>18</v>
      </c>
      <c r="C19" s="61" t="s">
        <v>1098</v>
      </c>
      <c r="D19" s="61" t="s">
        <v>1702</v>
      </c>
      <c r="E19" s="61"/>
      <c r="F19" s="61">
        <v>16</v>
      </c>
      <c r="G19" s="61">
        <v>977</v>
      </c>
      <c r="H19" s="61">
        <v>26275</v>
      </c>
      <c r="I19" s="61">
        <v>12148</v>
      </c>
      <c r="J19" s="61">
        <v>3073</v>
      </c>
      <c r="K19" s="61">
        <v>2077</v>
      </c>
      <c r="L19" s="61">
        <v>0.41899999999999998</v>
      </c>
      <c r="M19" s="61">
        <v>0.373</v>
      </c>
      <c r="N19" s="61">
        <v>0.73299999999999998</v>
      </c>
      <c r="O19" s="61">
        <v>26.9</v>
      </c>
      <c r="P19" s="61">
        <v>12.4</v>
      </c>
      <c r="Q19" s="61">
        <v>3.1</v>
      </c>
      <c r="R19" s="61">
        <v>2.1</v>
      </c>
      <c r="S19" s="61">
        <v>46.3</v>
      </c>
      <c r="T19" s="61">
        <v>8.4000000000000005E-2</v>
      </c>
      <c r="U19" s="61">
        <v>0.2</v>
      </c>
      <c r="V19" s="61">
        <v>14.7</v>
      </c>
    </row>
    <row r="20" spans="1:22" ht="15" hidden="1">
      <c r="A20" s="1">
        <v>19</v>
      </c>
      <c r="B20" s="61">
        <v>19</v>
      </c>
      <c r="C20" s="61" t="s">
        <v>72</v>
      </c>
      <c r="D20" s="61" t="s">
        <v>1703</v>
      </c>
      <c r="E20" s="61"/>
      <c r="F20" s="61">
        <v>11</v>
      </c>
      <c r="G20" s="61">
        <v>549</v>
      </c>
      <c r="H20" s="61">
        <v>12280</v>
      </c>
      <c r="I20" s="61">
        <v>4597</v>
      </c>
      <c r="J20" s="61">
        <v>2093</v>
      </c>
      <c r="K20" s="61">
        <v>850</v>
      </c>
      <c r="L20" s="61">
        <v>0.42399999999999999</v>
      </c>
      <c r="M20" s="61">
        <v>0.36499999999999999</v>
      </c>
      <c r="N20" s="61">
        <v>0.80600000000000005</v>
      </c>
      <c r="O20" s="61">
        <v>22.4</v>
      </c>
      <c r="P20" s="61">
        <v>8.4</v>
      </c>
      <c r="Q20" s="61">
        <v>3.8</v>
      </c>
      <c r="R20" s="61">
        <v>1.5</v>
      </c>
      <c r="S20" s="61">
        <v>25.9</v>
      </c>
      <c r="T20" s="61">
        <v>0.10100000000000001</v>
      </c>
      <c r="U20" s="61">
        <v>0.9</v>
      </c>
      <c r="V20" s="61">
        <v>9.1</v>
      </c>
    </row>
    <row r="21" spans="1:22" ht="15" hidden="1">
      <c r="A21" s="1">
        <v>20</v>
      </c>
      <c r="B21" s="61">
        <v>20</v>
      </c>
      <c r="C21" s="61" t="s">
        <v>23</v>
      </c>
      <c r="D21" s="61" t="s">
        <v>1704</v>
      </c>
      <c r="E21" s="61" t="s">
        <v>884</v>
      </c>
      <c r="F21" s="61">
        <v>14</v>
      </c>
      <c r="G21" s="61">
        <v>878</v>
      </c>
      <c r="H21" s="61">
        <v>24539</v>
      </c>
      <c r="I21" s="61">
        <v>9940</v>
      </c>
      <c r="J21" s="61">
        <v>2595</v>
      </c>
      <c r="K21" s="61">
        <v>4508</v>
      </c>
      <c r="L21" s="61">
        <v>0.436</v>
      </c>
      <c r="M21" s="61">
        <v>0.36799999999999999</v>
      </c>
      <c r="N21" s="61">
        <v>0.81</v>
      </c>
      <c r="O21" s="61">
        <v>27.9</v>
      </c>
      <c r="P21" s="61">
        <v>11.3</v>
      </c>
      <c r="Q21" s="61">
        <v>3</v>
      </c>
      <c r="R21" s="61">
        <v>5.0999999999999996</v>
      </c>
      <c r="S21" s="61">
        <v>48.3</v>
      </c>
      <c r="T21" s="61">
        <v>9.4E-2</v>
      </c>
      <c r="U21" s="61">
        <v>-0.1</v>
      </c>
      <c r="V21" s="61">
        <v>11.6</v>
      </c>
    </row>
    <row r="22" spans="1:22" ht="15" hidden="1">
      <c r="A22" s="1">
        <v>21</v>
      </c>
      <c r="B22" s="61">
        <v>21</v>
      </c>
      <c r="C22" s="61" t="s">
        <v>193</v>
      </c>
      <c r="D22" s="61" t="s">
        <v>1705</v>
      </c>
      <c r="E22" s="61"/>
      <c r="F22" s="61">
        <v>2</v>
      </c>
      <c r="G22" s="61">
        <v>6</v>
      </c>
      <c r="H22" s="61">
        <v>28</v>
      </c>
      <c r="I22" s="61">
        <v>4</v>
      </c>
      <c r="J22" s="61">
        <v>9</v>
      </c>
      <c r="K22" s="61">
        <v>0</v>
      </c>
      <c r="L22" s="61">
        <v>0</v>
      </c>
      <c r="M22" s="61">
        <v>0</v>
      </c>
      <c r="N22" s="61">
        <v>0.5</v>
      </c>
      <c r="O22" s="61">
        <v>4.7</v>
      </c>
      <c r="P22" s="61">
        <v>0.7</v>
      </c>
      <c r="Q22" s="61">
        <v>1.5</v>
      </c>
      <c r="R22" s="61">
        <v>0</v>
      </c>
      <c r="S22" s="61">
        <v>-0.1</v>
      </c>
      <c r="T22" s="61">
        <v>-0.16300000000000001</v>
      </c>
      <c r="U22" s="61">
        <v>-15</v>
      </c>
      <c r="V22" s="61">
        <v>-0.1</v>
      </c>
    </row>
    <row r="23" spans="1:22" ht="15" hidden="1">
      <c r="A23" s="1">
        <v>22</v>
      </c>
      <c r="B23" s="61">
        <v>22</v>
      </c>
      <c r="C23" s="61" t="s">
        <v>1214</v>
      </c>
      <c r="D23" s="61" t="s">
        <v>1706</v>
      </c>
      <c r="E23" s="61"/>
      <c r="F23" s="61">
        <v>4</v>
      </c>
      <c r="G23" s="61">
        <v>143</v>
      </c>
      <c r="H23" s="61">
        <v>2351</v>
      </c>
      <c r="I23" s="61">
        <v>643</v>
      </c>
      <c r="J23" s="61">
        <v>492</v>
      </c>
      <c r="K23" s="61">
        <v>142</v>
      </c>
      <c r="L23" s="61">
        <v>0.443</v>
      </c>
      <c r="M23" s="61">
        <v>0.29199999999999998</v>
      </c>
      <c r="N23" s="61">
        <v>0.65800000000000003</v>
      </c>
      <c r="O23" s="61">
        <v>16.399999999999999</v>
      </c>
      <c r="P23" s="61">
        <v>4.5</v>
      </c>
      <c r="Q23" s="61">
        <v>3.4</v>
      </c>
      <c r="R23" s="61">
        <v>1</v>
      </c>
      <c r="S23" s="61">
        <v>2</v>
      </c>
      <c r="T23" s="61">
        <v>4.1000000000000002E-2</v>
      </c>
      <c r="U23" s="61">
        <v>-3.5</v>
      </c>
      <c r="V23" s="61">
        <v>-0.9</v>
      </c>
    </row>
    <row r="24" spans="1:22" ht="15" hidden="1">
      <c r="A24" s="1">
        <v>23</v>
      </c>
      <c r="B24" s="61">
        <v>23</v>
      </c>
      <c r="C24" s="61" t="s">
        <v>124</v>
      </c>
      <c r="D24" s="61" t="s">
        <v>1707</v>
      </c>
      <c r="E24" s="61"/>
      <c r="F24" s="61">
        <v>1</v>
      </c>
      <c r="G24" s="61">
        <v>26</v>
      </c>
      <c r="H24" s="61">
        <v>343</v>
      </c>
      <c r="I24" s="61">
        <v>77</v>
      </c>
      <c r="J24" s="61">
        <v>52</v>
      </c>
      <c r="K24" s="61">
        <v>19</v>
      </c>
      <c r="L24" s="61">
        <v>0.33300000000000002</v>
      </c>
      <c r="M24" s="61">
        <v>0.26500000000000001</v>
      </c>
      <c r="N24" s="61">
        <v>0.71399999999999997</v>
      </c>
      <c r="O24" s="61">
        <v>13.2</v>
      </c>
      <c r="P24" s="61">
        <v>3</v>
      </c>
      <c r="Q24" s="61">
        <v>2</v>
      </c>
      <c r="R24" s="61">
        <v>0.7</v>
      </c>
      <c r="S24" s="61">
        <v>-0.2</v>
      </c>
      <c r="T24" s="61">
        <v>-2.5000000000000001E-2</v>
      </c>
      <c r="U24" s="61">
        <v>-5.3</v>
      </c>
      <c r="V24" s="61">
        <v>-0.3</v>
      </c>
    </row>
    <row r="25" spans="1:22" ht="15" hidden="1">
      <c r="A25" s="1">
        <v>24</v>
      </c>
      <c r="B25" s="61">
        <v>24</v>
      </c>
      <c r="C25" s="61" t="s">
        <v>190</v>
      </c>
      <c r="D25" s="61" t="s">
        <v>1708</v>
      </c>
      <c r="E25" s="61" t="s">
        <v>884</v>
      </c>
      <c r="F25" s="61">
        <v>8</v>
      </c>
      <c r="G25" s="61">
        <v>432</v>
      </c>
      <c r="H25" s="61">
        <v>11842</v>
      </c>
      <c r="I25" s="61">
        <v>4198</v>
      </c>
      <c r="J25" s="61">
        <v>1265</v>
      </c>
      <c r="K25" s="61">
        <v>1540</v>
      </c>
      <c r="L25" s="61">
        <v>0.44800000000000001</v>
      </c>
      <c r="M25" s="61">
        <v>0.372</v>
      </c>
      <c r="N25" s="61">
        <v>0.82599999999999996</v>
      </c>
      <c r="O25" s="61">
        <v>27.4</v>
      </c>
      <c r="P25" s="61">
        <v>9.6999999999999993</v>
      </c>
      <c r="Q25" s="61">
        <v>2.9</v>
      </c>
      <c r="R25" s="61">
        <v>3.6</v>
      </c>
      <c r="S25" s="61">
        <v>24.5</v>
      </c>
      <c r="T25" s="61">
        <v>9.9000000000000005E-2</v>
      </c>
      <c r="U25" s="61">
        <v>0.9</v>
      </c>
      <c r="V25" s="61">
        <v>8.6999999999999993</v>
      </c>
    </row>
    <row r="26" spans="1:22" ht="15" hidden="1">
      <c r="A26" s="1">
        <v>25</v>
      </c>
      <c r="B26" s="61">
        <v>25</v>
      </c>
      <c r="C26" s="61" t="s">
        <v>190</v>
      </c>
      <c r="D26" s="61" t="s">
        <v>1709</v>
      </c>
      <c r="E26" s="61" t="s">
        <v>511</v>
      </c>
      <c r="F26" s="61">
        <v>14</v>
      </c>
      <c r="G26" s="61">
        <v>820</v>
      </c>
      <c r="H26" s="61">
        <v>18055</v>
      </c>
      <c r="I26" s="61">
        <v>6654</v>
      </c>
      <c r="J26" s="61">
        <v>2884</v>
      </c>
      <c r="K26" s="61">
        <v>1077</v>
      </c>
      <c r="L26" s="61">
        <v>0.47499999999999998</v>
      </c>
      <c r="M26" s="61">
        <v>0.28199999999999997</v>
      </c>
      <c r="N26" s="61">
        <v>0.70899999999999996</v>
      </c>
      <c r="O26" s="61">
        <v>22</v>
      </c>
      <c r="P26" s="61">
        <v>8.1</v>
      </c>
      <c r="Q26" s="61">
        <v>3.5</v>
      </c>
      <c r="R26" s="61">
        <v>1.3</v>
      </c>
      <c r="S26" s="61">
        <v>38.700000000000003</v>
      </c>
      <c r="T26" s="61">
        <v>0.10299999999999999</v>
      </c>
      <c r="U26" s="61">
        <v>0.3</v>
      </c>
      <c r="V26" s="61">
        <v>10.4</v>
      </c>
    </row>
    <row r="27" spans="1:22" ht="15" hidden="1">
      <c r="A27" s="1">
        <v>26</v>
      </c>
      <c r="B27" s="61">
        <v>26</v>
      </c>
      <c r="C27" s="61" t="s">
        <v>36</v>
      </c>
      <c r="D27" s="61" t="s">
        <v>1710</v>
      </c>
      <c r="E27" s="61" t="s">
        <v>1711</v>
      </c>
      <c r="F27" s="61">
        <v>12</v>
      </c>
      <c r="G27" s="61">
        <v>714</v>
      </c>
      <c r="H27" s="61">
        <v>21559</v>
      </c>
      <c r="I27" s="61">
        <v>12396</v>
      </c>
      <c r="J27" s="61">
        <v>2278</v>
      </c>
      <c r="K27" s="61">
        <v>1352</v>
      </c>
      <c r="L27" s="61">
        <v>0.437</v>
      </c>
      <c r="M27" s="61">
        <v>0.38400000000000001</v>
      </c>
      <c r="N27" s="61">
        <v>0.87</v>
      </c>
      <c r="O27" s="61">
        <v>30.2</v>
      </c>
      <c r="P27" s="61">
        <v>17.399999999999999</v>
      </c>
      <c r="Q27" s="61">
        <v>3.2</v>
      </c>
      <c r="R27" s="61">
        <v>1.9</v>
      </c>
      <c r="S27" s="61">
        <v>61.3</v>
      </c>
      <c r="T27" s="61">
        <v>0.13700000000000001</v>
      </c>
      <c r="U27" s="61">
        <v>1</v>
      </c>
      <c r="V27" s="61">
        <v>16.100000000000001</v>
      </c>
    </row>
    <row r="28" spans="1:22" ht="15" hidden="1">
      <c r="A28" s="1">
        <v>27</v>
      </c>
      <c r="B28" s="61">
        <v>27</v>
      </c>
      <c r="C28" s="61" t="s">
        <v>31</v>
      </c>
      <c r="D28" s="61" t="s">
        <v>1712</v>
      </c>
      <c r="E28" s="61"/>
      <c r="F28" s="61">
        <v>10</v>
      </c>
      <c r="G28" s="61">
        <v>581</v>
      </c>
      <c r="H28" s="61">
        <v>8908</v>
      </c>
      <c r="I28" s="61">
        <v>3094</v>
      </c>
      <c r="J28" s="61">
        <v>1093</v>
      </c>
      <c r="K28" s="61">
        <v>748</v>
      </c>
      <c r="L28" s="61">
        <v>0.39</v>
      </c>
      <c r="M28" s="61">
        <v>0.36699999999999999</v>
      </c>
      <c r="N28" s="61">
        <v>0.85799999999999998</v>
      </c>
      <c r="O28" s="61">
        <v>15.3</v>
      </c>
      <c r="P28" s="61">
        <v>5.3</v>
      </c>
      <c r="Q28" s="61">
        <v>1.9</v>
      </c>
      <c r="R28" s="61">
        <v>1.3</v>
      </c>
      <c r="S28" s="61">
        <v>16</v>
      </c>
      <c r="T28" s="61">
        <v>8.5999999999999993E-2</v>
      </c>
      <c r="U28" s="61">
        <v>-1</v>
      </c>
      <c r="V28" s="61">
        <v>2.2999999999999998</v>
      </c>
    </row>
    <row r="29" spans="1:22" ht="15" hidden="1">
      <c r="A29" s="1">
        <v>28</v>
      </c>
      <c r="B29" s="61">
        <v>28</v>
      </c>
      <c r="C29" s="61" t="s">
        <v>79</v>
      </c>
      <c r="D29" s="61" t="s">
        <v>1713</v>
      </c>
      <c r="E29" s="61"/>
      <c r="F29" s="61">
        <v>13</v>
      </c>
      <c r="G29" s="61">
        <v>831</v>
      </c>
      <c r="H29" s="61">
        <v>18185</v>
      </c>
      <c r="I29" s="61">
        <v>6952</v>
      </c>
      <c r="J29" s="61">
        <v>1712</v>
      </c>
      <c r="K29" s="61">
        <v>2858</v>
      </c>
      <c r="L29" s="61">
        <v>0.46300000000000002</v>
      </c>
      <c r="M29" s="61">
        <v>0.34899999999999998</v>
      </c>
      <c r="N29" s="61">
        <v>0.83299999999999996</v>
      </c>
      <c r="O29" s="61">
        <v>21.9</v>
      </c>
      <c r="P29" s="61">
        <v>8.4</v>
      </c>
      <c r="Q29" s="61">
        <v>2.1</v>
      </c>
      <c r="R29" s="61">
        <v>3.4</v>
      </c>
      <c r="S29" s="61">
        <v>31.4</v>
      </c>
      <c r="T29" s="61">
        <v>8.3000000000000004E-2</v>
      </c>
      <c r="U29" s="61">
        <v>-0.9</v>
      </c>
      <c r="V29" s="61">
        <v>4.9000000000000004</v>
      </c>
    </row>
    <row r="30" spans="1:22" ht="15" hidden="1">
      <c r="A30" s="1">
        <v>29</v>
      </c>
      <c r="B30" s="61">
        <v>29</v>
      </c>
      <c r="C30" s="61" t="s">
        <v>41</v>
      </c>
      <c r="D30" s="61" t="s">
        <v>1714</v>
      </c>
      <c r="E30" s="61" t="s">
        <v>65</v>
      </c>
      <c r="F30" s="61">
        <v>4</v>
      </c>
      <c r="G30" s="61">
        <v>189</v>
      </c>
      <c r="H30" s="61">
        <v>2686</v>
      </c>
      <c r="I30" s="61">
        <v>949</v>
      </c>
      <c r="J30" s="61">
        <v>549</v>
      </c>
      <c r="K30" s="61">
        <v>47</v>
      </c>
      <c r="L30" s="61">
        <v>0.53</v>
      </c>
      <c r="M30" s="61">
        <v>0</v>
      </c>
      <c r="N30" s="61">
        <v>0.52500000000000002</v>
      </c>
      <c r="O30" s="61">
        <v>14.2</v>
      </c>
      <c r="P30" s="61">
        <v>5</v>
      </c>
      <c r="Q30" s="61">
        <v>2.9</v>
      </c>
      <c r="R30" s="61">
        <v>0.2</v>
      </c>
      <c r="S30" s="61">
        <v>3.2</v>
      </c>
      <c r="T30" s="61">
        <v>5.7000000000000002E-2</v>
      </c>
      <c r="U30" s="61">
        <v>-4.4000000000000004</v>
      </c>
      <c r="V30" s="61">
        <v>-1.7</v>
      </c>
    </row>
    <row r="31" spans="1:22" s="118" customFormat="1" hidden="1">
      <c r="A31" s="68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</row>
    <row r="32" spans="1:22" ht="15">
      <c r="A32" s="1">
        <v>30</v>
      </c>
      <c r="B32" s="61">
        <v>30</v>
      </c>
      <c r="C32" s="61" t="s">
        <v>179</v>
      </c>
      <c r="D32" s="61" t="s">
        <v>1715</v>
      </c>
      <c r="E32" s="61"/>
      <c r="F32" s="61">
        <v>14</v>
      </c>
      <c r="G32" s="61">
        <v>632</v>
      </c>
      <c r="H32" s="61">
        <v>15087</v>
      </c>
      <c r="I32" s="61">
        <v>4574</v>
      </c>
      <c r="J32" s="61">
        <v>4531</v>
      </c>
      <c r="K32" s="61">
        <v>737</v>
      </c>
      <c r="L32" s="61">
        <v>0.50900000000000001</v>
      </c>
      <c r="M32" s="61">
        <v>2.3E-2</v>
      </c>
      <c r="N32" s="61">
        <v>0.63</v>
      </c>
      <c r="O32" s="61">
        <v>23.9</v>
      </c>
      <c r="P32" s="61">
        <v>7.2</v>
      </c>
      <c r="Q32" s="61">
        <v>7.2</v>
      </c>
      <c r="R32" s="61">
        <v>1.2</v>
      </c>
      <c r="S32" s="61">
        <v>46.4</v>
      </c>
      <c r="T32" s="61">
        <v>0.14799999999999999</v>
      </c>
      <c r="U32" s="61">
        <v>0.3</v>
      </c>
      <c r="V32" s="61">
        <v>8.8000000000000007</v>
      </c>
    </row>
    <row r="33" spans="1:22" ht="15">
      <c r="A33" s="1">
        <v>31</v>
      </c>
      <c r="B33" s="61">
        <v>31</v>
      </c>
      <c r="C33" s="61" t="s">
        <v>99</v>
      </c>
      <c r="D33" s="66" t="s">
        <v>1716</v>
      </c>
      <c r="E33" s="61" t="s">
        <v>108</v>
      </c>
      <c r="F33" s="61">
        <v>2</v>
      </c>
      <c r="G33" s="61">
        <v>87</v>
      </c>
      <c r="H33" s="61">
        <v>1111</v>
      </c>
      <c r="I33" s="61">
        <v>285</v>
      </c>
      <c r="J33" s="61">
        <v>261</v>
      </c>
      <c r="K33" s="61">
        <v>51</v>
      </c>
      <c r="L33" s="61">
        <v>0.40799999999999997</v>
      </c>
      <c r="M33" s="61">
        <v>0</v>
      </c>
      <c r="N33" s="61">
        <v>0.57999999999999996</v>
      </c>
      <c r="O33" s="61">
        <v>12.8</v>
      </c>
      <c r="P33" s="61">
        <v>3.3</v>
      </c>
      <c r="Q33" s="61">
        <v>3</v>
      </c>
      <c r="R33" s="61">
        <v>0.6</v>
      </c>
      <c r="S33" s="61">
        <v>0</v>
      </c>
      <c r="T33" s="61">
        <v>1E-3</v>
      </c>
      <c r="U33" s="61">
        <v>-5.0999999999999996</v>
      </c>
      <c r="V33" s="61">
        <v>-0.9</v>
      </c>
    </row>
    <row r="34" spans="1:22" ht="15">
      <c r="A34" s="1">
        <v>32</v>
      </c>
      <c r="B34" s="61">
        <v>32</v>
      </c>
      <c r="C34" s="61" t="s">
        <v>69</v>
      </c>
      <c r="D34" s="66" t="s">
        <v>1717</v>
      </c>
      <c r="E34" s="61"/>
      <c r="F34" s="61">
        <v>1</v>
      </c>
      <c r="G34" s="61">
        <v>6</v>
      </c>
      <c r="H34" s="61">
        <v>20</v>
      </c>
      <c r="I34" s="61">
        <v>11</v>
      </c>
      <c r="J34" s="61">
        <v>4</v>
      </c>
      <c r="K34" s="61">
        <v>0</v>
      </c>
      <c r="L34" s="61">
        <v>0.5</v>
      </c>
      <c r="M34" s="61">
        <v>0</v>
      </c>
      <c r="N34" s="61">
        <v>0.5</v>
      </c>
      <c r="O34" s="61">
        <v>3.3</v>
      </c>
      <c r="P34" s="61">
        <v>1.8</v>
      </c>
      <c r="Q34" s="61">
        <v>0.7</v>
      </c>
      <c r="R34" s="61">
        <v>0</v>
      </c>
      <c r="S34" s="61">
        <v>0</v>
      </c>
      <c r="T34" s="61">
        <v>-0.108</v>
      </c>
      <c r="U34" s="61">
        <v>-10</v>
      </c>
      <c r="V34" s="61">
        <v>0</v>
      </c>
    </row>
    <row r="35" spans="1:22" ht="15">
      <c r="A35" s="1">
        <v>33</v>
      </c>
      <c r="B35" s="61">
        <v>33</v>
      </c>
      <c r="C35" s="61" t="s">
        <v>28</v>
      </c>
      <c r="D35" s="66" t="s">
        <v>1718</v>
      </c>
      <c r="E35" s="61" t="s">
        <v>412</v>
      </c>
      <c r="F35" s="61">
        <v>1</v>
      </c>
      <c r="G35" s="61">
        <v>36</v>
      </c>
      <c r="H35" s="61">
        <v>433</v>
      </c>
      <c r="I35" s="61">
        <v>111</v>
      </c>
      <c r="J35" s="61">
        <v>31</v>
      </c>
      <c r="K35" s="61">
        <v>51</v>
      </c>
      <c r="L35" s="61">
        <v>0.33600000000000002</v>
      </c>
      <c r="M35" s="61">
        <v>0.245</v>
      </c>
      <c r="N35" s="61">
        <v>0.625</v>
      </c>
      <c r="O35" s="61">
        <v>12</v>
      </c>
      <c r="P35" s="61">
        <v>3.1</v>
      </c>
      <c r="Q35" s="61">
        <v>0.9</v>
      </c>
      <c r="R35" s="61">
        <v>1.4</v>
      </c>
      <c r="S35" s="61">
        <v>-0.2</v>
      </c>
      <c r="T35" s="61">
        <v>-2.5000000000000001E-2</v>
      </c>
      <c r="U35" s="61">
        <v>-5.3</v>
      </c>
      <c r="V35" s="61">
        <v>-0.4</v>
      </c>
    </row>
    <row r="36" spans="1:22" ht="15">
      <c r="A36" s="1">
        <v>34</v>
      </c>
      <c r="B36" s="61">
        <v>34</v>
      </c>
      <c r="C36" s="61" t="s">
        <v>184</v>
      </c>
      <c r="D36" s="66" t="s">
        <v>1719</v>
      </c>
      <c r="E36" s="61" t="s">
        <v>1720</v>
      </c>
      <c r="F36" s="61">
        <v>2</v>
      </c>
      <c r="G36" s="61">
        <v>61</v>
      </c>
      <c r="H36" s="61">
        <v>560</v>
      </c>
      <c r="I36" s="61">
        <v>165</v>
      </c>
      <c r="J36" s="61">
        <v>66</v>
      </c>
      <c r="K36" s="61">
        <v>48</v>
      </c>
      <c r="L36" s="61">
        <v>0.42099999999999999</v>
      </c>
      <c r="M36" s="61">
        <v>0.308</v>
      </c>
      <c r="N36" s="61">
        <v>0.65</v>
      </c>
      <c r="O36" s="61">
        <v>9.1999999999999993</v>
      </c>
      <c r="P36" s="61">
        <v>2.7</v>
      </c>
      <c r="Q36" s="61">
        <v>1.1000000000000001</v>
      </c>
      <c r="R36" s="61">
        <v>0.8</v>
      </c>
      <c r="S36" s="61">
        <v>0.5</v>
      </c>
      <c r="T36" s="61">
        <v>4.2999999999999997E-2</v>
      </c>
      <c r="U36" s="61">
        <v>-3.2</v>
      </c>
      <c r="V36" s="61">
        <v>-0.2</v>
      </c>
    </row>
    <row r="37" spans="1:22" ht="15">
      <c r="A37" s="1">
        <v>35</v>
      </c>
      <c r="B37" s="61">
        <v>35</v>
      </c>
      <c r="C37" s="61" t="s">
        <v>141</v>
      </c>
      <c r="D37" s="66" t="s">
        <v>1721</v>
      </c>
      <c r="E37" s="61" t="s">
        <v>621</v>
      </c>
      <c r="F37" s="61">
        <v>2</v>
      </c>
      <c r="G37" s="61">
        <v>14</v>
      </c>
      <c r="H37" s="61">
        <v>73</v>
      </c>
      <c r="I37" s="61">
        <v>20</v>
      </c>
      <c r="J37" s="61">
        <v>8</v>
      </c>
      <c r="K37" s="61">
        <v>1</v>
      </c>
      <c r="L37" s="61">
        <v>0.46200000000000002</v>
      </c>
      <c r="M37" s="61">
        <v>0</v>
      </c>
      <c r="N37" s="61">
        <v>0.61499999999999999</v>
      </c>
      <c r="O37" s="61">
        <v>5.2</v>
      </c>
      <c r="P37" s="61">
        <v>1.4</v>
      </c>
      <c r="Q37" s="61">
        <v>0.6</v>
      </c>
      <c r="R37" s="61">
        <v>0.1</v>
      </c>
      <c r="S37" s="61">
        <v>0.1</v>
      </c>
      <c r="T37" s="61">
        <v>0.04</v>
      </c>
      <c r="U37" s="61">
        <v>-5.5</v>
      </c>
      <c r="V37" s="61">
        <v>-0.1</v>
      </c>
    </row>
    <row r="38" spans="1:22" ht="15">
      <c r="A38" s="1">
        <v>36</v>
      </c>
      <c r="B38" s="61">
        <v>36</v>
      </c>
      <c r="C38" s="61" t="s">
        <v>179</v>
      </c>
      <c r="D38" s="66" t="s">
        <v>1722</v>
      </c>
      <c r="E38" s="61" t="s">
        <v>126</v>
      </c>
      <c r="F38" s="61">
        <v>2</v>
      </c>
      <c r="G38" s="61">
        <v>81</v>
      </c>
      <c r="H38" s="61">
        <v>789</v>
      </c>
      <c r="I38" s="61">
        <v>186</v>
      </c>
      <c r="J38" s="61">
        <v>49</v>
      </c>
      <c r="K38" s="61">
        <v>104</v>
      </c>
      <c r="L38" s="61">
        <v>0.38700000000000001</v>
      </c>
      <c r="M38" s="61">
        <v>0.23499999999999999</v>
      </c>
      <c r="N38" s="61">
        <v>0.57099999999999995</v>
      </c>
      <c r="O38" s="61">
        <v>9.6999999999999993</v>
      </c>
      <c r="P38" s="61">
        <v>2.2999999999999998</v>
      </c>
      <c r="Q38" s="61">
        <v>0.6</v>
      </c>
      <c r="R38" s="61">
        <v>1.3</v>
      </c>
      <c r="S38" s="61">
        <v>0.1</v>
      </c>
      <c r="T38" s="61">
        <v>4.0000000000000001E-3</v>
      </c>
      <c r="U38" s="61">
        <v>-5</v>
      </c>
      <c r="V38" s="61">
        <v>-0.6</v>
      </c>
    </row>
    <row r="39" spans="1:22" ht="15">
      <c r="A39" s="1">
        <v>37</v>
      </c>
      <c r="B39" s="61">
        <v>37</v>
      </c>
      <c r="C39" s="61" t="s">
        <v>184</v>
      </c>
      <c r="D39" s="61" t="s">
        <v>1723</v>
      </c>
      <c r="E39" s="61" t="s">
        <v>530</v>
      </c>
      <c r="F39" s="61">
        <v>10</v>
      </c>
      <c r="G39" s="61">
        <v>492</v>
      </c>
      <c r="H39" s="61">
        <v>6162</v>
      </c>
      <c r="I39" s="61">
        <v>1641</v>
      </c>
      <c r="J39" s="61">
        <v>557</v>
      </c>
      <c r="K39" s="61">
        <v>501</v>
      </c>
      <c r="L39" s="61">
        <v>0.40600000000000003</v>
      </c>
      <c r="M39" s="61">
        <v>0.36099999999999999</v>
      </c>
      <c r="N39" s="61">
        <v>0.70599999999999996</v>
      </c>
      <c r="O39" s="61">
        <v>12.5</v>
      </c>
      <c r="P39" s="61">
        <v>3.3</v>
      </c>
      <c r="Q39" s="61">
        <v>1.1000000000000001</v>
      </c>
      <c r="R39" s="61">
        <v>1</v>
      </c>
      <c r="S39" s="61">
        <v>4.5</v>
      </c>
      <c r="T39" s="61">
        <v>3.5000000000000003E-2</v>
      </c>
      <c r="U39" s="61">
        <v>-3.8</v>
      </c>
      <c r="V39" s="61">
        <v>-2.7</v>
      </c>
    </row>
    <row r="40" spans="1:22" ht="15">
      <c r="A40" s="1">
        <v>38</v>
      </c>
      <c r="B40" s="61">
        <v>38</v>
      </c>
      <c r="C40" s="61" t="s">
        <v>99</v>
      </c>
      <c r="D40" s="61" t="s">
        <v>1724</v>
      </c>
      <c r="E40" s="61" t="s">
        <v>171</v>
      </c>
      <c r="F40" s="61">
        <v>9</v>
      </c>
      <c r="G40" s="61">
        <v>606</v>
      </c>
      <c r="H40" s="61">
        <v>15526</v>
      </c>
      <c r="I40" s="61">
        <v>3946</v>
      </c>
      <c r="J40" s="61">
        <v>1364</v>
      </c>
      <c r="K40" s="61">
        <v>2690</v>
      </c>
      <c r="L40" s="61">
        <v>0.39300000000000002</v>
      </c>
      <c r="M40" s="61">
        <v>0.36299999999999999</v>
      </c>
      <c r="N40" s="61">
        <v>0.78400000000000003</v>
      </c>
      <c r="O40" s="61">
        <v>25.6</v>
      </c>
      <c r="P40" s="61">
        <v>6.5</v>
      </c>
      <c r="Q40" s="61">
        <v>2.2999999999999998</v>
      </c>
      <c r="R40" s="61">
        <v>4.4000000000000004</v>
      </c>
      <c r="S40" s="61">
        <v>25</v>
      </c>
      <c r="T40" s="61">
        <v>7.6999999999999999E-2</v>
      </c>
      <c r="U40" s="61">
        <v>-1.2</v>
      </c>
      <c r="V40" s="61">
        <v>3.2</v>
      </c>
    </row>
    <row r="41" spans="1:22" ht="15">
      <c r="A41" s="1">
        <v>39</v>
      </c>
      <c r="B41" s="61">
        <v>39</v>
      </c>
      <c r="C41" s="61" t="s">
        <v>163</v>
      </c>
      <c r="D41" s="66" t="s">
        <v>1725</v>
      </c>
      <c r="E41" s="61"/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</row>
    <row r="42" spans="1:22" ht="15">
      <c r="A42" s="1">
        <v>40</v>
      </c>
      <c r="B42" s="61">
        <v>40</v>
      </c>
      <c r="C42" s="61" t="s">
        <v>190</v>
      </c>
      <c r="D42" s="61" t="s">
        <v>1726</v>
      </c>
      <c r="E42" s="61" t="s">
        <v>1332</v>
      </c>
      <c r="F42" s="61">
        <v>3</v>
      </c>
      <c r="G42" s="61">
        <v>136</v>
      </c>
      <c r="H42" s="61">
        <v>1436</v>
      </c>
      <c r="I42" s="61">
        <v>472</v>
      </c>
      <c r="J42" s="61">
        <v>186</v>
      </c>
      <c r="K42" s="61">
        <v>68</v>
      </c>
      <c r="L42" s="61">
        <v>0.40400000000000003</v>
      </c>
      <c r="M42" s="61">
        <v>0</v>
      </c>
      <c r="N42" s="61">
        <v>0.752</v>
      </c>
      <c r="O42" s="61">
        <v>10.6</v>
      </c>
      <c r="P42" s="61">
        <v>3.5</v>
      </c>
      <c r="Q42" s="61">
        <v>1.4</v>
      </c>
      <c r="R42" s="61">
        <v>0.5</v>
      </c>
      <c r="S42" s="61">
        <v>0.5</v>
      </c>
      <c r="T42" s="61">
        <v>1.6E-2</v>
      </c>
      <c r="U42" s="61">
        <v>-5.9</v>
      </c>
      <c r="V42" s="61">
        <v>-1.4</v>
      </c>
    </row>
    <row r="43" spans="1:22" ht="15">
      <c r="A43" s="1">
        <v>41</v>
      </c>
      <c r="B43" s="61">
        <v>41</v>
      </c>
      <c r="C43" s="61" t="s">
        <v>141</v>
      </c>
      <c r="D43" s="66" t="s">
        <v>1727</v>
      </c>
      <c r="E43" s="61" t="s">
        <v>1728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</row>
    <row r="44" spans="1:22" ht="15">
      <c r="A44" s="1">
        <v>42</v>
      </c>
      <c r="B44" s="61">
        <v>42</v>
      </c>
      <c r="C44" s="61" t="s">
        <v>184</v>
      </c>
      <c r="D44" s="66" t="s">
        <v>1729</v>
      </c>
      <c r="E44" s="61"/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</row>
    <row r="45" spans="1:22" ht="15">
      <c r="A45" s="1">
        <v>43</v>
      </c>
      <c r="B45" s="61">
        <v>43</v>
      </c>
      <c r="C45" s="61" t="s">
        <v>50</v>
      </c>
      <c r="D45" s="63" t="s">
        <v>1730</v>
      </c>
      <c r="E45" s="61" t="s">
        <v>63</v>
      </c>
      <c r="F45" s="61">
        <v>18</v>
      </c>
      <c r="G45" s="61">
        <v>1118</v>
      </c>
      <c r="H45" s="61">
        <v>32953</v>
      </c>
      <c r="I45" s="61">
        <v>11593</v>
      </c>
      <c r="J45" s="61">
        <v>5356</v>
      </c>
      <c r="K45" s="61">
        <v>2379</v>
      </c>
      <c r="L45" s="61">
        <v>0.42199999999999999</v>
      </c>
      <c r="M45" s="61">
        <v>0.35099999999999998</v>
      </c>
      <c r="N45" s="61">
        <v>0.73099999999999998</v>
      </c>
      <c r="O45" s="61">
        <v>29.5</v>
      </c>
      <c r="P45" s="61">
        <v>10.4</v>
      </c>
      <c r="Q45" s="61">
        <v>4.8</v>
      </c>
      <c r="R45" s="61">
        <v>2.1</v>
      </c>
      <c r="S45" s="61">
        <v>64.3</v>
      </c>
      <c r="T45" s="61">
        <v>9.4E-2</v>
      </c>
      <c r="U45" s="61">
        <v>0.6</v>
      </c>
      <c r="V45" s="61">
        <v>21.8</v>
      </c>
    </row>
    <row r="46" spans="1:22" ht="15">
      <c r="A46" s="1">
        <v>44</v>
      </c>
      <c r="B46" s="61">
        <v>44</v>
      </c>
      <c r="C46" s="61" t="s">
        <v>1098</v>
      </c>
      <c r="D46" s="66" t="s">
        <v>1731</v>
      </c>
      <c r="E46" s="61" t="s">
        <v>182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</row>
    <row r="47" spans="1:22" ht="15">
      <c r="A47" s="1">
        <v>45</v>
      </c>
      <c r="B47" s="61">
        <v>45</v>
      </c>
      <c r="C47" s="61" t="s">
        <v>1095</v>
      </c>
      <c r="D47" s="61" t="s">
        <v>1732</v>
      </c>
      <c r="E47" s="61" t="s">
        <v>151</v>
      </c>
      <c r="F47" s="61">
        <v>3</v>
      </c>
      <c r="G47" s="61">
        <v>128</v>
      </c>
      <c r="H47" s="61">
        <v>1909</v>
      </c>
      <c r="I47" s="61">
        <v>576</v>
      </c>
      <c r="J47" s="61">
        <v>315</v>
      </c>
      <c r="K47" s="61">
        <v>126</v>
      </c>
      <c r="L47" s="61">
        <v>0.41699999999999998</v>
      </c>
      <c r="M47" s="61">
        <v>0.161</v>
      </c>
      <c r="N47" s="61">
        <v>0.78600000000000003</v>
      </c>
      <c r="O47" s="61">
        <v>14.9</v>
      </c>
      <c r="P47" s="61">
        <v>4.5</v>
      </c>
      <c r="Q47" s="61">
        <v>2.5</v>
      </c>
      <c r="R47" s="61">
        <v>1</v>
      </c>
      <c r="S47" s="61">
        <v>2</v>
      </c>
      <c r="T47" s="61">
        <v>4.9000000000000002E-2</v>
      </c>
      <c r="U47" s="61">
        <v>-2</v>
      </c>
      <c r="V47" s="61">
        <v>0</v>
      </c>
    </row>
    <row r="48" spans="1:22" ht="15">
      <c r="A48" s="1">
        <v>46</v>
      </c>
      <c r="B48" s="61">
        <v>46</v>
      </c>
      <c r="C48" s="61" t="s">
        <v>124</v>
      </c>
      <c r="D48" s="66" t="s">
        <v>1733</v>
      </c>
      <c r="E48" s="61"/>
      <c r="F48" s="61">
        <v>2</v>
      </c>
      <c r="G48" s="61">
        <v>46</v>
      </c>
      <c r="H48" s="61">
        <v>316</v>
      </c>
      <c r="I48" s="61">
        <v>70</v>
      </c>
      <c r="J48" s="61">
        <v>67</v>
      </c>
      <c r="K48" s="61">
        <v>3</v>
      </c>
      <c r="L48" s="61">
        <v>0.51900000000000002</v>
      </c>
      <c r="M48" s="61">
        <v>0</v>
      </c>
      <c r="N48" s="61">
        <v>0.5</v>
      </c>
      <c r="O48" s="61">
        <v>6.9</v>
      </c>
      <c r="P48" s="61">
        <v>1.5</v>
      </c>
      <c r="Q48" s="61">
        <v>1.5</v>
      </c>
      <c r="R48" s="61">
        <v>0.1</v>
      </c>
      <c r="S48" s="61">
        <v>-0.2</v>
      </c>
      <c r="T48" s="61">
        <v>-2.9000000000000001E-2</v>
      </c>
      <c r="U48" s="61">
        <v>-8.8000000000000007</v>
      </c>
      <c r="V48" s="61">
        <v>-0.5</v>
      </c>
    </row>
    <row r="49" spans="1:37" ht="15">
      <c r="A49" s="1">
        <v>47</v>
      </c>
      <c r="B49" s="61">
        <v>47</v>
      </c>
      <c r="C49" s="61" t="s">
        <v>72</v>
      </c>
      <c r="D49" s="66" t="s">
        <v>1734</v>
      </c>
      <c r="E49" s="61" t="s">
        <v>1735</v>
      </c>
      <c r="F49" s="61">
        <v>3</v>
      </c>
      <c r="G49" s="61">
        <v>76</v>
      </c>
      <c r="H49" s="61">
        <v>879</v>
      </c>
      <c r="I49" s="61">
        <v>219</v>
      </c>
      <c r="J49" s="61">
        <v>214</v>
      </c>
      <c r="K49" s="61">
        <v>12</v>
      </c>
      <c r="L49" s="61">
        <v>0.41599999999999998</v>
      </c>
      <c r="M49" s="61">
        <v>0</v>
      </c>
      <c r="N49" s="61">
        <v>0.67800000000000005</v>
      </c>
      <c r="O49" s="61">
        <v>11.6</v>
      </c>
      <c r="P49" s="61">
        <v>2.9</v>
      </c>
      <c r="Q49" s="61">
        <v>2.8</v>
      </c>
      <c r="R49" s="61">
        <v>0.2</v>
      </c>
      <c r="S49" s="61">
        <v>0.8</v>
      </c>
      <c r="T49" s="61">
        <v>4.3999999999999997E-2</v>
      </c>
      <c r="U49" s="61">
        <v>-5.7</v>
      </c>
      <c r="V49" s="61">
        <v>-0.8</v>
      </c>
    </row>
    <row r="50" spans="1:37" ht="15">
      <c r="A50" s="1">
        <v>48</v>
      </c>
      <c r="B50" s="61">
        <v>48</v>
      </c>
      <c r="C50" s="61" t="s">
        <v>36</v>
      </c>
      <c r="D50" s="66" t="s">
        <v>1736</v>
      </c>
      <c r="E50" s="61" t="s">
        <v>1254</v>
      </c>
      <c r="F50" s="61">
        <v>0</v>
      </c>
      <c r="G50" s="61">
        <v>0</v>
      </c>
      <c r="H50" s="61">
        <v>0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</row>
    <row r="51" spans="1:37" ht="15">
      <c r="A51" s="1">
        <v>49</v>
      </c>
      <c r="B51" s="61">
        <v>49</v>
      </c>
      <c r="C51" s="61" t="s">
        <v>152</v>
      </c>
      <c r="D51" s="66" t="s">
        <v>1737</v>
      </c>
      <c r="E51" s="61"/>
      <c r="F51" s="61">
        <v>0</v>
      </c>
      <c r="G51" s="61">
        <v>0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61">
        <v>0</v>
      </c>
    </row>
    <row r="52" spans="1:37" ht="15">
      <c r="A52" s="1">
        <v>50</v>
      </c>
      <c r="B52" s="61">
        <v>50</v>
      </c>
      <c r="C52" s="61" t="s">
        <v>20</v>
      </c>
      <c r="D52" s="66" t="s">
        <v>1738</v>
      </c>
      <c r="E52" s="61"/>
      <c r="F52" s="61">
        <v>1</v>
      </c>
      <c r="G52" s="61">
        <v>31</v>
      </c>
      <c r="H52" s="61">
        <v>272</v>
      </c>
      <c r="I52" s="61">
        <v>85</v>
      </c>
      <c r="J52" s="61">
        <v>22</v>
      </c>
      <c r="K52" s="61">
        <v>28</v>
      </c>
      <c r="L52" s="61">
        <v>0.31900000000000001</v>
      </c>
      <c r="M52" s="61">
        <v>0.17199999999999999</v>
      </c>
      <c r="N52" s="61">
        <v>0.81</v>
      </c>
      <c r="O52" s="61">
        <v>8.8000000000000007</v>
      </c>
      <c r="P52" s="61">
        <v>2.7</v>
      </c>
      <c r="Q52" s="61">
        <v>0.7</v>
      </c>
      <c r="R52" s="61">
        <v>0.9</v>
      </c>
      <c r="S52" s="61">
        <v>-0.1</v>
      </c>
      <c r="T52" s="61">
        <v>-0.01</v>
      </c>
      <c r="U52" s="61">
        <v>-5.9</v>
      </c>
      <c r="V52" s="61">
        <v>-0.3</v>
      </c>
    </row>
    <row r="53" spans="1:37" ht="15">
      <c r="A53" s="1">
        <v>51</v>
      </c>
      <c r="B53" s="61">
        <v>51</v>
      </c>
      <c r="C53" s="61" t="s">
        <v>1214</v>
      </c>
      <c r="D53" s="66" t="s">
        <v>1739</v>
      </c>
      <c r="E53" s="61" t="s">
        <v>128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</row>
    <row r="54" spans="1:37" ht="15">
      <c r="A54" s="1">
        <v>52</v>
      </c>
      <c r="B54" s="61">
        <v>52</v>
      </c>
      <c r="C54" s="61" t="s">
        <v>79</v>
      </c>
      <c r="D54" s="66" t="s">
        <v>1740</v>
      </c>
      <c r="E54" s="61" t="s">
        <v>412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</row>
    <row r="55" spans="1:37" ht="15">
      <c r="A55" s="1">
        <v>53</v>
      </c>
      <c r="B55" s="61">
        <v>53</v>
      </c>
      <c r="C55" s="61" t="s">
        <v>72</v>
      </c>
      <c r="D55" s="66" t="s">
        <v>1741</v>
      </c>
      <c r="E55" s="61" t="s">
        <v>592</v>
      </c>
      <c r="F55" s="61">
        <v>2</v>
      </c>
      <c r="G55" s="61">
        <v>42</v>
      </c>
      <c r="H55" s="61">
        <v>588</v>
      </c>
      <c r="I55" s="61">
        <v>133</v>
      </c>
      <c r="J55" s="61">
        <v>85</v>
      </c>
      <c r="K55" s="61">
        <v>27</v>
      </c>
      <c r="L55" s="61">
        <v>0.29299999999999998</v>
      </c>
      <c r="M55" s="61">
        <v>0.224</v>
      </c>
      <c r="N55" s="61">
        <v>0.71399999999999997</v>
      </c>
      <c r="O55" s="61">
        <v>14</v>
      </c>
      <c r="P55" s="61">
        <v>3.2</v>
      </c>
      <c r="Q55" s="61">
        <v>2</v>
      </c>
      <c r="R55" s="61">
        <v>0.6</v>
      </c>
      <c r="S55" s="61">
        <v>-0.6</v>
      </c>
      <c r="T55" s="61">
        <v>-4.7E-2</v>
      </c>
      <c r="U55" s="61">
        <v>-6</v>
      </c>
      <c r="V55" s="61">
        <v>-0.6</v>
      </c>
    </row>
    <row r="56" spans="1:37" ht="15">
      <c r="A56" s="1">
        <v>54</v>
      </c>
      <c r="B56" s="61">
        <v>54</v>
      </c>
      <c r="C56" s="61" t="s">
        <v>34</v>
      </c>
      <c r="D56" s="66" t="s">
        <v>1742</v>
      </c>
      <c r="E56" s="61" t="s">
        <v>71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</row>
    <row r="57" spans="1:37" ht="15">
      <c r="A57" s="1">
        <v>55</v>
      </c>
      <c r="B57" s="61">
        <v>55</v>
      </c>
      <c r="C57" s="61" t="s">
        <v>52</v>
      </c>
      <c r="D57" s="66" t="s">
        <v>1743</v>
      </c>
      <c r="E57" s="61" t="s">
        <v>1744</v>
      </c>
      <c r="F57" s="61">
        <v>1</v>
      </c>
      <c r="G57" s="61">
        <v>16</v>
      </c>
      <c r="H57" s="61">
        <v>77</v>
      </c>
      <c r="I57" s="61">
        <v>35</v>
      </c>
      <c r="J57" s="61">
        <v>3</v>
      </c>
      <c r="K57" s="61">
        <v>11</v>
      </c>
      <c r="L57" s="61">
        <v>0.48299999999999998</v>
      </c>
      <c r="M57" s="61">
        <v>0.5</v>
      </c>
      <c r="N57" s="61">
        <v>1</v>
      </c>
      <c r="O57" s="61">
        <v>4.8</v>
      </c>
      <c r="P57" s="61">
        <v>2.2000000000000002</v>
      </c>
      <c r="Q57" s="61">
        <v>0.2</v>
      </c>
      <c r="R57" s="61">
        <v>0.7</v>
      </c>
      <c r="S57" s="61">
        <v>0</v>
      </c>
      <c r="T57" s="61">
        <v>-0.02</v>
      </c>
      <c r="U57" s="61">
        <v>-4.8</v>
      </c>
      <c r="V57" s="61">
        <v>0</v>
      </c>
    </row>
    <row r="58" spans="1:37" ht="15">
      <c r="A58" s="1">
        <v>56</v>
      </c>
      <c r="B58" s="61">
        <v>56</v>
      </c>
      <c r="C58" s="61" t="s">
        <v>31</v>
      </c>
      <c r="D58" s="66" t="s">
        <v>1745</v>
      </c>
      <c r="E58" s="61" t="s">
        <v>314</v>
      </c>
      <c r="F58" s="61">
        <v>0</v>
      </c>
      <c r="G58" s="61">
        <v>0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</row>
    <row r="59" spans="1:37" ht="15">
      <c r="A59" s="1">
        <v>57</v>
      </c>
      <c r="B59" s="61">
        <v>57</v>
      </c>
      <c r="C59" s="61" t="s">
        <v>79</v>
      </c>
      <c r="D59" s="66" t="s">
        <v>1746</v>
      </c>
      <c r="E59" s="61"/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</row>
    <row r="60" spans="1:37" ht="15">
      <c r="A60" s="1">
        <v>58</v>
      </c>
      <c r="B60" s="61">
        <v>58</v>
      </c>
      <c r="C60" s="61" t="s">
        <v>135</v>
      </c>
      <c r="D60" s="66" t="s">
        <v>1747</v>
      </c>
      <c r="E60" s="61" t="s">
        <v>43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</row>
    <row r="61" spans="1:37" ht="15">
      <c r="A61" s="1">
        <v>59</v>
      </c>
      <c r="B61" s="61">
        <v>59</v>
      </c>
      <c r="C61" s="61" t="s">
        <v>41</v>
      </c>
      <c r="D61" s="66" t="s">
        <v>1748</v>
      </c>
      <c r="E61" s="61" t="s">
        <v>49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</row>
    <row r="63" spans="1:37" ht="15">
      <c r="D63" s="1" t="s">
        <v>1749</v>
      </c>
      <c r="E63" s="1" t="s">
        <v>500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>
      <c r="D64" s="3" t="s">
        <v>1750</v>
      </c>
      <c r="E64" s="3" t="s">
        <v>506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4:37" ht="15">
      <c r="D65" s="3" t="s">
        <v>1751</v>
      </c>
      <c r="E65" s="3" t="s">
        <v>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4:37" ht="15">
      <c r="D66" s="3" t="s">
        <v>1752</v>
      </c>
      <c r="E66" s="3" t="s">
        <v>1080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4:37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4:37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4:37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4:37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</sheetData>
  <conditionalFormatting sqref="G1:G61">
    <cfRule type="cellIs" dxfId="1" priority="1" operator="greaterThanOrEqual">
      <formula>82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49C0-DB7C-3E4C-9483-B974493C7D5A}">
  <dimension ref="A1:AW67"/>
  <sheetViews>
    <sheetView zoomScale="110" zoomScaleNormal="125" zoomScalePageLayoutView="159" workbookViewId="0">
      <pane ySplit="1" topLeftCell="A42" activePane="bottomLeft" state="frozen"/>
      <selection pane="bottomLeft" activeCell="D66" sqref="D66"/>
    </sheetView>
  </sheetViews>
  <sheetFormatPr defaultColWidth="8.875" defaultRowHeight="14.1"/>
  <cols>
    <col min="1" max="1" width="3" style="52" bestFit="1" customWidth="1"/>
    <col min="2" max="2" width="2.875" style="52" bestFit="1" customWidth="1"/>
    <col min="3" max="3" width="4.375" style="52" bestFit="1" customWidth="1"/>
    <col min="4" max="4" width="15" style="52" bestFit="1" customWidth="1"/>
    <col min="5" max="5" width="19" style="52" bestFit="1" customWidth="1"/>
    <col min="6" max="6" width="3.375" style="52" bestFit="1" customWidth="1"/>
    <col min="7" max="7" width="4.5" style="52" bestFit="1" customWidth="1"/>
    <col min="8" max="14" width="5.375" style="52" bestFit="1" customWidth="1"/>
    <col min="15" max="16" width="4.5" style="52" bestFit="1" customWidth="1"/>
    <col min="17" max="17" width="4" style="52" bestFit="1" customWidth="1"/>
    <col min="18" max="18" width="3.875" style="52" bestFit="1" customWidth="1"/>
    <col min="19" max="19" width="5.375" style="52" bestFit="1" customWidth="1"/>
    <col min="20" max="20" width="5.875" style="52" bestFit="1" customWidth="1"/>
    <col min="21" max="21" width="5" style="52" bestFit="1" customWidth="1"/>
    <col min="22" max="22" width="5.375" style="52" bestFit="1" customWidth="1"/>
    <col min="23" max="24" width="8.875" style="52"/>
    <col min="25" max="25" width="5.375" style="52" bestFit="1" customWidth="1"/>
    <col min="26" max="26" width="5.875" style="52" bestFit="1" customWidth="1"/>
    <col min="27" max="27" width="8.375" style="52" customWidth="1"/>
    <col min="28" max="28" width="5.375" style="52" bestFit="1" customWidth="1"/>
    <col min="29" max="29" width="8.875" style="52"/>
    <col min="30" max="30" width="16.625" style="52" customWidth="1"/>
    <col min="31" max="31" width="8.875" style="52"/>
    <col min="32" max="32" width="9.625" style="52" customWidth="1"/>
    <col min="33" max="16384" width="8.875" style="52"/>
  </cols>
  <sheetData>
    <row r="1" spans="1:31" ht="15">
      <c r="A1" s="50" t="s">
        <v>292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7</v>
      </c>
      <c r="P1" s="50" t="s">
        <v>8</v>
      </c>
      <c r="Q1" s="50" t="s">
        <v>9</v>
      </c>
      <c r="R1" s="50" t="s">
        <v>10</v>
      </c>
      <c r="S1" s="50" t="s">
        <v>14</v>
      </c>
      <c r="T1" s="50" t="s">
        <v>15</v>
      </c>
      <c r="U1" s="50" t="s">
        <v>16</v>
      </c>
      <c r="V1" s="50" t="s">
        <v>17</v>
      </c>
      <c r="X1" s="50"/>
      <c r="Y1" s="50"/>
      <c r="Z1" s="50"/>
      <c r="AA1" s="50"/>
      <c r="AB1" s="50"/>
    </row>
    <row r="2" spans="1:31" ht="30" hidden="1">
      <c r="A2" s="50">
        <v>1</v>
      </c>
      <c r="B2" s="51">
        <v>1</v>
      </c>
      <c r="C2" s="51" t="s">
        <v>76</v>
      </c>
      <c r="D2" s="51" t="s">
        <v>1753</v>
      </c>
      <c r="E2" s="51"/>
      <c r="F2" s="51">
        <v>22</v>
      </c>
      <c r="G2" s="51">
        <v>1539</v>
      </c>
      <c r="H2" s="51">
        <v>58221</v>
      </c>
      <c r="I2" s="51">
        <v>41623</v>
      </c>
      <c r="J2" s="51">
        <v>11550</v>
      </c>
      <c r="K2" s="51">
        <v>11433</v>
      </c>
      <c r="L2" s="51">
        <v>0.50600000000000001</v>
      </c>
      <c r="M2" s="51">
        <v>0.35</v>
      </c>
      <c r="N2" s="51">
        <v>0.73599999999999999</v>
      </c>
      <c r="O2" s="51">
        <v>37.799999999999997</v>
      </c>
      <c r="P2" s="51">
        <v>27</v>
      </c>
      <c r="Q2" s="51">
        <v>7.5</v>
      </c>
      <c r="R2" s="51">
        <v>7.4</v>
      </c>
      <c r="S2" s="51">
        <v>268.8</v>
      </c>
      <c r="T2" s="51">
        <v>0.222</v>
      </c>
      <c r="U2" s="51">
        <v>8.6</v>
      </c>
      <c r="V2" s="51">
        <v>155.1</v>
      </c>
      <c r="X2" s="51"/>
      <c r="Y2" s="51"/>
      <c r="Z2" s="51"/>
      <c r="AA2" s="51"/>
      <c r="AB2" s="51"/>
      <c r="AD2" s="50" t="s">
        <v>294</v>
      </c>
    </row>
    <row r="3" spans="1:31" ht="15" hidden="1">
      <c r="A3" s="50">
        <v>2</v>
      </c>
      <c r="B3" s="51">
        <v>2</v>
      </c>
      <c r="C3" s="51" t="s">
        <v>34</v>
      </c>
      <c r="D3" s="51" t="s">
        <v>1754</v>
      </c>
      <c r="E3" s="51"/>
      <c r="F3" s="51">
        <v>10</v>
      </c>
      <c r="G3" s="51">
        <v>468</v>
      </c>
      <c r="H3" s="51">
        <v>8638</v>
      </c>
      <c r="I3" s="51">
        <v>2813</v>
      </c>
      <c r="J3" s="51">
        <v>1971</v>
      </c>
      <c r="K3" s="51">
        <v>405</v>
      </c>
      <c r="L3" s="51">
        <v>0.46</v>
      </c>
      <c r="M3" s="51">
        <v>0</v>
      </c>
      <c r="N3" s="51">
        <v>0.57399999999999995</v>
      </c>
      <c r="O3" s="51">
        <v>18.5</v>
      </c>
      <c r="P3" s="51">
        <v>6</v>
      </c>
      <c r="Q3" s="51">
        <v>4.2</v>
      </c>
      <c r="R3" s="51">
        <v>0.9</v>
      </c>
      <c r="S3" s="51">
        <v>7.1</v>
      </c>
      <c r="T3" s="51">
        <v>0.04</v>
      </c>
      <c r="U3" s="51">
        <v>-2.4</v>
      </c>
      <c r="V3" s="51">
        <v>-0.9</v>
      </c>
      <c r="X3" s="51"/>
      <c r="Y3" s="51"/>
      <c r="Z3" s="51"/>
      <c r="AA3" s="51"/>
      <c r="AB3" s="51"/>
      <c r="AD3" s="96" t="s">
        <v>296</v>
      </c>
    </row>
    <row r="4" spans="1:31" ht="15" hidden="1">
      <c r="A4" s="50">
        <v>3</v>
      </c>
      <c r="B4" s="51">
        <v>3</v>
      </c>
      <c r="C4" s="51" t="s">
        <v>23</v>
      </c>
      <c r="D4" s="51" t="s">
        <v>1755</v>
      </c>
      <c r="E4" s="51" t="s">
        <v>68</v>
      </c>
      <c r="F4" s="51">
        <v>19</v>
      </c>
      <c r="G4" s="51">
        <v>1260</v>
      </c>
      <c r="H4" s="51">
        <v>43514</v>
      </c>
      <c r="I4" s="51">
        <v>28289</v>
      </c>
      <c r="J4" s="51">
        <v>7808</v>
      </c>
      <c r="K4" s="51">
        <v>3422</v>
      </c>
      <c r="L4" s="51">
        <v>0.44700000000000001</v>
      </c>
      <c r="M4" s="51">
        <v>0.35499999999999998</v>
      </c>
      <c r="N4" s="51">
        <v>0.81399999999999995</v>
      </c>
      <c r="O4" s="51">
        <v>34.5</v>
      </c>
      <c r="P4" s="51">
        <v>22.5</v>
      </c>
      <c r="Q4" s="51">
        <v>6.2</v>
      </c>
      <c r="R4" s="51">
        <v>2.7</v>
      </c>
      <c r="S4" s="51">
        <v>108.5</v>
      </c>
      <c r="T4" s="51">
        <v>0.12</v>
      </c>
      <c r="U4" s="51">
        <v>1.3</v>
      </c>
      <c r="V4" s="51">
        <v>36.700000000000003</v>
      </c>
      <c r="X4" s="51"/>
      <c r="Y4" s="51"/>
      <c r="Z4" s="51"/>
      <c r="AA4" s="51"/>
      <c r="AB4" s="51"/>
      <c r="AD4" s="97" t="s">
        <v>298</v>
      </c>
    </row>
    <row r="5" spans="1:31" ht="15" hidden="1">
      <c r="A5" s="50">
        <v>4</v>
      </c>
      <c r="B5" s="51">
        <v>4</v>
      </c>
      <c r="C5" s="51" t="s">
        <v>163</v>
      </c>
      <c r="D5" s="51" t="s">
        <v>1756</v>
      </c>
      <c r="E5" s="51" t="s">
        <v>744</v>
      </c>
      <c r="F5" s="51">
        <v>13</v>
      </c>
      <c r="G5" s="51">
        <v>893</v>
      </c>
      <c r="H5" s="51">
        <v>31936</v>
      </c>
      <c r="I5" s="51">
        <v>17189</v>
      </c>
      <c r="J5" s="51">
        <v>7592</v>
      </c>
      <c r="K5" s="51">
        <v>1795</v>
      </c>
      <c r="L5" s="51">
        <v>0.49399999999999999</v>
      </c>
      <c r="M5" s="51">
        <v>0.33500000000000002</v>
      </c>
      <c r="N5" s="51">
        <v>0.79900000000000004</v>
      </c>
      <c r="O5" s="51">
        <v>35.799999999999997</v>
      </c>
      <c r="P5" s="51">
        <v>19.2</v>
      </c>
      <c r="Q5" s="51">
        <v>8.5</v>
      </c>
      <c r="R5" s="51">
        <v>2</v>
      </c>
      <c r="S5" s="51">
        <v>106</v>
      </c>
      <c r="T5" s="51">
        <v>0.159</v>
      </c>
      <c r="U5" s="51">
        <v>1.9</v>
      </c>
      <c r="V5" s="51">
        <v>31.1</v>
      </c>
      <c r="X5" s="51"/>
      <c r="Y5" s="51"/>
      <c r="Z5" s="51"/>
      <c r="AA5" s="51"/>
      <c r="AB5" s="51"/>
      <c r="AD5" s="98" t="s">
        <v>39</v>
      </c>
      <c r="AE5" s="52" t="s">
        <v>1757</v>
      </c>
    </row>
    <row r="6" spans="1:31" ht="15" hidden="1">
      <c r="A6" s="50">
        <v>5</v>
      </c>
      <c r="B6" s="51">
        <v>5</v>
      </c>
      <c r="C6" s="51" t="s">
        <v>72</v>
      </c>
      <c r="D6" s="51" t="s">
        <v>1758</v>
      </c>
      <c r="E6" s="51" t="s">
        <v>123</v>
      </c>
      <c r="F6" s="51">
        <v>16</v>
      </c>
      <c r="G6" s="51">
        <v>1054</v>
      </c>
      <c r="H6" s="51">
        <v>35773</v>
      </c>
      <c r="I6" s="51">
        <v>23165</v>
      </c>
      <c r="J6" s="51">
        <v>4933</v>
      </c>
      <c r="K6" s="51">
        <v>5701</v>
      </c>
      <c r="L6" s="51">
        <v>0.48</v>
      </c>
      <c r="M6" s="51">
        <v>0.29299999999999998</v>
      </c>
      <c r="N6" s="51">
        <v>0.76500000000000001</v>
      </c>
      <c r="O6" s="51">
        <v>33.9</v>
      </c>
      <c r="P6" s="51">
        <v>22</v>
      </c>
      <c r="Q6" s="51">
        <v>4.7</v>
      </c>
      <c r="R6" s="51">
        <v>5.4</v>
      </c>
      <c r="S6" s="51">
        <v>120.7</v>
      </c>
      <c r="T6" s="51">
        <v>0.16200000000000001</v>
      </c>
      <c r="U6" s="51">
        <v>5</v>
      </c>
      <c r="V6" s="51">
        <v>62.8</v>
      </c>
      <c r="X6" s="51"/>
      <c r="Y6" s="51"/>
      <c r="Z6" s="51"/>
      <c r="AA6" s="51"/>
      <c r="AB6" s="51"/>
      <c r="AD6" s="99" t="s">
        <v>302</v>
      </c>
    </row>
    <row r="7" spans="1:31" ht="15" hidden="1">
      <c r="A7" s="50">
        <v>6</v>
      </c>
      <c r="B7" s="51">
        <v>6</v>
      </c>
      <c r="C7" s="51" t="s">
        <v>28</v>
      </c>
      <c r="D7" s="51" t="s">
        <v>1759</v>
      </c>
      <c r="E7" s="51" t="s">
        <v>1760</v>
      </c>
      <c r="F7" s="51">
        <v>13</v>
      </c>
      <c r="G7" s="51">
        <v>735</v>
      </c>
      <c r="H7" s="51">
        <v>19642</v>
      </c>
      <c r="I7" s="51">
        <v>8208</v>
      </c>
      <c r="J7" s="51">
        <v>5582</v>
      </c>
      <c r="K7" s="51">
        <v>921</v>
      </c>
      <c r="L7" s="51">
        <v>0.48899999999999999</v>
      </c>
      <c r="M7" s="51">
        <v>4.2000000000000003E-2</v>
      </c>
      <c r="N7" s="51">
        <v>0.74299999999999999</v>
      </c>
      <c r="O7" s="51">
        <v>26.7</v>
      </c>
      <c r="P7" s="51">
        <v>11.2</v>
      </c>
      <c r="Q7" s="51">
        <v>7.6</v>
      </c>
      <c r="R7" s="51">
        <v>1.3</v>
      </c>
      <c r="S7" s="51">
        <v>24.6</v>
      </c>
      <c r="T7" s="51">
        <v>0.06</v>
      </c>
      <c r="U7" s="51">
        <v>-1.9</v>
      </c>
      <c r="V7" s="51">
        <v>0.4</v>
      </c>
      <c r="X7" s="51"/>
      <c r="Y7" s="51"/>
      <c r="Z7" s="51"/>
      <c r="AA7" s="51"/>
      <c r="AB7" s="51"/>
      <c r="AD7" s="100" t="s">
        <v>867</v>
      </c>
    </row>
    <row r="8" spans="1:31" ht="44.1" hidden="1" customHeight="1">
      <c r="A8" s="50">
        <v>7</v>
      </c>
      <c r="B8" s="51">
        <v>7</v>
      </c>
      <c r="C8" s="51" t="s">
        <v>99</v>
      </c>
      <c r="D8" s="51" t="s">
        <v>1761</v>
      </c>
      <c r="E8" s="51" t="s">
        <v>138</v>
      </c>
      <c r="F8" s="51">
        <v>13</v>
      </c>
      <c r="G8" s="51">
        <v>879</v>
      </c>
      <c r="H8" s="51">
        <v>27015</v>
      </c>
      <c r="I8" s="51">
        <v>9594</v>
      </c>
      <c r="J8" s="51">
        <v>2576</v>
      </c>
      <c r="K8" s="51">
        <v>4245</v>
      </c>
      <c r="L8" s="51">
        <v>0.41099999999999998</v>
      </c>
      <c r="M8" s="51">
        <v>0.375</v>
      </c>
      <c r="N8" s="51">
        <v>0.8</v>
      </c>
      <c r="O8" s="51">
        <v>30.7</v>
      </c>
      <c r="P8" s="51">
        <v>10.9</v>
      </c>
      <c r="Q8" s="51">
        <v>2.9</v>
      </c>
      <c r="R8" s="51">
        <v>4.8</v>
      </c>
      <c r="S8" s="51">
        <v>52.5</v>
      </c>
      <c r="T8" s="51">
        <v>9.2999999999999999E-2</v>
      </c>
      <c r="U8" s="51">
        <v>0</v>
      </c>
      <c r="V8" s="51">
        <v>13.3</v>
      </c>
      <c r="X8" s="51"/>
      <c r="Y8" s="51"/>
      <c r="Z8" s="51"/>
      <c r="AA8" s="51" t="s">
        <v>1762</v>
      </c>
      <c r="AB8" s="51"/>
      <c r="AD8" s="101" t="s">
        <v>306</v>
      </c>
    </row>
    <row r="9" spans="1:31" ht="45" hidden="1">
      <c r="A9" s="50">
        <v>8</v>
      </c>
      <c r="B9" s="51">
        <v>8</v>
      </c>
      <c r="C9" s="51" t="s">
        <v>57</v>
      </c>
      <c r="D9" s="51" t="s">
        <v>1763</v>
      </c>
      <c r="E9" s="51" t="s">
        <v>530</v>
      </c>
      <c r="F9" s="51">
        <v>8</v>
      </c>
      <c r="G9" s="51">
        <v>429</v>
      </c>
      <c r="H9" s="51">
        <v>11882</v>
      </c>
      <c r="I9" s="51">
        <v>4797</v>
      </c>
      <c r="J9" s="51">
        <v>1331</v>
      </c>
      <c r="K9" s="51">
        <v>2495</v>
      </c>
      <c r="L9" s="51">
        <v>0.433</v>
      </c>
      <c r="M9" s="51">
        <v>0.28899999999999998</v>
      </c>
      <c r="N9" s="51">
        <v>0.81499999999999995</v>
      </c>
      <c r="O9" s="51">
        <v>27.7</v>
      </c>
      <c r="P9" s="51">
        <v>11.2</v>
      </c>
      <c r="Q9" s="51">
        <v>3.1</v>
      </c>
      <c r="R9" s="51">
        <v>5.8</v>
      </c>
      <c r="S9" s="51">
        <v>16.899999999999999</v>
      </c>
      <c r="T9" s="51">
        <v>6.8000000000000005E-2</v>
      </c>
      <c r="U9" s="51">
        <v>-0.4</v>
      </c>
      <c r="V9" s="51">
        <v>4.5999999999999996</v>
      </c>
      <c r="X9" s="51"/>
      <c r="Y9" s="51"/>
      <c r="Z9" s="51"/>
      <c r="AA9" s="51" t="s">
        <v>1762</v>
      </c>
      <c r="AB9" s="51"/>
      <c r="AD9" s="102" t="s">
        <v>308</v>
      </c>
    </row>
    <row r="10" spans="1:31" ht="15" hidden="1">
      <c r="A10" s="50">
        <v>9</v>
      </c>
      <c r="B10" s="51">
        <v>9</v>
      </c>
      <c r="C10" s="51" t="s">
        <v>50</v>
      </c>
      <c r="D10" s="51" t="s">
        <v>1764</v>
      </c>
      <c r="E10" s="51" t="s">
        <v>1094</v>
      </c>
      <c r="F10" s="51">
        <v>4</v>
      </c>
      <c r="G10" s="51">
        <v>233</v>
      </c>
      <c r="H10" s="51">
        <v>3610</v>
      </c>
      <c r="I10" s="51">
        <v>1516</v>
      </c>
      <c r="J10" s="51">
        <v>1045</v>
      </c>
      <c r="K10" s="51">
        <v>145</v>
      </c>
      <c r="L10" s="51">
        <v>0.48499999999999999</v>
      </c>
      <c r="M10" s="51">
        <v>0</v>
      </c>
      <c r="N10" s="51">
        <v>0.68899999999999995</v>
      </c>
      <c r="O10" s="51">
        <v>15.5</v>
      </c>
      <c r="P10" s="51">
        <v>6.5</v>
      </c>
      <c r="Q10" s="51">
        <v>4.5</v>
      </c>
      <c r="R10" s="51">
        <v>0.6</v>
      </c>
      <c r="S10" s="51">
        <v>7.8</v>
      </c>
      <c r="T10" s="51">
        <v>0.10299999999999999</v>
      </c>
      <c r="U10" s="51">
        <v>-2.7</v>
      </c>
      <c r="V10" s="51">
        <v>-0.6</v>
      </c>
      <c r="X10" s="51"/>
      <c r="Y10" s="51"/>
      <c r="Z10" s="51"/>
      <c r="AA10" s="51"/>
      <c r="AB10" s="51"/>
      <c r="AD10" s="103" t="s">
        <v>111</v>
      </c>
      <c r="AE10" s="52" t="s">
        <v>871</v>
      </c>
    </row>
    <row r="11" spans="1:31" ht="15" hidden="1">
      <c r="A11" s="50">
        <v>10</v>
      </c>
      <c r="B11" s="51">
        <v>10</v>
      </c>
      <c r="C11" s="51" t="s">
        <v>69</v>
      </c>
      <c r="D11" s="51" t="s">
        <v>1765</v>
      </c>
      <c r="E11" s="51" t="s">
        <v>49</v>
      </c>
      <c r="F11" s="51">
        <v>7</v>
      </c>
      <c r="G11" s="51">
        <v>427</v>
      </c>
      <c r="H11" s="51">
        <v>9898</v>
      </c>
      <c r="I11" s="51">
        <v>3553</v>
      </c>
      <c r="J11" s="51">
        <v>1330</v>
      </c>
      <c r="K11" s="51">
        <v>459</v>
      </c>
      <c r="L11" s="51">
        <v>0.41499999999999998</v>
      </c>
      <c r="M11" s="51">
        <v>0.35599999999999998</v>
      </c>
      <c r="N11" s="51">
        <v>0.79800000000000004</v>
      </c>
      <c r="O11" s="51">
        <v>23.2</v>
      </c>
      <c r="P11" s="51">
        <v>8.3000000000000007</v>
      </c>
      <c r="Q11" s="51">
        <v>3.1</v>
      </c>
      <c r="R11" s="51">
        <v>1.1000000000000001</v>
      </c>
      <c r="S11" s="51">
        <v>10.199999999999999</v>
      </c>
      <c r="T11" s="51">
        <v>4.9000000000000002E-2</v>
      </c>
      <c r="U11" s="51">
        <v>-2.5</v>
      </c>
      <c r="V11" s="51">
        <v>-1.3</v>
      </c>
      <c r="X11" s="51"/>
      <c r="Y11" s="51"/>
      <c r="Z11" s="51"/>
      <c r="AA11" s="51"/>
      <c r="AB11" s="51"/>
    </row>
    <row r="12" spans="1:31" ht="15" hidden="1">
      <c r="A12" s="50">
        <v>11</v>
      </c>
      <c r="B12" s="51">
        <v>11</v>
      </c>
      <c r="C12" s="51" t="s">
        <v>25</v>
      </c>
      <c r="D12" s="51" t="s">
        <v>1766</v>
      </c>
      <c r="E12" s="51"/>
      <c r="F12" s="51">
        <v>10</v>
      </c>
      <c r="G12" s="51">
        <v>557</v>
      </c>
      <c r="H12" s="51">
        <v>11950</v>
      </c>
      <c r="I12" s="51">
        <v>4629</v>
      </c>
      <c r="J12" s="51">
        <v>1723</v>
      </c>
      <c r="K12" s="51">
        <v>445</v>
      </c>
      <c r="L12" s="51">
        <v>0.42499999999999999</v>
      </c>
      <c r="M12" s="51">
        <v>0.35499999999999998</v>
      </c>
      <c r="N12" s="51">
        <v>0.66500000000000004</v>
      </c>
      <c r="O12" s="51">
        <v>21.5</v>
      </c>
      <c r="P12" s="51">
        <v>8.3000000000000007</v>
      </c>
      <c r="Q12" s="51">
        <v>3.1</v>
      </c>
      <c r="R12" s="51">
        <v>0.8</v>
      </c>
      <c r="S12" s="51">
        <v>19.7</v>
      </c>
      <c r="T12" s="51">
        <v>7.9000000000000001E-2</v>
      </c>
      <c r="U12" s="51">
        <v>-0.9</v>
      </c>
      <c r="V12" s="51">
        <v>3.2</v>
      </c>
      <c r="X12" s="51"/>
      <c r="Y12" s="51"/>
      <c r="Z12" s="51"/>
      <c r="AA12" s="51"/>
      <c r="AB12" s="51"/>
    </row>
    <row r="13" spans="1:31" ht="15" hidden="1">
      <c r="A13" s="50">
        <v>12</v>
      </c>
      <c r="B13" s="51">
        <v>12</v>
      </c>
      <c r="C13" s="51" t="s">
        <v>141</v>
      </c>
      <c r="D13" s="51" t="s">
        <v>1767</v>
      </c>
      <c r="E13" s="51" t="s">
        <v>138</v>
      </c>
      <c r="F13" s="51">
        <v>14</v>
      </c>
      <c r="G13" s="51">
        <v>910</v>
      </c>
      <c r="H13" s="51">
        <v>18603</v>
      </c>
      <c r="I13" s="51">
        <v>5359</v>
      </c>
      <c r="J13" s="51">
        <v>4701</v>
      </c>
      <c r="K13" s="51">
        <v>939</v>
      </c>
      <c r="L13" s="51">
        <v>0.53400000000000003</v>
      </c>
      <c r="M13" s="51">
        <v>0.20799999999999999</v>
      </c>
      <c r="N13" s="51">
        <v>0.72299999999999998</v>
      </c>
      <c r="O13" s="51">
        <v>20.399999999999999</v>
      </c>
      <c r="P13" s="51">
        <v>5.9</v>
      </c>
      <c r="Q13" s="51">
        <v>5.2</v>
      </c>
      <c r="R13" s="51">
        <v>1</v>
      </c>
      <c r="S13" s="51">
        <v>44.5</v>
      </c>
      <c r="T13" s="51">
        <v>0.115</v>
      </c>
      <c r="U13" s="51">
        <v>-1.3</v>
      </c>
      <c r="V13" s="51">
        <v>3.1</v>
      </c>
      <c r="X13" s="51"/>
      <c r="Y13" s="51"/>
      <c r="Z13" s="51"/>
      <c r="AA13" s="51"/>
      <c r="AB13" s="51"/>
    </row>
    <row r="14" spans="1:31" ht="15" hidden="1">
      <c r="A14" s="50">
        <v>13</v>
      </c>
      <c r="B14" s="51">
        <v>13</v>
      </c>
      <c r="C14" s="51" t="s">
        <v>152</v>
      </c>
      <c r="D14" s="51" t="s">
        <v>1768</v>
      </c>
      <c r="E14" s="51" t="s">
        <v>901</v>
      </c>
      <c r="F14" s="51">
        <v>8</v>
      </c>
      <c r="G14" s="51">
        <v>348</v>
      </c>
      <c r="H14" s="51">
        <v>5571</v>
      </c>
      <c r="I14" s="51">
        <v>2061</v>
      </c>
      <c r="J14" s="51">
        <v>519</v>
      </c>
      <c r="K14" s="51">
        <v>728</v>
      </c>
      <c r="L14" s="51">
        <v>0.432</v>
      </c>
      <c r="M14" s="51">
        <v>0.32700000000000001</v>
      </c>
      <c r="N14" s="51">
        <v>0.76800000000000002</v>
      </c>
      <c r="O14" s="51">
        <v>16</v>
      </c>
      <c r="P14" s="51">
        <v>5.9</v>
      </c>
      <c r="Q14" s="51">
        <v>1.5</v>
      </c>
      <c r="R14" s="51">
        <v>2.1</v>
      </c>
      <c r="S14" s="51">
        <v>6.6</v>
      </c>
      <c r="T14" s="51">
        <v>5.7000000000000002E-2</v>
      </c>
      <c r="U14" s="51">
        <v>-2</v>
      </c>
      <c r="V14" s="51">
        <v>-0.1</v>
      </c>
      <c r="X14" s="51"/>
      <c r="Y14" s="51"/>
      <c r="Z14" s="51"/>
      <c r="AA14" s="51"/>
      <c r="AB14" s="51"/>
    </row>
    <row r="15" spans="1:31" ht="15" hidden="1">
      <c r="A15" s="50">
        <v>14</v>
      </c>
      <c r="B15" s="51">
        <v>14</v>
      </c>
      <c r="C15" s="51" t="s">
        <v>141</v>
      </c>
      <c r="D15" s="51" t="s">
        <v>1769</v>
      </c>
      <c r="E15" s="51" t="s">
        <v>55</v>
      </c>
      <c r="F15" s="51">
        <v>12</v>
      </c>
      <c r="G15" s="51">
        <v>830</v>
      </c>
      <c r="H15" s="51">
        <v>21623</v>
      </c>
      <c r="I15" s="51">
        <v>7740</v>
      </c>
      <c r="J15" s="51">
        <v>1877</v>
      </c>
      <c r="K15" s="51">
        <v>3713</v>
      </c>
      <c r="L15" s="51">
        <v>0.43099999999999999</v>
      </c>
      <c r="M15" s="51">
        <v>0.34899999999999998</v>
      </c>
      <c r="N15" s="51">
        <v>0.86199999999999999</v>
      </c>
      <c r="O15" s="51">
        <v>26.1</v>
      </c>
      <c r="P15" s="51">
        <v>9.3000000000000007</v>
      </c>
      <c r="Q15" s="51">
        <v>2.2999999999999998</v>
      </c>
      <c r="R15" s="51">
        <v>4.5</v>
      </c>
      <c r="S15" s="51">
        <v>36</v>
      </c>
      <c r="T15" s="51">
        <v>0.08</v>
      </c>
      <c r="U15" s="51">
        <v>-0.6</v>
      </c>
      <c r="V15" s="51">
        <v>7.5</v>
      </c>
      <c r="X15" s="51"/>
      <c r="Y15" s="51"/>
      <c r="Z15" s="51"/>
      <c r="AA15" s="51"/>
      <c r="AB15" s="51"/>
    </row>
    <row r="16" spans="1:31" ht="15" hidden="1">
      <c r="A16" s="50">
        <v>15</v>
      </c>
      <c r="B16" s="51">
        <v>15</v>
      </c>
      <c r="C16" s="51" t="s">
        <v>179</v>
      </c>
      <c r="D16" s="51" t="s">
        <v>1770</v>
      </c>
      <c r="E16" s="51" t="s">
        <v>61</v>
      </c>
      <c r="F16" s="51">
        <v>3</v>
      </c>
      <c r="G16" s="51">
        <v>71</v>
      </c>
      <c r="H16" s="51">
        <v>605</v>
      </c>
      <c r="I16" s="51">
        <v>123</v>
      </c>
      <c r="J16" s="51">
        <v>53</v>
      </c>
      <c r="K16" s="51">
        <v>50</v>
      </c>
      <c r="L16" s="51">
        <v>0.32400000000000001</v>
      </c>
      <c r="M16" s="51">
        <v>0.26900000000000002</v>
      </c>
      <c r="N16" s="51">
        <v>0.60599999999999998</v>
      </c>
      <c r="O16" s="51">
        <v>8.5</v>
      </c>
      <c r="P16" s="51">
        <v>1.7</v>
      </c>
      <c r="Q16" s="51">
        <v>0.7</v>
      </c>
      <c r="R16" s="51">
        <v>0.7</v>
      </c>
      <c r="S16" s="51">
        <v>-0.6</v>
      </c>
      <c r="T16" s="51">
        <v>-4.9000000000000002E-2</v>
      </c>
      <c r="U16" s="51">
        <v>-6.1</v>
      </c>
      <c r="V16" s="51">
        <v>-0.6</v>
      </c>
      <c r="X16" s="51"/>
      <c r="Y16" s="51"/>
      <c r="Z16" s="51"/>
      <c r="AA16" s="51"/>
      <c r="AB16" s="51"/>
    </row>
    <row r="17" spans="1:49" ht="15" hidden="1">
      <c r="A17" s="50">
        <v>16</v>
      </c>
      <c r="B17" s="51">
        <v>16</v>
      </c>
      <c r="C17" s="51" t="s">
        <v>190</v>
      </c>
      <c r="D17" s="51" t="s">
        <v>1771</v>
      </c>
      <c r="E17" s="51" t="s">
        <v>364</v>
      </c>
      <c r="F17" s="51">
        <v>1</v>
      </c>
      <c r="G17" s="51">
        <v>6</v>
      </c>
      <c r="H17" s="51">
        <v>34</v>
      </c>
      <c r="I17" s="51">
        <v>11</v>
      </c>
      <c r="J17" s="51">
        <v>4</v>
      </c>
      <c r="K17" s="51">
        <v>4</v>
      </c>
      <c r="L17" s="51">
        <v>0.222</v>
      </c>
      <c r="M17" s="51">
        <v>0</v>
      </c>
      <c r="N17" s="51">
        <v>1</v>
      </c>
      <c r="O17" s="51">
        <v>5.7</v>
      </c>
      <c r="P17" s="51">
        <v>1.8</v>
      </c>
      <c r="Q17" s="51">
        <v>0.7</v>
      </c>
      <c r="R17" s="51">
        <v>0.7</v>
      </c>
      <c r="S17" s="51">
        <v>-0.2</v>
      </c>
      <c r="T17" s="51">
        <v>-0.32600000000000001</v>
      </c>
      <c r="U17" s="51">
        <v>-19.600000000000001</v>
      </c>
      <c r="V17" s="51">
        <v>-0.2</v>
      </c>
      <c r="X17" s="51"/>
      <c r="Y17" s="51"/>
      <c r="Z17" s="51"/>
      <c r="AA17" s="51"/>
      <c r="AB17" s="51"/>
      <c r="AF17" s="104"/>
      <c r="AG17" s="104" t="s">
        <v>1772</v>
      </c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 t="s">
        <v>1773</v>
      </c>
    </row>
    <row r="18" spans="1:49" ht="15" hidden="1">
      <c r="A18" s="50">
        <v>17</v>
      </c>
      <c r="B18" s="51">
        <v>17</v>
      </c>
      <c r="C18" s="51" t="s">
        <v>323</v>
      </c>
      <c r="D18" s="51" t="s">
        <v>1774</v>
      </c>
      <c r="E18" s="51"/>
      <c r="F18" s="51">
        <v>3</v>
      </c>
      <c r="G18" s="51">
        <v>150</v>
      </c>
      <c r="H18" s="51">
        <v>1550</v>
      </c>
      <c r="I18" s="51">
        <v>640</v>
      </c>
      <c r="J18" s="51">
        <v>312</v>
      </c>
      <c r="K18" s="51">
        <v>85</v>
      </c>
      <c r="L18" s="51">
        <v>0.42699999999999999</v>
      </c>
      <c r="M18" s="51">
        <v>0.27300000000000002</v>
      </c>
      <c r="N18" s="51">
        <v>0.73299999999999998</v>
      </c>
      <c r="O18" s="51">
        <v>10.3</v>
      </c>
      <c r="P18" s="51">
        <v>4.3</v>
      </c>
      <c r="Q18" s="51">
        <v>2.1</v>
      </c>
      <c r="R18" s="51">
        <v>0.6</v>
      </c>
      <c r="S18" s="51">
        <v>1.1000000000000001</v>
      </c>
      <c r="T18" s="51">
        <v>3.5000000000000003E-2</v>
      </c>
      <c r="U18" s="51">
        <v>-3.9</v>
      </c>
      <c r="V18" s="51">
        <v>-0.7</v>
      </c>
      <c r="X18" s="51"/>
      <c r="Y18" s="51"/>
      <c r="Z18" s="51"/>
      <c r="AA18" s="51"/>
      <c r="AB18" s="51"/>
      <c r="AF18" s="104" t="s">
        <v>1014</v>
      </c>
      <c r="AG18" s="50">
        <v>2004</v>
      </c>
      <c r="AH18" s="50">
        <v>2005</v>
      </c>
      <c r="AI18" s="50">
        <v>2006</v>
      </c>
      <c r="AJ18" s="50">
        <v>2007</v>
      </c>
      <c r="AK18" s="50">
        <v>2008</v>
      </c>
      <c r="AL18" s="50">
        <v>2009</v>
      </c>
      <c r="AM18" s="50">
        <v>2010</v>
      </c>
      <c r="AN18" s="50">
        <v>2011</v>
      </c>
      <c r="AO18" s="50">
        <v>2012</v>
      </c>
      <c r="AP18" s="50">
        <v>2013</v>
      </c>
      <c r="AQ18" s="50">
        <v>2014</v>
      </c>
      <c r="AR18" s="50">
        <v>2015</v>
      </c>
      <c r="AS18" s="50">
        <v>2016</v>
      </c>
      <c r="AT18" s="50">
        <v>2017</v>
      </c>
      <c r="AU18" s="50">
        <v>2018</v>
      </c>
      <c r="AV18" s="50">
        <v>2019</v>
      </c>
      <c r="AW18" s="50">
        <v>2020</v>
      </c>
    </row>
    <row r="19" spans="1:49" ht="15" hidden="1">
      <c r="A19" s="50">
        <v>18</v>
      </c>
      <c r="B19" s="51">
        <v>18</v>
      </c>
      <c r="C19" s="51" t="s">
        <v>1098</v>
      </c>
      <c r="D19" s="51" t="s">
        <v>1775</v>
      </c>
      <c r="E19" s="51" t="s">
        <v>412</v>
      </c>
      <c r="F19" s="51">
        <v>15</v>
      </c>
      <c r="G19" s="51">
        <v>1034</v>
      </c>
      <c r="H19" s="51">
        <v>29144</v>
      </c>
      <c r="I19" s="51">
        <v>14034</v>
      </c>
      <c r="J19" s="51">
        <v>6590</v>
      </c>
      <c r="K19" s="51">
        <v>2273</v>
      </c>
      <c r="L19" s="51">
        <v>0.495</v>
      </c>
      <c r="M19" s="51">
        <v>0.26500000000000001</v>
      </c>
      <c r="N19" s="51">
        <v>0.81699999999999995</v>
      </c>
      <c r="O19" s="51">
        <v>28.2</v>
      </c>
      <c r="P19" s="51">
        <v>13.6</v>
      </c>
      <c r="Q19" s="51">
        <v>6.4</v>
      </c>
      <c r="R19" s="51">
        <v>2.2000000000000002</v>
      </c>
      <c r="S19" s="51">
        <v>85.9</v>
      </c>
      <c r="T19" s="51">
        <v>0.14099999999999999</v>
      </c>
      <c r="U19" s="51">
        <v>1.7</v>
      </c>
      <c r="V19" s="51">
        <v>27.6</v>
      </c>
      <c r="X19" s="51"/>
      <c r="Y19" s="51"/>
      <c r="Z19" s="51"/>
      <c r="AA19" s="51"/>
      <c r="AB19" s="51"/>
      <c r="AF19" s="105" t="s">
        <v>1018</v>
      </c>
    </row>
    <row r="20" spans="1:49" ht="15" hidden="1">
      <c r="A20" s="50">
        <v>19</v>
      </c>
      <c r="B20" s="51">
        <v>19</v>
      </c>
      <c r="C20" s="51" t="s">
        <v>193</v>
      </c>
      <c r="D20" s="51" t="s">
        <v>1776</v>
      </c>
      <c r="E20" s="51"/>
      <c r="F20" s="51">
        <v>10</v>
      </c>
      <c r="G20" s="51">
        <v>567</v>
      </c>
      <c r="H20" s="51">
        <v>8888</v>
      </c>
      <c r="I20" s="51">
        <v>2787</v>
      </c>
      <c r="J20" s="51">
        <v>1000</v>
      </c>
      <c r="K20" s="51">
        <v>517</v>
      </c>
      <c r="L20" s="51">
        <v>0.40400000000000003</v>
      </c>
      <c r="M20" s="51">
        <v>0.34599999999999997</v>
      </c>
      <c r="N20" s="51">
        <v>0.67300000000000004</v>
      </c>
      <c r="O20" s="51">
        <v>15.7</v>
      </c>
      <c r="P20" s="51">
        <v>4.9000000000000004</v>
      </c>
      <c r="Q20" s="51">
        <v>1.8</v>
      </c>
      <c r="R20" s="51">
        <v>0.9</v>
      </c>
      <c r="S20" s="51">
        <v>7</v>
      </c>
      <c r="T20" s="51">
        <v>3.7999999999999999E-2</v>
      </c>
      <c r="U20" s="51">
        <v>-3.4</v>
      </c>
      <c r="V20" s="51">
        <v>-3.1</v>
      </c>
      <c r="X20" s="51"/>
      <c r="Y20" s="51"/>
      <c r="Z20" s="51"/>
      <c r="AA20" s="51"/>
      <c r="AB20" s="51"/>
      <c r="AF20" s="106" t="s">
        <v>1020</v>
      </c>
    </row>
    <row r="21" spans="1:49" ht="15" hidden="1">
      <c r="A21" s="50">
        <v>20</v>
      </c>
      <c r="B21" s="51">
        <v>20</v>
      </c>
      <c r="C21" s="51" t="s">
        <v>190</v>
      </c>
      <c r="D21" s="51" t="s">
        <v>1777</v>
      </c>
      <c r="E21" s="51" t="s">
        <v>171</v>
      </c>
      <c r="F21" s="51">
        <v>13</v>
      </c>
      <c r="G21" s="51">
        <v>624</v>
      </c>
      <c r="H21" s="51">
        <v>9799</v>
      </c>
      <c r="I21" s="51">
        <v>3353</v>
      </c>
      <c r="J21" s="51">
        <v>1082</v>
      </c>
      <c r="K21" s="51">
        <v>529</v>
      </c>
      <c r="L21" s="51">
        <v>0.439</v>
      </c>
      <c r="M21" s="51">
        <v>0.32900000000000001</v>
      </c>
      <c r="N21" s="51">
        <v>0.751</v>
      </c>
      <c r="O21" s="51">
        <v>15.7</v>
      </c>
      <c r="P21" s="51">
        <v>5.4</v>
      </c>
      <c r="Q21" s="51">
        <v>1.7</v>
      </c>
      <c r="R21" s="51">
        <v>0.8</v>
      </c>
      <c r="S21" s="51">
        <v>9.9</v>
      </c>
      <c r="T21" s="51">
        <v>4.8000000000000001E-2</v>
      </c>
      <c r="U21" s="51">
        <v>-3.7</v>
      </c>
      <c r="V21" s="51">
        <v>-4.0999999999999996</v>
      </c>
      <c r="X21" s="51"/>
      <c r="Y21" s="51"/>
      <c r="Z21" s="51"/>
      <c r="AA21" s="51"/>
      <c r="AB21" s="51"/>
      <c r="AF21" s="107" t="s">
        <v>1023</v>
      </c>
    </row>
    <row r="22" spans="1:49" ht="15" hidden="1">
      <c r="A22" s="50">
        <v>21</v>
      </c>
      <c r="B22" s="51">
        <v>21</v>
      </c>
      <c r="C22" s="51" t="s">
        <v>184</v>
      </c>
      <c r="D22" s="51" t="s">
        <v>1778</v>
      </c>
      <c r="E22" s="51"/>
      <c r="F22" s="51">
        <v>14</v>
      </c>
      <c r="G22" s="51">
        <v>1064</v>
      </c>
      <c r="H22" s="51">
        <v>28768</v>
      </c>
      <c r="I22" s="51">
        <v>9139</v>
      </c>
      <c r="J22" s="51">
        <v>4634</v>
      </c>
      <c r="K22" s="51">
        <v>3684</v>
      </c>
      <c r="L22" s="51">
        <v>0.49299999999999999</v>
      </c>
      <c r="M22" s="51">
        <v>0.33600000000000002</v>
      </c>
      <c r="N22" s="51">
        <v>0.71699999999999997</v>
      </c>
      <c r="O22" s="51">
        <v>27</v>
      </c>
      <c r="P22" s="51">
        <v>8.6</v>
      </c>
      <c r="Q22" s="51">
        <v>4.4000000000000004</v>
      </c>
      <c r="R22" s="51">
        <v>3.5</v>
      </c>
      <c r="S22" s="51">
        <v>51.6</v>
      </c>
      <c r="T22" s="51">
        <v>8.5999999999999993E-2</v>
      </c>
      <c r="U22" s="51">
        <v>0.1</v>
      </c>
      <c r="V22" s="51">
        <v>15.5</v>
      </c>
      <c r="X22" s="51"/>
      <c r="Y22" s="51"/>
      <c r="Z22" s="51"/>
      <c r="AA22" s="51"/>
      <c r="AB22" s="51"/>
      <c r="AF22" s="105" t="s">
        <v>1025</v>
      </c>
    </row>
    <row r="23" spans="1:49" ht="15" hidden="1">
      <c r="A23" s="50">
        <v>22</v>
      </c>
      <c r="B23" s="51">
        <v>22</v>
      </c>
      <c r="C23" s="51" t="s">
        <v>1214</v>
      </c>
      <c r="D23" s="51" t="s">
        <v>1779</v>
      </c>
      <c r="E23" s="51"/>
      <c r="F23" s="51">
        <v>3</v>
      </c>
      <c r="G23" s="51">
        <v>148</v>
      </c>
      <c r="H23" s="51">
        <v>1584</v>
      </c>
      <c r="I23" s="51">
        <v>561</v>
      </c>
      <c r="J23" s="51">
        <v>198</v>
      </c>
      <c r="K23" s="51">
        <v>165</v>
      </c>
      <c r="L23" s="51">
        <v>0.40500000000000003</v>
      </c>
      <c r="M23" s="51">
        <v>0.28899999999999998</v>
      </c>
      <c r="N23" s="51">
        <v>0.67700000000000005</v>
      </c>
      <c r="O23" s="51">
        <v>10.7</v>
      </c>
      <c r="P23" s="51">
        <v>3.8</v>
      </c>
      <c r="Q23" s="51">
        <v>1.3</v>
      </c>
      <c r="R23" s="51">
        <v>1.1000000000000001</v>
      </c>
      <c r="S23" s="51">
        <v>1.5</v>
      </c>
      <c r="T23" s="51">
        <v>4.5999999999999999E-2</v>
      </c>
      <c r="U23" s="51">
        <v>-3.5</v>
      </c>
      <c r="V23" s="51">
        <v>-0.6</v>
      </c>
      <c r="X23" s="51"/>
      <c r="Y23" s="51"/>
      <c r="Z23" s="51"/>
      <c r="AA23" s="51"/>
      <c r="AB23" s="51"/>
      <c r="AF23" s="105" t="s">
        <v>1027</v>
      </c>
    </row>
    <row r="24" spans="1:49" ht="15" hidden="1">
      <c r="A24" s="50">
        <v>23</v>
      </c>
      <c r="B24" s="51">
        <v>23</v>
      </c>
      <c r="C24" s="51" t="s">
        <v>124</v>
      </c>
      <c r="D24" s="51" t="s">
        <v>1780</v>
      </c>
      <c r="E24" s="51"/>
      <c r="F24" s="51">
        <v>11</v>
      </c>
      <c r="G24" s="51">
        <v>622</v>
      </c>
      <c r="H24" s="51">
        <v>13026</v>
      </c>
      <c r="I24" s="51">
        <v>5273</v>
      </c>
      <c r="J24" s="51">
        <v>1974</v>
      </c>
      <c r="K24" s="51">
        <v>514</v>
      </c>
      <c r="L24" s="51">
        <v>0.42299999999999999</v>
      </c>
      <c r="M24" s="51">
        <v>0.33700000000000002</v>
      </c>
      <c r="N24" s="51">
        <v>0.74399999999999999</v>
      </c>
      <c r="O24" s="51">
        <v>20.9</v>
      </c>
      <c r="P24" s="51">
        <v>8.5</v>
      </c>
      <c r="Q24" s="51">
        <v>3.2</v>
      </c>
      <c r="R24" s="51">
        <v>0.8</v>
      </c>
      <c r="S24" s="51">
        <v>16.5</v>
      </c>
      <c r="T24" s="51">
        <v>6.0999999999999999E-2</v>
      </c>
      <c r="U24" s="51">
        <v>-1.4</v>
      </c>
      <c r="V24" s="51">
        <v>2.1</v>
      </c>
      <c r="X24" s="51"/>
      <c r="Y24" s="51"/>
      <c r="Z24" s="51"/>
      <c r="AA24" s="51"/>
      <c r="AB24" s="51"/>
      <c r="AF24" s="105" t="s">
        <v>1029</v>
      </c>
    </row>
    <row r="25" spans="1:49" ht="15" hidden="1">
      <c r="A25" s="50">
        <v>24</v>
      </c>
      <c r="B25" s="51">
        <v>24</v>
      </c>
      <c r="C25" s="51" t="s">
        <v>31</v>
      </c>
      <c r="D25" s="51" t="s">
        <v>1781</v>
      </c>
      <c r="E25" s="51" t="s">
        <v>158</v>
      </c>
      <c r="F25" s="51">
        <v>9</v>
      </c>
      <c r="G25" s="51">
        <v>421</v>
      </c>
      <c r="H25" s="51">
        <v>5649</v>
      </c>
      <c r="I25" s="51">
        <v>2312</v>
      </c>
      <c r="J25" s="51">
        <v>1115</v>
      </c>
      <c r="K25" s="51">
        <v>252</v>
      </c>
      <c r="L25" s="51">
        <v>0.439</v>
      </c>
      <c r="M25" s="51">
        <v>0.38200000000000001</v>
      </c>
      <c r="N25" s="51">
        <v>0.78300000000000003</v>
      </c>
      <c r="O25" s="51">
        <v>13.4</v>
      </c>
      <c r="P25" s="51">
        <v>5.5</v>
      </c>
      <c r="Q25" s="51">
        <v>2.6</v>
      </c>
      <c r="R25" s="51">
        <v>0.6</v>
      </c>
      <c r="S25" s="51">
        <v>10.199999999999999</v>
      </c>
      <c r="T25" s="51">
        <v>8.5999999999999993E-2</v>
      </c>
      <c r="U25" s="51">
        <v>-1.6</v>
      </c>
      <c r="V25" s="51">
        <v>0.5</v>
      </c>
      <c r="X25" s="51"/>
      <c r="Y25" s="51"/>
      <c r="Z25" s="51"/>
      <c r="AA25" s="51"/>
      <c r="AB25" s="51"/>
      <c r="AF25" s="105" t="s">
        <v>1031</v>
      </c>
    </row>
    <row r="26" spans="1:49" ht="15" hidden="1">
      <c r="A26" s="50">
        <v>25</v>
      </c>
      <c r="B26" s="51">
        <v>25</v>
      </c>
      <c r="C26" s="51" t="s">
        <v>34</v>
      </c>
      <c r="D26" s="51" t="s">
        <v>1782</v>
      </c>
      <c r="E26" s="51"/>
      <c r="F26" s="51">
        <v>8</v>
      </c>
      <c r="G26" s="51">
        <v>507</v>
      </c>
      <c r="H26" s="51">
        <v>11580</v>
      </c>
      <c r="I26" s="51">
        <v>4115</v>
      </c>
      <c r="J26" s="51">
        <v>1815</v>
      </c>
      <c r="K26" s="51">
        <v>887</v>
      </c>
      <c r="L26" s="51">
        <v>0.40100000000000002</v>
      </c>
      <c r="M26" s="51">
        <v>0.36499999999999999</v>
      </c>
      <c r="N26" s="51">
        <v>0.75800000000000001</v>
      </c>
      <c r="O26" s="51">
        <v>22.8</v>
      </c>
      <c r="P26" s="51">
        <v>8.1</v>
      </c>
      <c r="Q26" s="51">
        <v>3.6</v>
      </c>
      <c r="R26" s="51">
        <v>1.7</v>
      </c>
      <c r="S26" s="51">
        <v>22.5</v>
      </c>
      <c r="T26" s="51">
        <v>9.2999999999999999E-2</v>
      </c>
      <c r="U26" s="51">
        <v>0.5</v>
      </c>
      <c r="V26" s="51">
        <v>7.2</v>
      </c>
      <c r="X26" s="51"/>
      <c r="Y26" s="51"/>
      <c r="Z26" s="51"/>
      <c r="AA26" s="51"/>
      <c r="AB26" s="51"/>
      <c r="AF26" s="105" t="s">
        <v>1033</v>
      </c>
    </row>
    <row r="27" spans="1:49" ht="15" hidden="1">
      <c r="A27" s="50">
        <v>26</v>
      </c>
      <c r="B27" s="51">
        <v>26</v>
      </c>
      <c r="C27" s="51" t="s">
        <v>135</v>
      </c>
      <c r="D27" s="51" t="s">
        <v>1783</v>
      </c>
      <c r="E27" s="51"/>
      <c r="F27" s="51">
        <v>2</v>
      </c>
      <c r="G27" s="51">
        <v>19</v>
      </c>
      <c r="H27" s="51">
        <v>86</v>
      </c>
      <c r="I27" s="51">
        <v>40</v>
      </c>
      <c r="J27" s="51">
        <v>19</v>
      </c>
      <c r="K27" s="51">
        <v>4</v>
      </c>
      <c r="L27" s="51">
        <v>0.48599999999999999</v>
      </c>
      <c r="M27" s="51">
        <v>0</v>
      </c>
      <c r="N27" s="51">
        <v>0.46200000000000002</v>
      </c>
      <c r="O27" s="51">
        <v>4.5</v>
      </c>
      <c r="P27" s="51">
        <v>2.1</v>
      </c>
      <c r="Q27" s="51">
        <v>1</v>
      </c>
      <c r="R27" s="51">
        <v>0.2</v>
      </c>
      <c r="S27" s="51">
        <v>0.1</v>
      </c>
      <c r="T27" s="51">
        <v>5.0999999999999997E-2</v>
      </c>
      <c r="U27" s="51">
        <v>-3.8</v>
      </c>
      <c r="V27" s="51">
        <v>0</v>
      </c>
      <c r="X27" s="51"/>
      <c r="Y27" s="51"/>
      <c r="Z27" s="51"/>
      <c r="AA27" s="51"/>
      <c r="AB27" s="51"/>
      <c r="AF27" s="105" t="s">
        <v>1035</v>
      </c>
    </row>
    <row r="28" spans="1:49" ht="15" hidden="1">
      <c r="A28" s="50">
        <v>27</v>
      </c>
      <c r="B28" s="51">
        <v>27</v>
      </c>
      <c r="C28" s="51" t="s">
        <v>152</v>
      </c>
      <c r="D28" s="51" t="s">
        <v>1784</v>
      </c>
      <c r="E28" s="51"/>
      <c r="F28" s="51">
        <v>14</v>
      </c>
      <c r="G28" s="51">
        <v>782</v>
      </c>
      <c r="H28" s="51">
        <v>17162</v>
      </c>
      <c r="I28" s="51">
        <v>4214</v>
      </c>
      <c r="J28" s="51">
        <v>4532</v>
      </c>
      <c r="K28" s="51">
        <v>813</v>
      </c>
      <c r="L28" s="51">
        <v>0.53</v>
      </c>
      <c r="M28" s="51">
        <v>0</v>
      </c>
      <c r="N28" s="51">
        <v>0.59399999999999997</v>
      </c>
      <c r="O28" s="51">
        <v>21.9</v>
      </c>
      <c r="P28" s="51">
        <v>5.4</v>
      </c>
      <c r="Q28" s="51">
        <v>5.8</v>
      </c>
      <c r="R28" s="51">
        <v>1</v>
      </c>
      <c r="S28" s="51">
        <v>27.9</v>
      </c>
      <c r="T28" s="51">
        <v>7.8E-2</v>
      </c>
      <c r="U28" s="51">
        <v>-1.9</v>
      </c>
      <c r="V28" s="51">
        <v>0.6</v>
      </c>
      <c r="X28" s="51"/>
      <c r="Y28" s="51"/>
      <c r="Z28" s="51"/>
      <c r="AA28" s="51"/>
      <c r="AB28" s="51"/>
      <c r="AF28" s="106" t="s">
        <v>1037</v>
      </c>
    </row>
    <row r="29" spans="1:49" ht="15" hidden="1">
      <c r="A29" s="50">
        <v>28</v>
      </c>
      <c r="B29" s="51">
        <v>28</v>
      </c>
      <c r="C29" s="51" t="s">
        <v>79</v>
      </c>
      <c r="D29" s="51" t="s">
        <v>1785</v>
      </c>
      <c r="E29" s="51"/>
      <c r="F29" s="51">
        <v>14</v>
      </c>
      <c r="G29" s="51">
        <v>850</v>
      </c>
      <c r="H29" s="51">
        <v>18386</v>
      </c>
      <c r="I29" s="51">
        <v>9035</v>
      </c>
      <c r="J29" s="51">
        <v>1720</v>
      </c>
      <c r="K29" s="51">
        <v>1775</v>
      </c>
      <c r="L29" s="51">
        <v>0.45900000000000002</v>
      </c>
      <c r="M29" s="51">
        <v>0.38700000000000001</v>
      </c>
      <c r="N29" s="51">
        <v>0.82099999999999995</v>
      </c>
      <c r="O29" s="51">
        <v>21.6</v>
      </c>
      <c r="P29" s="51">
        <v>10.6</v>
      </c>
      <c r="Q29" s="51">
        <v>2</v>
      </c>
      <c r="R29" s="51">
        <v>2.1</v>
      </c>
      <c r="S29" s="51">
        <v>37.4</v>
      </c>
      <c r="T29" s="51">
        <v>9.8000000000000004E-2</v>
      </c>
      <c r="U29" s="51">
        <v>-0.2</v>
      </c>
      <c r="V29" s="51">
        <v>8.6</v>
      </c>
      <c r="X29" s="51"/>
      <c r="Y29" s="51"/>
      <c r="Z29" s="51"/>
      <c r="AA29" s="51"/>
      <c r="AB29" s="51"/>
      <c r="AF29" s="107" t="s">
        <v>1039</v>
      </c>
    </row>
    <row r="30" spans="1:49" ht="15" hidden="1">
      <c r="A30" s="50">
        <v>29</v>
      </c>
      <c r="B30" s="51">
        <v>29</v>
      </c>
      <c r="C30" s="51" t="s">
        <v>20</v>
      </c>
      <c r="D30" s="51" t="s">
        <v>1786</v>
      </c>
      <c r="E30" s="51" t="s">
        <v>463</v>
      </c>
      <c r="F30" s="51">
        <v>10</v>
      </c>
      <c r="G30" s="51">
        <v>507</v>
      </c>
      <c r="H30" s="51">
        <v>15350</v>
      </c>
      <c r="I30" s="51">
        <v>7270</v>
      </c>
      <c r="J30" s="51">
        <v>2886</v>
      </c>
      <c r="K30" s="51">
        <v>817</v>
      </c>
      <c r="L30" s="51">
        <v>0.44800000000000001</v>
      </c>
      <c r="M30" s="51">
        <v>0.33200000000000002</v>
      </c>
      <c r="N30" s="51">
        <v>0.77</v>
      </c>
      <c r="O30" s="51">
        <v>30.3</v>
      </c>
      <c r="P30" s="51">
        <v>14.3</v>
      </c>
      <c r="Q30" s="51">
        <v>5.7</v>
      </c>
      <c r="R30" s="51">
        <v>1.6</v>
      </c>
      <c r="S30" s="51">
        <v>38</v>
      </c>
      <c r="T30" s="51">
        <v>0.11899999999999999</v>
      </c>
      <c r="U30" s="51">
        <v>0.6</v>
      </c>
      <c r="V30" s="51">
        <v>10</v>
      </c>
      <c r="X30" s="51"/>
      <c r="Y30" s="51"/>
      <c r="Z30" s="51"/>
      <c r="AA30" s="51"/>
      <c r="AB30" s="51"/>
      <c r="AF30" s="105" t="s">
        <v>1041</v>
      </c>
    </row>
    <row r="31" spans="1:49" ht="15" hidden="1">
      <c r="A31" s="50">
        <v>30</v>
      </c>
      <c r="B31" s="51">
        <v>30</v>
      </c>
      <c r="C31" s="51" t="s">
        <v>50</v>
      </c>
      <c r="D31" s="51" t="s">
        <v>1787</v>
      </c>
      <c r="E31" s="51"/>
      <c r="F31" s="51">
        <v>3</v>
      </c>
      <c r="G31" s="51">
        <v>64</v>
      </c>
      <c r="H31" s="51">
        <v>632</v>
      </c>
      <c r="I31" s="51">
        <v>215</v>
      </c>
      <c r="J31" s="51">
        <v>142</v>
      </c>
      <c r="K31" s="51">
        <v>22</v>
      </c>
      <c r="L31" s="51">
        <v>0.40699999999999997</v>
      </c>
      <c r="M31" s="51">
        <v>0.25</v>
      </c>
      <c r="N31" s="51">
        <v>0.67600000000000005</v>
      </c>
      <c r="O31" s="51">
        <v>9.9</v>
      </c>
      <c r="P31" s="51">
        <v>3.4</v>
      </c>
      <c r="Q31" s="51">
        <v>2.2000000000000002</v>
      </c>
      <c r="R31" s="51">
        <v>0.3</v>
      </c>
      <c r="S31" s="51">
        <v>-0.2</v>
      </c>
      <c r="T31" s="51">
        <v>-1.4E-2</v>
      </c>
      <c r="U31" s="51">
        <v>-7</v>
      </c>
      <c r="V31" s="51">
        <v>-0.8</v>
      </c>
      <c r="X31" s="51"/>
      <c r="Y31" s="51"/>
      <c r="Z31" s="51"/>
      <c r="AA31" s="51"/>
      <c r="AB31" s="51"/>
      <c r="AF31" s="105" t="s">
        <v>1043</v>
      </c>
    </row>
    <row r="32" spans="1:49" s="110" customFormat="1" hidden="1">
      <c r="A32" s="108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X32" s="109"/>
      <c r="Y32" s="109"/>
      <c r="Z32" s="109"/>
      <c r="AA32" s="109"/>
      <c r="AB32" s="109"/>
      <c r="AF32" s="111"/>
    </row>
    <row r="33" spans="1:40" ht="15">
      <c r="A33" s="50">
        <v>31</v>
      </c>
      <c r="B33" s="51">
        <v>31</v>
      </c>
      <c r="C33" s="51" t="s">
        <v>76</v>
      </c>
      <c r="D33" s="51" t="s">
        <v>1788</v>
      </c>
      <c r="E33" s="51" t="s">
        <v>63</v>
      </c>
      <c r="F33" s="51">
        <v>9</v>
      </c>
      <c r="G33" s="51">
        <v>509</v>
      </c>
      <c r="H33" s="51">
        <v>9068</v>
      </c>
      <c r="I33" s="51">
        <v>3398</v>
      </c>
      <c r="J33" s="51">
        <v>844</v>
      </c>
      <c r="K33" s="51">
        <v>417</v>
      </c>
      <c r="L33" s="51">
        <v>0.442</v>
      </c>
      <c r="M33" s="51">
        <v>0.434</v>
      </c>
      <c r="N33" s="51">
        <v>0.83499999999999996</v>
      </c>
      <c r="O33" s="51">
        <v>17.8</v>
      </c>
      <c r="P33" s="51">
        <v>6.7</v>
      </c>
      <c r="Q33" s="51">
        <v>1.7</v>
      </c>
      <c r="R33" s="51">
        <v>0.8</v>
      </c>
      <c r="S33" s="51">
        <v>10.3</v>
      </c>
      <c r="T33" s="51">
        <v>5.5E-2</v>
      </c>
      <c r="U33" s="51">
        <v>-2.6</v>
      </c>
      <c r="V33" s="51">
        <v>-1.3</v>
      </c>
      <c r="X33" s="51"/>
      <c r="Y33" s="51"/>
      <c r="Z33" s="51"/>
      <c r="AA33" s="51"/>
      <c r="AB33" s="51"/>
    </row>
    <row r="34" spans="1:40" ht="15">
      <c r="A34" s="50">
        <v>32</v>
      </c>
      <c r="B34" s="51">
        <v>32</v>
      </c>
      <c r="C34" s="51" t="s">
        <v>31</v>
      </c>
      <c r="D34" s="51" t="s">
        <v>1789</v>
      </c>
      <c r="E34" s="51" t="s">
        <v>224</v>
      </c>
      <c r="F34" s="51">
        <v>10</v>
      </c>
      <c r="G34" s="51">
        <v>564</v>
      </c>
      <c r="H34" s="51">
        <v>9685</v>
      </c>
      <c r="I34" s="51">
        <v>2649</v>
      </c>
      <c r="J34" s="51">
        <v>1588</v>
      </c>
      <c r="K34" s="51">
        <v>1317</v>
      </c>
      <c r="L34" s="51">
        <v>0.42899999999999999</v>
      </c>
      <c r="M34" s="51">
        <v>0.32600000000000001</v>
      </c>
      <c r="N34" s="51">
        <v>0.71499999999999997</v>
      </c>
      <c r="O34" s="51">
        <v>17.2</v>
      </c>
      <c r="P34" s="51">
        <v>4.7</v>
      </c>
      <c r="Q34" s="51">
        <v>2.8</v>
      </c>
      <c r="R34" s="51">
        <v>2.2999999999999998</v>
      </c>
      <c r="S34" s="51">
        <v>13.5</v>
      </c>
      <c r="T34" s="51">
        <v>6.7000000000000004E-2</v>
      </c>
      <c r="U34" s="51">
        <v>-1</v>
      </c>
      <c r="V34" s="51">
        <v>2.5</v>
      </c>
      <c r="X34" s="51"/>
      <c r="Y34" s="51"/>
      <c r="Z34" s="51"/>
      <c r="AA34" s="51"/>
      <c r="AB34" s="51"/>
    </row>
    <row r="35" spans="1:40" ht="15">
      <c r="A35" s="50">
        <v>33</v>
      </c>
      <c r="B35" s="51">
        <v>33</v>
      </c>
      <c r="C35" s="51" t="s">
        <v>72</v>
      </c>
      <c r="D35" s="112" t="s">
        <v>1790</v>
      </c>
      <c r="E35" s="51" t="s">
        <v>1791</v>
      </c>
      <c r="F35" s="51">
        <v>1</v>
      </c>
      <c r="G35" s="51">
        <v>2</v>
      </c>
      <c r="H35" s="51">
        <v>5</v>
      </c>
      <c r="I35" s="51">
        <v>2</v>
      </c>
      <c r="J35" s="51">
        <v>1</v>
      </c>
      <c r="K35" s="51">
        <v>0</v>
      </c>
      <c r="L35" s="51">
        <v>0.33300000000000002</v>
      </c>
      <c r="M35" s="51">
        <v>0</v>
      </c>
      <c r="N35" s="51">
        <v>0</v>
      </c>
      <c r="O35" s="51">
        <v>2.5</v>
      </c>
      <c r="P35" s="51">
        <v>1</v>
      </c>
      <c r="Q35" s="51">
        <v>0.5</v>
      </c>
      <c r="R35" s="51">
        <v>0</v>
      </c>
      <c r="S35" s="51">
        <v>0</v>
      </c>
      <c r="T35" s="51">
        <v>-0.11700000000000001</v>
      </c>
      <c r="U35" s="51">
        <v>-5.2</v>
      </c>
      <c r="V35" s="51">
        <v>0</v>
      </c>
      <c r="X35" s="51"/>
      <c r="Y35" s="51"/>
      <c r="Z35" s="51"/>
      <c r="AA35" s="51"/>
      <c r="AB35" s="51"/>
    </row>
    <row r="36" spans="1:40" ht="21.95" customHeight="1">
      <c r="A36" s="50">
        <v>34</v>
      </c>
      <c r="B36" s="51">
        <v>34</v>
      </c>
      <c r="C36" s="51" t="s">
        <v>28</v>
      </c>
      <c r="D36" s="112" t="s">
        <v>1792</v>
      </c>
      <c r="E36" s="51"/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X36" s="51"/>
      <c r="Y36" s="51"/>
      <c r="Z36" s="51"/>
      <c r="AA36" s="51"/>
      <c r="AB36" s="51"/>
    </row>
    <row r="37" spans="1:40" ht="15">
      <c r="A37" s="50">
        <v>35</v>
      </c>
      <c r="B37" s="51">
        <v>35</v>
      </c>
      <c r="C37" s="51" t="s">
        <v>57</v>
      </c>
      <c r="D37" s="112" t="s">
        <v>1793</v>
      </c>
      <c r="E37" s="51"/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X37" s="51"/>
      <c r="Y37" s="51"/>
      <c r="Z37" s="51"/>
      <c r="AA37" s="51"/>
      <c r="AB37" s="51"/>
      <c r="AF37" s="113"/>
      <c r="AG37" s="113"/>
      <c r="AH37" s="113"/>
      <c r="AI37" s="113"/>
      <c r="AJ37" s="113"/>
      <c r="AK37" s="113"/>
      <c r="AL37" s="113"/>
      <c r="AM37" s="113"/>
      <c r="AN37" s="113"/>
    </row>
    <row r="38" spans="1:40" ht="15">
      <c r="A38" s="50">
        <v>36</v>
      </c>
      <c r="B38" s="51">
        <v>36</v>
      </c>
      <c r="C38" s="51" t="s">
        <v>99</v>
      </c>
      <c r="D38" s="112" t="s">
        <v>1794</v>
      </c>
      <c r="E38" s="51" t="s">
        <v>619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X38" s="51"/>
      <c r="Y38" s="51"/>
      <c r="Z38" s="51"/>
      <c r="AA38" s="51"/>
      <c r="AB38" s="51"/>
    </row>
    <row r="39" spans="1:40" ht="15">
      <c r="A39" s="50">
        <v>37</v>
      </c>
      <c r="B39" s="51">
        <v>37</v>
      </c>
      <c r="C39" s="51" t="s">
        <v>184</v>
      </c>
      <c r="D39" s="112" t="s">
        <v>1795</v>
      </c>
      <c r="E39" s="51" t="s">
        <v>1241</v>
      </c>
      <c r="F39" s="51">
        <v>1</v>
      </c>
      <c r="G39" s="51">
        <v>41</v>
      </c>
      <c r="H39" s="51">
        <v>507</v>
      </c>
      <c r="I39" s="51">
        <v>123</v>
      </c>
      <c r="J39" s="51">
        <v>70</v>
      </c>
      <c r="K39" s="51">
        <v>19</v>
      </c>
      <c r="L39" s="51">
        <v>0.35399999999999998</v>
      </c>
      <c r="M39" s="51">
        <v>0.3</v>
      </c>
      <c r="N39" s="51">
        <v>0.81499999999999995</v>
      </c>
      <c r="O39" s="51">
        <v>12.4</v>
      </c>
      <c r="P39" s="51">
        <v>3</v>
      </c>
      <c r="Q39" s="51">
        <v>1.7</v>
      </c>
      <c r="R39" s="51">
        <v>0.5</v>
      </c>
      <c r="S39" s="51">
        <v>0.2</v>
      </c>
      <c r="T39" s="51">
        <v>1.9E-2</v>
      </c>
      <c r="U39" s="51">
        <v>-6.2</v>
      </c>
      <c r="V39" s="51">
        <v>-0.5</v>
      </c>
      <c r="X39" s="51"/>
      <c r="Y39" s="51"/>
      <c r="Z39" s="51"/>
      <c r="AA39" s="51"/>
      <c r="AB39" s="51"/>
    </row>
    <row r="40" spans="1:40" ht="15">
      <c r="A40" s="50">
        <v>38</v>
      </c>
      <c r="B40" s="51">
        <v>38</v>
      </c>
      <c r="C40" s="51" t="s">
        <v>69</v>
      </c>
      <c r="D40" s="114" t="s">
        <v>1796</v>
      </c>
      <c r="E40" s="51" t="s">
        <v>89</v>
      </c>
      <c r="F40" s="51">
        <v>13</v>
      </c>
      <c r="G40" s="51">
        <v>870</v>
      </c>
      <c r="H40" s="51">
        <v>20823</v>
      </c>
      <c r="I40" s="51">
        <v>5662</v>
      </c>
      <c r="J40" s="51">
        <v>1816</v>
      </c>
      <c r="K40" s="51">
        <v>3446</v>
      </c>
      <c r="L40" s="51">
        <v>0.40100000000000002</v>
      </c>
      <c r="M40" s="51">
        <v>0.38300000000000001</v>
      </c>
      <c r="N40" s="51">
        <v>0.77900000000000003</v>
      </c>
      <c r="O40" s="51">
        <v>23.9</v>
      </c>
      <c r="P40" s="51">
        <v>6.5</v>
      </c>
      <c r="Q40" s="51">
        <v>2.1</v>
      </c>
      <c r="R40" s="51">
        <v>4</v>
      </c>
      <c r="S40" s="51">
        <v>29.1</v>
      </c>
      <c r="T40" s="51">
        <v>6.7000000000000004E-2</v>
      </c>
      <c r="U40" s="51">
        <v>-1.2</v>
      </c>
      <c r="V40" s="51">
        <v>4.2</v>
      </c>
      <c r="X40" s="51"/>
      <c r="Y40" s="51"/>
      <c r="Z40" s="51"/>
      <c r="AA40" s="51"/>
      <c r="AB40" s="51"/>
    </row>
    <row r="41" spans="1:40" ht="15">
      <c r="A41" s="50">
        <v>39</v>
      </c>
      <c r="B41" s="51">
        <v>39</v>
      </c>
      <c r="C41" s="51" t="s">
        <v>50</v>
      </c>
      <c r="D41" s="112" t="s">
        <v>1797</v>
      </c>
      <c r="E41" s="51"/>
      <c r="F41" s="51">
        <v>1</v>
      </c>
      <c r="G41" s="51">
        <v>1</v>
      </c>
      <c r="H41" s="51">
        <v>3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3</v>
      </c>
      <c r="P41" s="51">
        <v>0</v>
      </c>
      <c r="Q41" s="51">
        <v>0</v>
      </c>
      <c r="R41" s="51">
        <v>0</v>
      </c>
      <c r="S41" s="51">
        <v>0</v>
      </c>
      <c r="T41" s="51">
        <v>-0.371</v>
      </c>
      <c r="U41" s="51">
        <v>-26.2</v>
      </c>
      <c r="V41" s="51">
        <v>0</v>
      </c>
      <c r="X41" s="51"/>
      <c r="Y41" s="51"/>
      <c r="Z41" s="51"/>
      <c r="AA41" s="51"/>
      <c r="AB41" s="51"/>
    </row>
    <row r="42" spans="1:40" ht="15">
      <c r="A42" s="50">
        <v>40</v>
      </c>
      <c r="B42" s="51">
        <v>40</v>
      </c>
      <c r="C42" s="51" t="s">
        <v>25</v>
      </c>
      <c r="D42" s="112" t="s">
        <v>1798</v>
      </c>
      <c r="E42" s="51" t="s">
        <v>619</v>
      </c>
      <c r="F42" s="51">
        <v>1</v>
      </c>
      <c r="G42" s="51">
        <v>2</v>
      </c>
      <c r="H42" s="51">
        <v>32</v>
      </c>
      <c r="I42" s="51">
        <v>4</v>
      </c>
      <c r="J42" s="51">
        <v>4</v>
      </c>
      <c r="K42" s="51">
        <v>7</v>
      </c>
      <c r="L42" s="51">
        <v>0.66700000000000004</v>
      </c>
      <c r="M42" s="51">
        <v>0</v>
      </c>
      <c r="N42" s="51">
        <v>0</v>
      </c>
      <c r="O42" s="51">
        <v>16</v>
      </c>
      <c r="P42" s="51">
        <v>2</v>
      </c>
      <c r="Q42" s="51">
        <v>2</v>
      </c>
      <c r="R42" s="51">
        <v>3.5</v>
      </c>
      <c r="S42" s="51">
        <v>0</v>
      </c>
      <c r="T42" s="51">
        <v>4.0000000000000001E-3</v>
      </c>
      <c r="U42" s="51">
        <v>-10.4</v>
      </c>
      <c r="V42" s="51">
        <v>-0.1</v>
      </c>
      <c r="X42" s="51"/>
      <c r="Y42" s="51"/>
      <c r="Z42" s="51"/>
      <c r="AA42" s="51"/>
      <c r="AB42" s="51"/>
    </row>
    <row r="43" spans="1:40" ht="15">
      <c r="A43" s="50">
        <v>41</v>
      </c>
      <c r="B43" s="51">
        <v>41</v>
      </c>
      <c r="C43" s="51" t="s">
        <v>141</v>
      </c>
      <c r="D43" s="51" t="s">
        <v>1799</v>
      </c>
      <c r="E43" s="51" t="s">
        <v>1130</v>
      </c>
      <c r="F43" s="51">
        <v>12</v>
      </c>
      <c r="G43" s="51">
        <v>731</v>
      </c>
      <c r="H43" s="51">
        <v>14783</v>
      </c>
      <c r="I43" s="51">
        <v>6059</v>
      </c>
      <c r="J43" s="51">
        <v>1303</v>
      </c>
      <c r="K43" s="51">
        <v>1018</v>
      </c>
      <c r="L43" s="51">
        <v>0.42499999999999999</v>
      </c>
      <c r="M43" s="51">
        <v>0.34599999999999997</v>
      </c>
      <c r="N43" s="51">
        <v>0.76500000000000001</v>
      </c>
      <c r="O43" s="51">
        <v>20.2</v>
      </c>
      <c r="P43" s="51">
        <v>8.3000000000000007</v>
      </c>
      <c r="Q43" s="51">
        <v>1.8</v>
      </c>
      <c r="R43" s="51">
        <v>1.4</v>
      </c>
      <c r="S43" s="51">
        <v>12.9</v>
      </c>
      <c r="T43" s="51">
        <v>4.2000000000000003E-2</v>
      </c>
      <c r="U43" s="51">
        <v>-2.7</v>
      </c>
      <c r="V43" s="51">
        <v>-2.7</v>
      </c>
      <c r="X43" s="51"/>
      <c r="Y43" s="51"/>
      <c r="Z43" s="51"/>
      <c r="AA43" s="51"/>
      <c r="AB43" s="51"/>
    </row>
    <row r="44" spans="1:40" ht="15">
      <c r="A44" s="50">
        <v>42</v>
      </c>
      <c r="B44" s="51">
        <v>42</v>
      </c>
      <c r="C44" s="51" t="s">
        <v>179</v>
      </c>
      <c r="D44" s="51" t="s">
        <v>1800</v>
      </c>
      <c r="E44" s="51"/>
      <c r="F44" s="51">
        <v>16</v>
      </c>
      <c r="G44" s="51">
        <v>1098</v>
      </c>
      <c r="H44" s="51">
        <v>22240</v>
      </c>
      <c r="I44" s="51">
        <v>7414</v>
      </c>
      <c r="J44" s="51">
        <v>6315</v>
      </c>
      <c r="K44" s="51">
        <v>1433</v>
      </c>
      <c r="L44" s="51">
        <v>0.46899999999999997</v>
      </c>
      <c r="M44" s="51">
        <v>0</v>
      </c>
      <c r="N44" s="51">
        <v>0.751</v>
      </c>
      <c r="O44" s="51">
        <v>20.3</v>
      </c>
      <c r="P44" s="51">
        <v>6.8</v>
      </c>
      <c r="Q44" s="51">
        <v>5.8</v>
      </c>
      <c r="R44" s="51">
        <v>1.3</v>
      </c>
      <c r="S44" s="51">
        <v>52.7</v>
      </c>
      <c r="T44" s="51">
        <v>0.114</v>
      </c>
      <c r="U44" s="51">
        <v>-1.5</v>
      </c>
      <c r="V44" s="51">
        <v>2.9</v>
      </c>
      <c r="X44" s="51"/>
      <c r="Y44" s="51"/>
      <c r="Z44" s="51"/>
      <c r="AA44" s="51"/>
      <c r="AB44" s="51"/>
    </row>
    <row r="45" spans="1:40" ht="15">
      <c r="A45" s="50">
        <v>43</v>
      </c>
      <c r="B45" s="51">
        <v>43</v>
      </c>
      <c r="C45" s="51" t="s">
        <v>57</v>
      </c>
      <c r="D45" s="51" t="s">
        <v>1801</v>
      </c>
      <c r="E45" s="51" t="s">
        <v>173</v>
      </c>
      <c r="F45" s="51">
        <v>11</v>
      </c>
      <c r="G45" s="51">
        <v>671</v>
      </c>
      <c r="H45" s="51">
        <v>14527</v>
      </c>
      <c r="I45" s="51">
        <v>4257</v>
      </c>
      <c r="J45" s="51">
        <v>1817</v>
      </c>
      <c r="K45" s="51">
        <v>866</v>
      </c>
      <c r="L45" s="51">
        <v>0.39400000000000002</v>
      </c>
      <c r="M45" s="51">
        <v>0.35299999999999998</v>
      </c>
      <c r="N45" s="51">
        <v>0.71599999999999997</v>
      </c>
      <c r="O45" s="51">
        <v>21.6</v>
      </c>
      <c r="P45" s="51">
        <v>6.3</v>
      </c>
      <c r="Q45" s="51">
        <v>2.7</v>
      </c>
      <c r="R45" s="51">
        <v>1.3</v>
      </c>
      <c r="S45" s="51">
        <v>20.399999999999999</v>
      </c>
      <c r="T45" s="51">
        <v>6.8000000000000005E-2</v>
      </c>
      <c r="U45" s="51">
        <v>-1.5</v>
      </c>
      <c r="V45" s="51">
        <v>1.9</v>
      </c>
      <c r="X45" s="51"/>
      <c r="Y45" s="51"/>
      <c r="Z45" s="51"/>
      <c r="AA45" s="51"/>
      <c r="AB45" s="51"/>
    </row>
    <row r="46" spans="1:40" ht="15">
      <c r="A46" s="50">
        <v>44</v>
      </c>
      <c r="B46" s="51">
        <v>44</v>
      </c>
      <c r="C46" s="51" t="s">
        <v>52</v>
      </c>
      <c r="D46" s="112" t="s">
        <v>1802</v>
      </c>
      <c r="E46" s="51"/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X46" s="51"/>
      <c r="Y46" s="51"/>
      <c r="Z46" s="51"/>
      <c r="AA46" s="51"/>
      <c r="AB46" s="51"/>
    </row>
    <row r="47" spans="1:40" ht="15">
      <c r="A47" s="50">
        <v>45</v>
      </c>
      <c r="B47" s="51">
        <v>45</v>
      </c>
      <c r="C47" s="51" t="s">
        <v>99</v>
      </c>
      <c r="D47" s="51" t="s">
        <v>1803</v>
      </c>
      <c r="E47" s="51" t="s">
        <v>128</v>
      </c>
      <c r="F47" s="51">
        <v>12</v>
      </c>
      <c r="G47" s="51">
        <v>792</v>
      </c>
      <c r="H47" s="51">
        <v>13356</v>
      </c>
      <c r="I47" s="51">
        <v>4632</v>
      </c>
      <c r="J47" s="51">
        <v>2371</v>
      </c>
      <c r="K47" s="51">
        <v>552</v>
      </c>
      <c r="L47" s="51">
        <v>0.46400000000000002</v>
      </c>
      <c r="M47" s="51">
        <v>0.41399999999999998</v>
      </c>
      <c r="N47" s="51">
        <v>0.78</v>
      </c>
      <c r="O47" s="51">
        <v>16.899999999999999</v>
      </c>
      <c r="P47" s="51">
        <v>5.8</v>
      </c>
      <c r="Q47" s="51">
        <v>3</v>
      </c>
      <c r="R47" s="51">
        <v>0.7</v>
      </c>
      <c r="S47" s="51">
        <v>38.5</v>
      </c>
      <c r="T47" s="51">
        <v>0.13800000000000001</v>
      </c>
      <c r="U47" s="51">
        <v>1</v>
      </c>
      <c r="V47" s="51">
        <v>10.1</v>
      </c>
      <c r="X47" s="51"/>
      <c r="Y47" s="51"/>
      <c r="Z47" s="51"/>
      <c r="AA47" s="51"/>
      <c r="AB47" s="51"/>
    </row>
    <row r="48" spans="1:40" ht="15">
      <c r="A48" s="50">
        <v>46</v>
      </c>
      <c r="B48" s="51">
        <v>46</v>
      </c>
      <c r="C48" s="51" t="s">
        <v>23</v>
      </c>
      <c r="D48" s="112" t="s">
        <v>1804</v>
      </c>
      <c r="E48" s="51"/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X48" s="51"/>
      <c r="Y48" s="51"/>
      <c r="Z48" s="51"/>
      <c r="AA48" s="51"/>
      <c r="AB48" s="51"/>
      <c r="AF48" s="113"/>
      <c r="AG48" s="113"/>
      <c r="AH48" s="113"/>
      <c r="AI48" s="113"/>
      <c r="AJ48" s="113"/>
      <c r="AK48" s="113"/>
    </row>
    <row r="49" spans="1:40" ht="15">
      <c r="A49" s="50">
        <v>47</v>
      </c>
      <c r="B49" s="51">
        <v>47</v>
      </c>
      <c r="C49" s="51" t="s">
        <v>193</v>
      </c>
      <c r="D49" s="51" t="s">
        <v>1805</v>
      </c>
      <c r="E49" s="51" t="s">
        <v>46</v>
      </c>
      <c r="F49" s="51">
        <v>13</v>
      </c>
      <c r="G49" s="51">
        <v>818</v>
      </c>
      <c r="H49" s="51">
        <v>23872</v>
      </c>
      <c r="I49" s="51">
        <v>10759</v>
      </c>
      <c r="J49" s="51">
        <v>2264</v>
      </c>
      <c r="K49" s="51">
        <v>3990</v>
      </c>
      <c r="L49" s="51">
        <v>0.434</v>
      </c>
      <c r="M49" s="51">
        <v>0.378</v>
      </c>
      <c r="N49" s="51">
        <v>0.871</v>
      </c>
      <c r="O49" s="51">
        <v>29.2</v>
      </c>
      <c r="P49" s="51">
        <v>13.2</v>
      </c>
      <c r="Q49" s="51">
        <v>2.8</v>
      </c>
      <c r="R49" s="51">
        <v>4.9000000000000004</v>
      </c>
      <c r="S49" s="51">
        <v>40</v>
      </c>
      <c r="T49" s="51">
        <v>0.08</v>
      </c>
      <c r="U49" s="51">
        <v>-0.3</v>
      </c>
      <c r="V49" s="51">
        <v>10</v>
      </c>
      <c r="X49" s="51"/>
      <c r="Y49" s="51"/>
      <c r="Z49" s="51"/>
      <c r="AA49" s="51"/>
      <c r="AB49" s="51"/>
    </row>
    <row r="50" spans="1:40" ht="15">
      <c r="A50" s="50">
        <v>48</v>
      </c>
      <c r="B50" s="51">
        <v>48</v>
      </c>
      <c r="C50" s="51" t="s">
        <v>1098</v>
      </c>
      <c r="D50" s="112" t="s">
        <v>1806</v>
      </c>
      <c r="E50" s="51"/>
      <c r="F50" s="51">
        <v>1</v>
      </c>
      <c r="G50" s="51">
        <v>11</v>
      </c>
      <c r="H50" s="51">
        <v>55</v>
      </c>
      <c r="I50" s="51">
        <v>11</v>
      </c>
      <c r="J50" s="51">
        <v>11</v>
      </c>
      <c r="K50" s="51">
        <v>2</v>
      </c>
      <c r="L50" s="51">
        <v>0.44400000000000001</v>
      </c>
      <c r="M50" s="51">
        <v>0</v>
      </c>
      <c r="N50" s="51">
        <v>0.6</v>
      </c>
      <c r="O50" s="51">
        <v>5</v>
      </c>
      <c r="P50" s="51">
        <v>1</v>
      </c>
      <c r="Q50" s="51">
        <v>1</v>
      </c>
      <c r="R50" s="51">
        <v>0.2</v>
      </c>
      <c r="S50" s="51">
        <v>0.1</v>
      </c>
      <c r="T50" s="51">
        <v>4.7E-2</v>
      </c>
      <c r="U50" s="51">
        <v>-6.4</v>
      </c>
      <c r="V50" s="51">
        <v>-0.1</v>
      </c>
      <c r="X50" s="51"/>
      <c r="Y50" s="51"/>
      <c r="Z50" s="51"/>
      <c r="AA50" s="51"/>
      <c r="AB50" s="51"/>
    </row>
    <row r="51" spans="1:40" ht="15">
      <c r="A51" s="50">
        <v>49</v>
      </c>
      <c r="B51" s="51">
        <v>49</v>
      </c>
      <c r="C51" s="51" t="s">
        <v>41</v>
      </c>
      <c r="D51" s="51" t="s">
        <v>1807</v>
      </c>
      <c r="E51" s="51" t="s">
        <v>103</v>
      </c>
      <c r="F51" s="51">
        <v>14</v>
      </c>
      <c r="G51" s="51">
        <v>709</v>
      </c>
      <c r="H51" s="51">
        <v>11098</v>
      </c>
      <c r="I51" s="51">
        <v>3717</v>
      </c>
      <c r="J51" s="51">
        <v>1276</v>
      </c>
      <c r="K51" s="51">
        <v>366</v>
      </c>
      <c r="L51" s="51">
        <v>0.40100000000000002</v>
      </c>
      <c r="M51" s="51">
        <v>0.40100000000000002</v>
      </c>
      <c r="N51" s="51">
        <v>0.84</v>
      </c>
      <c r="O51" s="51">
        <v>15.7</v>
      </c>
      <c r="P51" s="51">
        <v>5.2</v>
      </c>
      <c r="Q51" s="51">
        <v>1.8</v>
      </c>
      <c r="R51" s="51">
        <v>0.5</v>
      </c>
      <c r="S51" s="51">
        <v>25.2</v>
      </c>
      <c r="T51" s="51">
        <v>0.109</v>
      </c>
      <c r="U51" s="51">
        <v>-0.1</v>
      </c>
      <c r="V51" s="51">
        <v>5.4</v>
      </c>
      <c r="X51" s="51"/>
      <c r="Y51" s="51"/>
      <c r="Z51" s="51"/>
      <c r="AA51" s="51"/>
      <c r="AB51" s="51"/>
    </row>
    <row r="52" spans="1:40" ht="15">
      <c r="A52" s="50">
        <v>50</v>
      </c>
      <c r="B52" s="51">
        <v>50</v>
      </c>
      <c r="C52" s="51" t="s">
        <v>66</v>
      </c>
      <c r="D52" s="112" t="s">
        <v>1808</v>
      </c>
      <c r="E52" s="51"/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X52" s="51"/>
      <c r="Y52" s="51"/>
      <c r="Z52" s="51"/>
      <c r="AA52" s="51"/>
      <c r="AB52" s="51"/>
    </row>
    <row r="53" spans="1:40" ht="15">
      <c r="A53" s="50">
        <v>51</v>
      </c>
      <c r="B53" s="51">
        <v>51</v>
      </c>
      <c r="C53" s="51" t="s">
        <v>1214</v>
      </c>
      <c r="D53" s="115" t="s">
        <v>1809</v>
      </c>
      <c r="E53" s="51" t="s">
        <v>335</v>
      </c>
      <c r="F53" s="51">
        <v>17</v>
      </c>
      <c r="G53" s="51">
        <v>1232</v>
      </c>
      <c r="H53" s="51">
        <v>31183</v>
      </c>
      <c r="I53" s="51">
        <v>11953</v>
      </c>
      <c r="J53" s="51">
        <v>3643</v>
      </c>
      <c r="K53" s="51">
        <v>2114</v>
      </c>
      <c r="L53" s="51">
        <v>0.442</v>
      </c>
      <c r="M53" s="51">
        <v>0.42899999999999999</v>
      </c>
      <c r="N53" s="51">
        <v>0.877</v>
      </c>
      <c r="O53" s="51">
        <v>25.3</v>
      </c>
      <c r="P53" s="51">
        <v>9.6999999999999993</v>
      </c>
      <c r="Q53" s="51">
        <v>3</v>
      </c>
      <c r="R53" s="51">
        <v>1.7</v>
      </c>
      <c r="S53" s="51">
        <v>73.400000000000006</v>
      </c>
      <c r="T53" s="51">
        <v>0.113</v>
      </c>
      <c r="U53" s="51">
        <v>0.6</v>
      </c>
      <c r="V53" s="51">
        <v>20.7</v>
      </c>
      <c r="X53" s="51"/>
      <c r="Y53" s="51"/>
      <c r="Z53" s="51"/>
      <c r="AA53" s="51"/>
      <c r="AB53" s="51"/>
      <c r="AF53" s="113"/>
      <c r="AG53" s="113"/>
      <c r="AH53" s="113"/>
      <c r="AI53" s="113"/>
      <c r="AJ53" s="113"/>
      <c r="AK53" s="113"/>
      <c r="AL53" s="113"/>
      <c r="AM53" s="113"/>
      <c r="AN53" s="113"/>
    </row>
    <row r="54" spans="1:40" ht="15">
      <c r="A54" s="50">
        <v>52</v>
      </c>
      <c r="B54" s="51">
        <v>52</v>
      </c>
      <c r="C54" s="51" t="s">
        <v>163</v>
      </c>
      <c r="D54" s="112" t="s">
        <v>1810</v>
      </c>
      <c r="E54" s="51"/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X54" s="51"/>
      <c r="Y54" s="51"/>
      <c r="Z54" s="51"/>
      <c r="AA54" s="51"/>
      <c r="AB54" s="51"/>
    </row>
    <row r="55" spans="1:40" ht="15">
      <c r="A55" s="50">
        <v>53</v>
      </c>
      <c r="B55" s="51">
        <v>53</v>
      </c>
      <c r="C55" s="51" t="s">
        <v>99</v>
      </c>
      <c r="D55" s="112" t="s">
        <v>1811</v>
      </c>
      <c r="E55" s="51" t="s">
        <v>536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X55" s="51"/>
      <c r="Y55" s="51"/>
      <c r="Z55" s="51"/>
      <c r="AA55" s="51"/>
      <c r="AB55" s="51"/>
    </row>
    <row r="56" spans="1:40" ht="15">
      <c r="A56" s="50">
        <v>54</v>
      </c>
      <c r="B56" s="51">
        <v>54</v>
      </c>
      <c r="C56" s="51" t="s">
        <v>124</v>
      </c>
      <c r="D56" s="112" t="s">
        <v>1812</v>
      </c>
      <c r="E56" s="51"/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X56" s="51"/>
      <c r="Y56" s="51"/>
      <c r="Z56" s="51"/>
      <c r="AA56" s="51"/>
      <c r="AB56" s="51"/>
    </row>
    <row r="57" spans="1:40" ht="15">
      <c r="A57" s="50">
        <v>55</v>
      </c>
      <c r="B57" s="51">
        <v>55</v>
      </c>
      <c r="C57" s="51" t="s">
        <v>135</v>
      </c>
      <c r="D57" s="112" t="s">
        <v>1813</v>
      </c>
      <c r="E57" s="51" t="s">
        <v>356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X57" s="51"/>
      <c r="Y57" s="51"/>
      <c r="Z57" s="51"/>
      <c r="AA57" s="51"/>
      <c r="AB57" s="51"/>
    </row>
    <row r="58" spans="1:40" ht="15">
      <c r="A58" s="50">
        <v>56</v>
      </c>
      <c r="B58" s="51">
        <v>56</v>
      </c>
      <c r="C58" s="51" t="s">
        <v>190</v>
      </c>
      <c r="D58" s="112" t="s">
        <v>1814</v>
      </c>
      <c r="E58" s="51" t="s">
        <v>546</v>
      </c>
      <c r="F58" s="51">
        <v>2</v>
      </c>
      <c r="G58" s="51">
        <v>67</v>
      </c>
      <c r="H58" s="51">
        <v>630</v>
      </c>
      <c r="I58" s="51">
        <v>220</v>
      </c>
      <c r="J58" s="51">
        <v>187</v>
      </c>
      <c r="K58" s="51">
        <v>22</v>
      </c>
      <c r="L58" s="51">
        <v>0.47599999999999998</v>
      </c>
      <c r="M58" s="51">
        <v>0</v>
      </c>
      <c r="N58" s="51">
        <v>0.48799999999999999</v>
      </c>
      <c r="O58" s="51">
        <v>9.4</v>
      </c>
      <c r="P58" s="51">
        <v>3.3</v>
      </c>
      <c r="Q58" s="51">
        <v>2.8</v>
      </c>
      <c r="R58" s="51">
        <v>0.3</v>
      </c>
      <c r="S58" s="51">
        <v>0.7</v>
      </c>
      <c r="T58" s="51">
        <v>5.5E-2</v>
      </c>
      <c r="U58" s="51">
        <v>-3.7</v>
      </c>
      <c r="V58" s="51">
        <v>-0.3</v>
      </c>
      <c r="X58" s="51"/>
      <c r="Y58" s="51"/>
      <c r="Z58" s="51"/>
      <c r="AA58" s="51"/>
      <c r="AB58" s="51"/>
    </row>
    <row r="59" spans="1:40" ht="15">
      <c r="A59" s="50">
        <v>57</v>
      </c>
      <c r="B59" s="51">
        <v>57</v>
      </c>
      <c r="C59" s="51" t="s">
        <v>20</v>
      </c>
      <c r="D59" s="112" t="s">
        <v>1815</v>
      </c>
      <c r="E59" s="51"/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X59" s="51"/>
      <c r="Y59" s="51"/>
      <c r="Z59" s="51"/>
      <c r="AA59" s="51"/>
      <c r="AB59" s="51"/>
    </row>
    <row r="60" spans="1:40" ht="15">
      <c r="A60" s="50">
        <v>58</v>
      </c>
      <c r="B60" s="51">
        <v>58</v>
      </c>
      <c r="C60" s="51" t="s">
        <v>34</v>
      </c>
      <c r="D60" s="112" t="s">
        <v>1816</v>
      </c>
      <c r="E60" s="51"/>
      <c r="F60" s="51">
        <v>1</v>
      </c>
      <c r="G60" s="51">
        <v>13</v>
      </c>
      <c r="H60" s="51">
        <v>81</v>
      </c>
      <c r="I60" s="51">
        <v>17</v>
      </c>
      <c r="J60" s="51">
        <v>8</v>
      </c>
      <c r="K60" s="51">
        <v>1</v>
      </c>
      <c r="L60" s="51">
        <v>0.47099999999999997</v>
      </c>
      <c r="M60" s="51">
        <v>0</v>
      </c>
      <c r="N60" s="51">
        <v>0.5</v>
      </c>
      <c r="O60" s="51">
        <v>6.2</v>
      </c>
      <c r="P60" s="51">
        <v>1.3</v>
      </c>
      <c r="Q60" s="51">
        <v>0.6</v>
      </c>
      <c r="R60" s="51">
        <v>0.1</v>
      </c>
      <c r="S60" s="51">
        <v>-0.2</v>
      </c>
      <c r="T60" s="51">
        <v>-0.14299999999999999</v>
      </c>
      <c r="U60" s="51">
        <v>-14</v>
      </c>
      <c r="V60" s="51">
        <v>-0.2</v>
      </c>
      <c r="X60" s="51"/>
      <c r="Y60" s="51"/>
      <c r="Z60" s="51"/>
      <c r="AA60" s="51"/>
      <c r="AB60" s="51"/>
    </row>
    <row r="62" spans="1:40" ht="15">
      <c r="D62" s="1" t="s">
        <v>3</v>
      </c>
      <c r="E62" s="1" t="s">
        <v>500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40" ht="15">
      <c r="D63" s="3" t="s">
        <v>1817</v>
      </c>
      <c r="E63" s="3" t="s">
        <v>1001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40" ht="15">
      <c r="D64" s="3" t="s">
        <v>1818</v>
      </c>
      <c r="E64" s="3" t="s">
        <v>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4:36" ht="15">
      <c r="D65" s="3" t="s">
        <v>1819</v>
      </c>
      <c r="E65" s="3" t="s">
        <v>722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4:36" ht="15">
      <c r="D66" s="3" t="s">
        <v>1820</v>
      </c>
      <c r="E66" s="3" t="s">
        <v>506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4:36" ht="15">
      <c r="D67" s="3" t="s">
        <v>1821</v>
      </c>
      <c r="E67" s="3" t="s">
        <v>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</sheetData>
  <autoFilter ref="P1:P60" xr:uid="{CA4249C0-DB7C-3E4C-9483-B974493C7D5A}">
    <sortState xmlns:xlrd2="http://schemas.microsoft.com/office/spreadsheetml/2017/richdata2" ref="A2:V60">
      <sortCondition descending="1" ref="P1:P60"/>
    </sortState>
  </autoFilter>
  <sortState xmlns:xlrd2="http://schemas.microsoft.com/office/spreadsheetml/2017/richdata2" ref="A2:V60">
    <sortCondition ref="B1:B60"/>
  </sortState>
  <conditionalFormatting sqref="G1:G60">
    <cfRule type="cellIs" dxfId="0" priority="1" operator="greaterThanOrEqual">
      <formula>82</formula>
    </cfRule>
  </conditionalFormatting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C200-A77C-7946-B9D4-1AEBB94FC4E4}">
  <dimension ref="A1:AI253"/>
  <sheetViews>
    <sheetView topLeftCell="A11" workbookViewId="0">
      <selection activeCell="M30" sqref="M30"/>
    </sheetView>
  </sheetViews>
  <sheetFormatPr defaultColWidth="11" defaultRowHeight="15.95"/>
  <sheetData>
    <row r="1" spans="1:34" ht="30">
      <c r="A1" s="1" t="s">
        <v>1822</v>
      </c>
    </row>
    <row r="2" spans="1:34">
      <c r="A2" s="1"/>
      <c r="B2" s="1" t="s">
        <v>3</v>
      </c>
      <c r="C2" s="1" t="s">
        <v>1823</v>
      </c>
      <c r="D2" s="1" t="s">
        <v>1824</v>
      </c>
      <c r="E2" s="1" t="s">
        <v>1825</v>
      </c>
      <c r="F2" s="1" t="s">
        <v>499</v>
      </c>
      <c r="G2" s="1" t="s">
        <v>6</v>
      </c>
      <c r="H2" s="1" t="s">
        <v>1826</v>
      </c>
      <c r="I2" s="1" t="s">
        <v>1827</v>
      </c>
      <c r="J2" s="1" t="s">
        <v>7</v>
      </c>
      <c r="K2" s="1" t="s">
        <v>1828</v>
      </c>
      <c r="L2" s="1" t="s">
        <v>1829</v>
      </c>
      <c r="M2" s="1" t="s">
        <v>1830</v>
      </c>
      <c r="N2" s="1" t="s">
        <v>1831</v>
      </c>
      <c r="O2" s="1" t="s">
        <v>1832</v>
      </c>
      <c r="P2" s="1" t="s">
        <v>1833</v>
      </c>
      <c r="Q2" s="1" t="s">
        <v>1834</v>
      </c>
      <c r="R2" s="1" t="s">
        <v>1835</v>
      </c>
      <c r="S2" s="1" t="s">
        <v>1836</v>
      </c>
      <c r="T2" s="1" t="s">
        <v>1837</v>
      </c>
      <c r="U2" s="1" t="s">
        <v>9</v>
      </c>
      <c r="V2" s="1" t="s">
        <v>10</v>
      </c>
      <c r="W2" s="1" t="s">
        <v>1838</v>
      </c>
      <c r="X2" s="1" t="s">
        <v>1839</v>
      </c>
      <c r="Y2" s="1" t="s">
        <v>1840</v>
      </c>
      <c r="Z2" s="1" t="s">
        <v>1841</v>
      </c>
      <c r="AA2" s="1" t="s">
        <v>8</v>
      </c>
      <c r="AB2" s="1" t="s">
        <v>11</v>
      </c>
      <c r="AC2" s="1" t="s">
        <v>1842</v>
      </c>
      <c r="AD2" s="1" t="s">
        <v>12</v>
      </c>
      <c r="AE2" s="1" t="s">
        <v>13</v>
      </c>
      <c r="AF2" s="1" t="s">
        <v>1843</v>
      </c>
      <c r="AG2" s="1" t="s">
        <v>1844</v>
      </c>
      <c r="AH2" s="1" t="s">
        <v>500</v>
      </c>
    </row>
    <row r="3" spans="1:34">
      <c r="A3" s="1" t="s">
        <v>501</v>
      </c>
      <c r="B3" s="3" t="s">
        <v>1845</v>
      </c>
      <c r="C3" s="3">
        <v>37.5</v>
      </c>
      <c r="D3" s="3" t="s">
        <v>1846</v>
      </c>
      <c r="E3" s="3">
        <v>29</v>
      </c>
      <c r="F3" s="3" t="s">
        <v>323</v>
      </c>
      <c r="G3" s="3">
        <v>79</v>
      </c>
      <c r="H3" s="3">
        <v>79</v>
      </c>
      <c r="I3" s="3">
        <v>0</v>
      </c>
      <c r="J3" s="3">
        <v>2959</v>
      </c>
      <c r="K3" s="3">
        <v>425</v>
      </c>
      <c r="L3" s="3">
        <v>930</v>
      </c>
      <c r="M3" s="3">
        <v>228</v>
      </c>
      <c r="N3" s="3">
        <v>484</v>
      </c>
      <c r="O3" s="3">
        <v>197</v>
      </c>
      <c r="P3" s="3">
        <v>446</v>
      </c>
      <c r="Q3" s="3">
        <v>115</v>
      </c>
      <c r="R3" s="3">
        <v>146</v>
      </c>
      <c r="S3" s="3">
        <v>44</v>
      </c>
      <c r="T3" s="3">
        <v>209</v>
      </c>
      <c r="U3" s="3">
        <v>253</v>
      </c>
      <c r="V3" s="3">
        <v>207</v>
      </c>
      <c r="W3" s="3">
        <v>76</v>
      </c>
      <c r="X3" s="3">
        <v>22</v>
      </c>
      <c r="Y3" s="3">
        <v>89</v>
      </c>
      <c r="Z3" s="3">
        <v>248</v>
      </c>
      <c r="AA3" s="3">
        <v>1162</v>
      </c>
      <c r="AB3" s="3">
        <v>0.45700000000000002</v>
      </c>
      <c r="AC3" s="3">
        <v>0.47099999999999997</v>
      </c>
      <c r="AD3" s="3">
        <v>0.442</v>
      </c>
      <c r="AE3" s="3">
        <v>0.78800000000000003</v>
      </c>
      <c r="AF3" s="3">
        <v>0.58399999999999996</v>
      </c>
      <c r="AG3" s="3">
        <v>0.56299999999999994</v>
      </c>
      <c r="AH3" s="3" t="s">
        <v>6</v>
      </c>
    </row>
    <row r="4" spans="1:34">
      <c r="A4" s="1" t="s">
        <v>501</v>
      </c>
      <c r="B4" s="3" t="s">
        <v>1847</v>
      </c>
      <c r="C4" s="3">
        <v>30.3</v>
      </c>
      <c r="D4" s="3" t="s">
        <v>1848</v>
      </c>
      <c r="E4" s="3">
        <v>27</v>
      </c>
      <c r="F4" s="3" t="s">
        <v>184</v>
      </c>
      <c r="G4" s="3">
        <v>42</v>
      </c>
      <c r="H4" s="3">
        <v>35</v>
      </c>
      <c r="I4" s="3">
        <v>0</v>
      </c>
      <c r="J4" s="3">
        <v>1273</v>
      </c>
      <c r="K4" s="3">
        <v>131</v>
      </c>
      <c r="L4" s="3">
        <v>263</v>
      </c>
      <c r="M4" s="3">
        <v>130</v>
      </c>
      <c r="N4" s="3">
        <v>256</v>
      </c>
      <c r="O4" s="3">
        <v>1</v>
      </c>
      <c r="P4" s="3">
        <v>7</v>
      </c>
      <c r="Q4" s="3">
        <v>75</v>
      </c>
      <c r="R4" s="3">
        <v>88</v>
      </c>
      <c r="S4" s="3">
        <v>80</v>
      </c>
      <c r="T4" s="3">
        <v>142</v>
      </c>
      <c r="U4" s="3">
        <v>222</v>
      </c>
      <c r="V4" s="3">
        <v>45</v>
      </c>
      <c r="W4" s="3">
        <v>38</v>
      </c>
      <c r="X4" s="3">
        <v>20</v>
      </c>
      <c r="Y4" s="3">
        <v>49</v>
      </c>
      <c r="Z4" s="3">
        <v>117</v>
      </c>
      <c r="AA4" s="3">
        <v>338</v>
      </c>
      <c r="AB4" s="3">
        <v>0.498</v>
      </c>
      <c r="AC4" s="3">
        <v>0.50800000000000001</v>
      </c>
      <c r="AD4" s="3">
        <v>0.14299999999999999</v>
      </c>
      <c r="AE4" s="3">
        <v>0.85199999999999998</v>
      </c>
      <c r="AF4" s="3">
        <v>0.56000000000000005</v>
      </c>
      <c r="AG4" s="3">
        <v>0.5</v>
      </c>
      <c r="AH4" s="3" t="s">
        <v>506</v>
      </c>
    </row>
    <row r="5" spans="1:34" ht="30">
      <c r="A5" s="1" t="s">
        <v>501</v>
      </c>
      <c r="B5" s="3" t="s">
        <v>1849</v>
      </c>
      <c r="C5" s="3">
        <v>21.2</v>
      </c>
      <c r="D5" s="3" t="s">
        <v>1850</v>
      </c>
      <c r="E5" s="3">
        <v>24</v>
      </c>
      <c r="F5" s="3" t="s">
        <v>31</v>
      </c>
      <c r="G5" s="3">
        <v>68</v>
      </c>
      <c r="H5" s="3">
        <v>38</v>
      </c>
      <c r="I5" s="3">
        <v>0</v>
      </c>
      <c r="J5" s="3">
        <v>1442</v>
      </c>
      <c r="K5" s="3">
        <v>237</v>
      </c>
      <c r="L5" s="3">
        <v>537</v>
      </c>
      <c r="M5" s="3">
        <v>237</v>
      </c>
      <c r="N5" s="3">
        <v>534</v>
      </c>
      <c r="O5" s="3">
        <v>0</v>
      </c>
      <c r="P5" s="3">
        <v>3</v>
      </c>
      <c r="Q5" s="3">
        <v>89</v>
      </c>
      <c r="R5" s="3">
        <v>116</v>
      </c>
      <c r="S5" s="3">
        <v>148</v>
      </c>
      <c r="T5" s="3">
        <v>195</v>
      </c>
      <c r="U5" s="3">
        <v>343</v>
      </c>
      <c r="V5" s="3">
        <v>57</v>
      </c>
      <c r="W5" s="3">
        <v>38</v>
      </c>
      <c r="X5" s="3">
        <v>18</v>
      </c>
      <c r="Y5" s="3">
        <v>59</v>
      </c>
      <c r="Z5" s="3">
        <v>191</v>
      </c>
      <c r="AA5" s="3">
        <v>563</v>
      </c>
      <c r="AB5" s="3">
        <v>0.441</v>
      </c>
      <c r="AC5" s="3">
        <v>0.44400000000000001</v>
      </c>
      <c r="AD5" s="3">
        <v>0</v>
      </c>
      <c r="AE5" s="3">
        <v>0.76700000000000002</v>
      </c>
      <c r="AF5" s="3">
        <v>0.47899999999999998</v>
      </c>
      <c r="AG5" s="3">
        <v>0.441</v>
      </c>
      <c r="AH5" s="3" t="s">
        <v>506</v>
      </c>
    </row>
    <row r="6" spans="1:34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30">
      <c r="A7" s="1" t="s">
        <v>1851</v>
      </c>
    </row>
    <row r="8" spans="1:34">
      <c r="A8" s="1"/>
      <c r="B8" s="1" t="s">
        <v>3</v>
      </c>
      <c r="C8" s="1" t="s">
        <v>1823</v>
      </c>
      <c r="D8" s="1" t="s">
        <v>1824</v>
      </c>
      <c r="E8" s="1" t="s">
        <v>1825</v>
      </c>
      <c r="F8" s="1" t="s">
        <v>499</v>
      </c>
      <c r="G8" s="1" t="s">
        <v>6</v>
      </c>
      <c r="H8" s="1" t="s">
        <v>1826</v>
      </c>
      <c r="I8" s="1" t="s">
        <v>1827</v>
      </c>
      <c r="J8" s="1" t="s">
        <v>7</v>
      </c>
      <c r="K8" s="1" t="s">
        <v>1828</v>
      </c>
      <c r="L8" s="1" t="s">
        <v>1829</v>
      </c>
      <c r="M8" s="1" t="s">
        <v>1830</v>
      </c>
      <c r="N8" s="1" t="s">
        <v>1831</v>
      </c>
      <c r="O8" s="1" t="s">
        <v>1832</v>
      </c>
      <c r="P8" s="1" t="s">
        <v>1833</v>
      </c>
      <c r="Q8" s="1" t="s">
        <v>1834</v>
      </c>
      <c r="R8" s="1" t="s">
        <v>1835</v>
      </c>
      <c r="S8" s="1" t="s">
        <v>1836</v>
      </c>
      <c r="T8" s="1" t="s">
        <v>1837</v>
      </c>
      <c r="U8" s="1" t="s">
        <v>9</v>
      </c>
      <c r="V8" s="1" t="s">
        <v>10</v>
      </c>
      <c r="W8" s="1" t="s">
        <v>1838</v>
      </c>
      <c r="X8" s="1" t="s">
        <v>1839</v>
      </c>
      <c r="Y8" s="1" t="s">
        <v>1840</v>
      </c>
      <c r="Z8" s="1" t="s">
        <v>1841</v>
      </c>
      <c r="AA8" s="1" t="s">
        <v>8</v>
      </c>
      <c r="AB8" s="1" t="s">
        <v>11</v>
      </c>
      <c r="AC8" s="1" t="s">
        <v>1842</v>
      </c>
      <c r="AD8" s="1" t="s">
        <v>12</v>
      </c>
      <c r="AE8" s="1" t="s">
        <v>13</v>
      </c>
      <c r="AF8" s="1" t="s">
        <v>1843</v>
      </c>
      <c r="AG8" s="1" t="s">
        <v>1844</v>
      </c>
      <c r="AH8" s="1" t="s">
        <v>500</v>
      </c>
    </row>
    <row r="9" spans="1:34">
      <c r="A9" s="1" t="s">
        <v>501</v>
      </c>
      <c r="B9" s="3" t="s">
        <v>1852</v>
      </c>
      <c r="C9" s="3">
        <v>37</v>
      </c>
      <c r="D9" s="3" t="s">
        <v>1846</v>
      </c>
      <c r="E9" s="3">
        <v>30</v>
      </c>
      <c r="F9" s="3" t="s">
        <v>163</v>
      </c>
      <c r="G9" s="3">
        <v>79</v>
      </c>
      <c r="H9" s="3">
        <v>79</v>
      </c>
      <c r="I9" s="3">
        <v>0</v>
      </c>
      <c r="J9" s="3">
        <v>2925</v>
      </c>
      <c r="K9" s="3">
        <v>576</v>
      </c>
      <c r="L9" s="3">
        <v>1228</v>
      </c>
      <c r="M9" s="3">
        <v>407</v>
      </c>
      <c r="N9" s="3">
        <v>846</v>
      </c>
      <c r="O9" s="3">
        <v>169</v>
      </c>
      <c r="P9" s="3">
        <v>382</v>
      </c>
      <c r="Q9" s="3">
        <v>283</v>
      </c>
      <c r="R9" s="3">
        <v>338</v>
      </c>
      <c r="S9" s="3">
        <v>45</v>
      </c>
      <c r="T9" s="3">
        <v>217</v>
      </c>
      <c r="U9" s="3">
        <v>262</v>
      </c>
      <c r="V9" s="3">
        <v>460</v>
      </c>
      <c r="W9" s="3">
        <v>72</v>
      </c>
      <c r="X9" s="3">
        <v>3</v>
      </c>
      <c r="Y9" s="3">
        <v>206</v>
      </c>
      <c r="Z9" s="3">
        <v>214</v>
      </c>
      <c r="AA9" s="3">
        <v>1604</v>
      </c>
      <c r="AB9" s="3">
        <v>0.46899999999999997</v>
      </c>
      <c r="AC9" s="3">
        <v>0.48099999999999998</v>
      </c>
      <c r="AD9" s="3">
        <v>0.442</v>
      </c>
      <c r="AE9" s="3">
        <v>0.83699999999999997</v>
      </c>
      <c r="AF9" s="3">
        <v>0.58299999999999996</v>
      </c>
      <c r="AG9" s="3">
        <v>0.53800000000000003</v>
      </c>
      <c r="AH9" s="3" t="s">
        <v>6</v>
      </c>
    </row>
    <row r="10" spans="1:34">
      <c r="A10" s="1" t="s">
        <v>501</v>
      </c>
      <c r="B10" s="3" t="s">
        <v>1853</v>
      </c>
      <c r="C10" s="3">
        <v>34.700000000000003</v>
      </c>
      <c r="D10" s="3" t="s">
        <v>1854</v>
      </c>
      <c r="E10" s="3">
        <v>27</v>
      </c>
      <c r="F10" s="3" t="s">
        <v>57</v>
      </c>
      <c r="G10" s="3">
        <v>82</v>
      </c>
      <c r="H10" s="3">
        <v>64</v>
      </c>
      <c r="I10" s="3">
        <v>0</v>
      </c>
      <c r="J10" s="3">
        <v>2848</v>
      </c>
      <c r="K10" s="3">
        <v>426</v>
      </c>
      <c r="L10" s="3">
        <v>974</v>
      </c>
      <c r="M10" s="3">
        <v>299</v>
      </c>
      <c r="N10" s="3">
        <v>613</v>
      </c>
      <c r="O10" s="3">
        <v>127</v>
      </c>
      <c r="P10" s="3">
        <v>361</v>
      </c>
      <c r="Q10" s="3">
        <v>131</v>
      </c>
      <c r="R10" s="3">
        <v>168</v>
      </c>
      <c r="S10" s="3">
        <v>57</v>
      </c>
      <c r="T10" s="3">
        <v>181</v>
      </c>
      <c r="U10" s="3">
        <v>238</v>
      </c>
      <c r="V10" s="3">
        <v>247</v>
      </c>
      <c r="W10" s="3">
        <v>97</v>
      </c>
      <c r="X10" s="3">
        <v>4</v>
      </c>
      <c r="Y10" s="3">
        <v>104</v>
      </c>
      <c r="Z10" s="3">
        <v>213</v>
      </c>
      <c r="AA10" s="3">
        <v>1110</v>
      </c>
      <c r="AB10" s="3">
        <v>0.437</v>
      </c>
      <c r="AC10" s="3">
        <v>0.48799999999999999</v>
      </c>
      <c r="AD10" s="3">
        <v>0.35199999999999998</v>
      </c>
      <c r="AE10" s="3">
        <v>0.78</v>
      </c>
      <c r="AF10" s="3">
        <v>0.53</v>
      </c>
      <c r="AG10" s="3">
        <v>0.503</v>
      </c>
      <c r="AH10" s="3" t="s">
        <v>6</v>
      </c>
    </row>
    <row r="11" spans="1:34">
      <c r="A11" s="1" t="s">
        <v>501</v>
      </c>
      <c r="B11" s="3" t="s">
        <v>1855</v>
      </c>
      <c r="C11" s="3">
        <v>29</v>
      </c>
      <c r="D11" s="3" t="s">
        <v>1856</v>
      </c>
      <c r="E11" s="3">
        <v>24</v>
      </c>
      <c r="F11" s="3" t="s">
        <v>72</v>
      </c>
      <c r="G11" s="3">
        <v>80</v>
      </c>
      <c r="H11" s="3">
        <v>73</v>
      </c>
      <c r="I11" s="3">
        <v>0</v>
      </c>
      <c r="J11" s="3">
        <v>2318</v>
      </c>
      <c r="K11" s="3">
        <v>335</v>
      </c>
      <c r="L11" s="3">
        <v>790</v>
      </c>
      <c r="M11" s="3">
        <v>335</v>
      </c>
      <c r="N11" s="3">
        <v>786</v>
      </c>
      <c r="O11" s="3">
        <v>0</v>
      </c>
      <c r="P11" s="3">
        <v>4</v>
      </c>
      <c r="Q11" s="3">
        <v>97</v>
      </c>
      <c r="R11" s="3">
        <v>121</v>
      </c>
      <c r="S11" s="3">
        <v>134</v>
      </c>
      <c r="T11" s="3">
        <v>291</v>
      </c>
      <c r="U11" s="3">
        <v>425</v>
      </c>
      <c r="V11" s="3">
        <v>54</v>
      </c>
      <c r="W11" s="3">
        <v>37</v>
      </c>
      <c r="X11" s="3">
        <v>78</v>
      </c>
      <c r="Y11" s="3">
        <v>128</v>
      </c>
      <c r="Z11" s="3">
        <v>234</v>
      </c>
      <c r="AA11" s="3">
        <v>767</v>
      </c>
      <c r="AB11" s="3">
        <v>0.42399999999999999</v>
      </c>
      <c r="AC11" s="3">
        <v>0.42599999999999999</v>
      </c>
      <c r="AD11" s="3">
        <v>0</v>
      </c>
      <c r="AE11" s="3">
        <v>0.80200000000000005</v>
      </c>
      <c r="AF11" s="3">
        <v>0.45500000000000002</v>
      </c>
      <c r="AG11" s="3">
        <v>0.42399999999999999</v>
      </c>
      <c r="AH11" s="3" t="s">
        <v>1001</v>
      </c>
    </row>
    <row r="12" spans="1:34">
      <c r="A12" s="1" t="s">
        <v>501</v>
      </c>
      <c r="B12" s="3" t="s">
        <v>1857</v>
      </c>
      <c r="C12" s="3">
        <v>28.3</v>
      </c>
      <c r="D12" s="3" t="s">
        <v>1850</v>
      </c>
      <c r="E12" s="3">
        <v>24</v>
      </c>
      <c r="F12" s="3" t="s">
        <v>193</v>
      </c>
      <c r="G12" s="3">
        <v>71</v>
      </c>
      <c r="H12" s="3">
        <v>71</v>
      </c>
      <c r="I12" s="3">
        <v>0</v>
      </c>
      <c r="J12" s="3">
        <v>2008</v>
      </c>
      <c r="K12" s="3">
        <v>339</v>
      </c>
      <c r="L12" s="3">
        <v>768</v>
      </c>
      <c r="M12" s="3">
        <v>301</v>
      </c>
      <c r="N12" s="3">
        <v>651</v>
      </c>
      <c r="O12" s="3">
        <v>38</v>
      </c>
      <c r="P12" s="3">
        <v>117</v>
      </c>
      <c r="Q12" s="3">
        <v>181</v>
      </c>
      <c r="R12" s="3">
        <v>225</v>
      </c>
      <c r="S12" s="3">
        <v>41</v>
      </c>
      <c r="T12" s="3">
        <v>144</v>
      </c>
      <c r="U12" s="3">
        <v>185</v>
      </c>
      <c r="V12" s="3">
        <v>355</v>
      </c>
      <c r="W12" s="3">
        <v>63</v>
      </c>
      <c r="X12" s="3">
        <v>5</v>
      </c>
      <c r="Y12" s="3">
        <v>156</v>
      </c>
      <c r="Z12" s="3">
        <v>165</v>
      </c>
      <c r="AA12" s="3">
        <v>897</v>
      </c>
      <c r="AB12" s="3">
        <v>0.441</v>
      </c>
      <c r="AC12" s="3">
        <v>0.46200000000000002</v>
      </c>
      <c r="AD12" s="3">
        <v>0.32500000000000001</v>
      </c>
      <c r="AE12" s="3">
        <v>0.80400000000000005</v>
      </c>
      <c r="AF12" s="3">
        <v>0.51700000000000002</v>
      </c>
      <c r="AG12" s="3">
        <v>0.46600000000000003</v>
      </c>
      <c r="AH12" s="3" t="s">
        <v>6</v>
      </c>
    </row>
    <row r="13" spans="1:34">
      <c r="A13" s="1" t="s">
        <v>501</v>
      </c>
      <c r="B13" s="3" t="s">
        <v>1858</v>
      </c>
      <c r="C13" s="3">
        <v>23</v>
      </c>
      <c r="D13" s="3" t="s">
        <v>1859</v>
      </c>
      <c r="E13" s="3">
        <v>30</v>
      </c>
      <c r="F13" s="3" t="s">
        <v>184</v>
      </c>
      <c r="G13" s="3">
        <v>80</v>
      </c>
      <c r="H13" s="3">
        <v>25</v>
      </c>
      <c r="I13" s="3">
        <v>0</v>
      </c>
      <c r="J13" s="3">
        <v>1840</v>
      </c>
      <c r="K13" s="3">
        <v>208</v>
      </c>
      <c r="L13" s="3">
        <v>482</v>
      </c>
      <c r="M13" s="3">
        <v>110</v>
      </c>
      <c r="N13" s="3">
        <v>234</v>
      </c>
      <c r="O13" s="3">
        <v>98</v>
      </c>
      <c r="P13" s="3">
        <v>248</v>
      </c>
      <c r="Q13" s="3">
        <v>60</v>
      </c>
      <c r="R13" s="3">
        <v>73</v>
      </c>
      <c r="S13" s="3">
        <v>88</v>
      </c>
      <c r="T13" s="3">
        <v>155</v>
      </c>
      <c r="U13" s="3">
        <v>243</v>
      </c>
      <c r="V13" s="3">
        <v>54</v>
      </c>
      <c r="W13" s="3">
        <v>50</v>
      </c>
      <c r="X13" s="3">
        <v>10</v>
      </c>
      <c r="Y13" s="3">
        <v>43</v>
      </c>
      <c r="Z13" s="3">
        <v>163</v>
      </c>
      <c r="AA13" s="3">
        <v>574</v>
      </c>
      <c r="AB13" s="3">
        <v>0.432</v>
      </c>
      <c r="AC13" s="3">
        <v>0.47</v>
      </c>
      <c r="AD13" s="3">
        <v>0.39500000000000002</v>
      </c>
      <c r="AE13" s="3">
        <v>0.82199999999999995</v>
      </c>
      <c r="AF13" s="3">
        <v>0.55800000000000005</v>
      </c>
      <c r="AG13" s="3">
        <v>0.53300000000000003</v>
      </c>
      <c r="AH13" s="3" t="s">
        <v>6</v>
      </c>
    </row>
    <row r="14" spans="1:34" ht="30">
      <c r="A14" s="1" t="s">
        <v>501</v>
      </c>
      <c r="B14" s="3" t="s">
        <v>1860</v>
      </c>
      <c r="C14" s="3">
        <v>22.3</v>
      </c>
      <c r="D14" s="3" t="s">
        <v>1861</v>
      </c>
      <c r="E14" s="3">
        <v>31</v>
      </c>
      <c r="F14" s="3" t="s">
        <v>23</v>
      </c>
      <c r="G14" s="3">
        <v>76</v>
      </c>
      <c r="H14" s="3">
        <v>0</v>
      </c>
      <c r="I14" s="3">
        <v>0</v>
      </c>
      <c r="J14" s="3">
        <v>1695</v>
      </c>
      <c r="K14" s="3">
        <v>142</v>
      </c>
      <c r="L14" s="3">
        <v>251</v>
      </c>
      <c r="M14" s="3">
        <v>142</v>
      </c>
      <c r="N14" s="3">
        <v>248</v>
      </c>
      <c r="O14" s="3">
        <v>0</v>
      </c>
      <c r="P14" s="3">
        <v>3</v>
      </c>
      <c r="Q14" s="3">
        <v>164</v>
      </c>
      <c r="R14" s="3">
        <v>236</v>
      </c>
      <c r="S14" s="3">
        <v>147</v>
      </c>
      <c r="T14" s="3">
        <v>336</v>
      </c>
      <c r="U14" s="3">
        <v>483</v>
      </c>
      <c r="V14" s="3">
        <v>33</v>
      </c>
      <c r="W14" s="3">
        <v>42</v>
      </c>
      <c r="X14" s="3">
        <v>143</v>
      </c>
      <c r="Y14" s="3">
        <v>59</v>
      </c>
      <c r="Z14" s="3">
        <v>171</v>
      </c>
      <c r="AA14" s="3">
        <v>448</v>
      </c>
      <c r="AB14" s="3">
        <v>0.56599999999999995</v>
      </c>
      <c r="AC14" s="3">
        <v>0.57299999999999995</v>
      </c>
      <c r="AD14" s="3">
        <v>0</v>
      </c>
      <c r="AE14" s="3">
        <v>0.69499999999999995</v>
      </c>
      <c r="AF14" s="3">
        <v>0.63100000000000001</v>
      </c>
      <c r="AG14" s="3">
        <v>0.56599999999999995</v>
      </c>
      <c r="AH14" s="3" t="s">
        <v>846</v>
      </c>
    </row>
    <row r="15" spans="1:34">
      <c r="A15" s="1"/>
    </row>
    <row r="16" spans="1:34" ht="30">
      <c r="A16" s="1" t="s">
        <v>1862</v>
      </c>
    </row>
    <row r="17" spans="1:35">
      <c r="B17" s="1" t="s">
        <v>3</v>
      </c>
      <c r="C17" s="1" t="s">
        <v>14</v>
      </c>
      <c r="D17" s="1" t="s">
        <v>1824</v>
      </c>
      <c r="E17" s="1" t="s">
        <v>1825</v>
      </c>
      <c r="F17" s="1" t="s">
        <v>499</v>
      </c>
      <c r="G17" s="1" t="s">
        <v>6</v>
      </c>
      <c r="H17" s="1" t="s">
        <v>1826</v>
      </c>
      <c r="I17" s="1" t="s">
        <v>1827</v>
      </c>
      <c r="J17" s="1" t="s">
        <v>7</v>
      </c>
      <c r="K17" s="1" t="s">
        <v>1828</v>
      </c>
      <c r="L17" s="1" t="s">
        <v>1829</v>
      </c>
      <c r="M17" s="1" t="s">
        <v>1830</v>
      </c>
      <c r="N17" s="1" t="s">
        <v>1831</v>
      </c>
      <c r="O17" s="1" t="s">
        <v>1832</v>
      </c>
      <c r="P17" s="1" t="s">
        <v>1833</v>
      </c>
      <c r="Q17" s="1" t="s">
        <v>1834</v>
      </c>
      <c r="R17" s="1" t="s">
        <v>1835</v>
      </c>
      <c r="S17" s="1" t="s">
        <v>1836</v>
      </c>
      <c r="T17" s="1" t="s">
        <v>1837</v>
      </c>
      <c r="U17" s="1" t="s">
        <v>9</v>
      </c>
      <c r="V17" s="1" t="s">
        <v>10</v>
      </c>
      <c r="W17" s="1" t="s">
        <v>1838</v>
      </c>
      <c r="X17" s="1" t="s">
        <v>1839</v>
      </c>
      <c r="Y17" s="1" t="s">
        <v>1840</v>
      </c>
      <c r="Z17" s="1" t="s">
        <v>1841</v>
      </c>
      <c r="AA17" s="1" t="s">
        <v>8</v>
      </c>
      <c r="AB17" s="1" t="s">
        <v>11</v>
      </c>
      <c r="AC17" s="1" t="s">
        <v>1842</v>
      </c>
      <c r="AD17" s="1" t="s">
        <v>12</v>
      </c>
      <c r="AE17" s="1" t="s">
        <v>13</v>
      </c>
      <c r="AF17" s="1" t="s">
        <v>1843</v>
      </c>
      <c r="AG17" s="1" t="s">
        <v>1844</v>
      </c>
      <c r="AH17" s="1" t="s">
        <v>500</v>
      </c>
    </row>
    <row r="18" spans="1:35">
      <c r="A18" s="1" t="s">
        <v>501</v>
      </c>
      <c r="B18" s="3" t="s">
        <v>1863</v>
      </c>
      <c r="C18" s="3">
        <v>5.8</v>
      </c>
      <c r="D18" s="3" t="s">
        <v>1846</v>
      </c>
      <c r="E18" s="3">
        <v>24</v>
      </c>
      <c r="F18" s="3" t="s">
        <v>31</v>
      </c>
      <c r="G18" s="3">
        <v>82</v>
      </c>
      <c r="H18" s="3">
        <v>82</v>
      </c>
      <c r="I18" s="3">
        <v>0</v>
      </c>
      <c r="J18" s="3">
        <v>2773</v>
      </c>
      <c r="K18" s="3">
        <v>348</v>
      </c>
      <c r="L18" s="3">
        <v>779</v>
      </c>
      <c r="M18" s="3">
        <v>228</v>
      </c>
      <c r="N18" s="3">
        <v>451</v>
      </c>
      <c r="O18" s="3">
        <v>120</v>
      </c>
      <c r="P18" s="3">
        <v>328</v>
      </c>
      <c r="Q18" s="3">
        <v>125</v>
      </c>
      <c r="R18" s="3">
        <v>180</v>
      </c>
      <c r="S18" s="3">
        <v>37</v>
      </c>
      <c r="T18" s="3">
        <v>234</v>
      </c>
      <c r="U18" s="3">
        <v>271</v>
      </c>
      <c r="V18" s="3">
        <v>302</v>
      </c>
      <c r="W18" s="3">
        <v>140</v>
      </c>
      <c r="X18" s="3">
        <v>16</v>
      </c>
      <c r="Y18" s="3">
        <v>147</v>
      </c>
      <c r="Z18" s="3">
        <v>213</v>
      </c>
      <c r="AA18" s="3">
        <v>941</v>
      </c>
      <c r="AB18" s="3">
        <v>0.44700000000000001</v>
      </c>
      <c r="AC18" s="3">
        <v>0.50600000000000001</v>
      </c>
      <c r="AD18" s="3">
        <v>0.36599999999999999</v>
      </c>
      <c r="AE18" s="3">
        <v>0.69399999999999995</v>
      </c>
      <c r="AF18" s="3">
        <v>0.54800000000000004</v>
      </c>
      <c r="AG18" s="3">
        <v>0.52400000000000002</v>
      </c>
      <c r="AH18" s="3" t="s">
        <v>6</v>
      </c>
    </row>
    <row r="19" spans="1:35">
      <c r="A19" s="1" t="s">
        <v>501</v>
      </c>
      <c r="B19" s="3" t="s">
        <v>1864</v>
      </c>
      <c r="C19" s="3">
        <v>4.3</v>
      </c>
      <c r="D19" s="3" t="s">
        <v>1865</v>
      </c>
      <c r="E19" s="3">
        <v>32</v>
      </c>
      <c r="F19" s="3" t="s">
        <v>47</v>
      </c>
      <c r="G19" s="3">
        <v>80</v>
      </c>
      <c r="H19" s="3">
        <v>56</v>
      </c>
      <c r="I19" s="3">
        <v>0</v>
      </c>
      <c r="J19" s="3">
        <v>1967</v>
      </c>
      <c r="K19" s="3">
        <v>125</v>
      </c>
      <c r="L19" s="3">
        <v>261</v>
      </c>
      <c r="M19" s="3">
        <v>125</v>
      </c>
      <c r="N19" s="3">
        <v>261</v>
      </c>
      <c r="O19" s="3">
        <v>0</v>
      </c>
      <c r="P19" s="3">
        <v>0</v>
      </c>
      <c r="Q19" s="3">
        <v>113</v>
      </c>
      <c r="R19" s="3">
        <v>222</v>
      </c>
      <c r="S19" s="3">
        <v>260</v>
      </c>
      <c r="T19" s="3">
        <v>628</v>
      </c>
      <c r="U19" s="3">
        <v>888</v>
      </c>
      <c r="V19" s="3">
        <v>43</v>
      </c>
      <c r="W19" s="3">
        <v>74</v>
      </c>
      <c r="X19" s="3">
        <v>13</v>
      </c>
      <c r="Y19" s="3">
        <v>111</v>
      </c>
      <c r="Z19" s="3">
        <v>199</v>
      </c>
      <c r="AA19" s="3">
        <v>363</v>
      </c>
      <c r="AB19" s="3">
        <v>0.47899999999999998</v>
      </c>
      <c r="AC19" s="3">
        <v>0.47899999999999998</v>
      </c>
      <c r="AD19" s="2"/>
      <c r="AE19" s="3">
        <v>0.50900000000000001</v>
      </c>
      <c r="AF19" s="3">
        <v>0.50600000000000001</v>
      </c>
      <c r="AG19" s="3">
        <v>0.47899999999999998</v>
      </c>
      <c r="AH19" s="3" t="s">
        <v>506</v>
      </c>
    </row>
    <row r="20" spans="1:35">
      <c r="A20" s="1" t="s">
        <v>501</v>
      </c>
      <c r="B20" s="3" t="s">
        <v>1866</v>
      </c>
      <c r="C20" s="3">
        <v>3.7</v>
      </c>
      <c r="D20" s="3" t="s">
        <v>1867</v>
      </c>
      <c r="E20" s="3">
        <v>26</v>
      </c>
      <c r="F20" s="3" t="s">
        <v>79</v>
      </c>
      <c r="G20" s="3">
        <v>67</v>
      </c>
      <c r="H20" s="3">
        <v>0</v>
      </c>
      <c r="I20" s="3">
        <v>0</v>
      </c>
      <c r="J20" s="3">
        <v>1238</v>
      </c>
      <c r="K20" s="3">
        <v>173</v>
      </c>
      <c r="L20" s="3">
        <v>409</v>
      </c>
      <c r="M20" s="3">
        <v>128</v>
      </c>
      <c r="N20" s="3">
        <v>288</v>
      </c>
      <c r="O20" s="3">
        <v>45</v>
      </c>
      <c r="P20" s="3">
        <v>121</v>
      </c>
      <c r="Q20" s="3">
        <v>103</v>
      </c>
      <c r="R20" s="3">
        <v>130</v>
      </c>
      <c r="S20" s="3">
        <v>37</v>
      </c>
      <c r="T20" s="3">
        <v>139</v>
      </c>
      <c r="U20" s="3">
        <v>176</v>
      </c>
      <c r="V20" s="3">
        <v>92</v>
      </c>
      <c r="W20" s="3">
        <v>39</v>
      </c>
      <c r="X20" s="3">
        <v>12</v>
      </c>
      <c r="Y20" s="3">
        <v>53</v>
      </c>
      <c r="Z20" s="3">
        <v>83</v>
      </c>
      <c r="AA20" s="3">
        <v>494</v>
      </c>
      <c r="AB20" s="3">
        <v>0.42299999999999999</v>
      </c>
      <c r="AC20" s="3">
        <v>0.44400000000000001</v>
      </c>
      <c r="AD20" s="3">
        <v>0.372</v>
      </c>
      <c r="AE20" s="3">
        <v>0.79200000000000004</v>
      </c>
      <c r="AF20" s="3">
        <v>0.53</v>
      </c>
      <c r="AG20" s="3">
        <v>0.47799999999999998</v>
      </c>
      <c r="AH20" s="3" t="s">
        <v>6</v>
      </c>
    </row>
    <row r="22" spans="1:35" ht="30">
      <c r="A22" s="1" t="s">
        <v>1868</v>
      </c>
    </row>
    <row r="23" spans="1:35">
      <c r="B23" s="1" t="s">
        <v>3</v>
      </c>
      <c r="C23" s="1" t="s">
        <v>14</v>
      </c>
      <c r="D23" s="1" t="s">
        <v>1824</v>
      </c>
      <c r="E23" s="1" t="s">
        <v>1825</v>
      </c>
      <c r="F23" s="1" t="s">
        <v>499</v>
      </c>
      <c r="G23" s="1" t="s">
        <v>6</v>
      </c>
      <c r="H23" s="1" t="s">
        <v>1826</v>
      </c>
      <c r="I23" s="1" t="s">
        <v>1827</v>
      </c>
      <c r="J23" s="1" t="s">
        <v>7</v>
      </c>
      <c r="K23" s="1" t="s">
        <v>1828</v>
      </c>
      <c r="L23" s="1" t="s">
        <v>1829</v>
      </c>
      <c r="M23" s="1" t="s">
        <v>1830</v>
      </c>
      <c r="N23" s="1" t="s">
        <v>1831</v>
      </c>
      <c r="O23" s="1" t="s">
        <v>1832</v>
      </c>
      <c r="P23" s="1" t="s">
        <v>1833</v>
      </c>
      <c r="Q23" s="1" t="s">
        <v>1834</v>
      </c>
      <c r="R23" s="1" t="s">
        <v>1835</v>
      </c>
      <c r="S23" s="1" t="s">
        <v>1836</v>
      </c>
      <c r="T23" s="1" t="s">
        <v>1837</v>
      </c>
      <c r="U23" s="1" t="s">
        <v>9</v>
      </c>
      <c r="V23" s="1" t="s">
        <v>10</v>
      </c>
      <c r="W23" s="1" t="s">
        <v>1838</v>
      </c>
      <c r="X23" s="1" t="s">
        <v>1839</v>
      </c>
      <c r="Y23" s="1" t="s">
        <v>1840</v>
      </c>
      <c r="Z23" s="1" t="s">
        <v>1841</v>
      </c>
      <c r="AA23" s="1" t="s">
        <v>8</v>
      </c>
      <c r="AB23" s="1" t="s">
        <v>11</v>
      </c>
      <c r="AC23" s="1" t="s">
        <v>1842</v>
      </c>
      <c r="AD23" s="1" t="s">
        <v>12</v>
      </c>
      <c r="AE23" s="1" t="s">
        <v>13</v>
      </c>
      <c r="AF23" s="1" t="s">
        <v>1843</v>
      </c>
      <c r="AG23" s="1" t="s">
        <v>1844</v>
      </c>
      <c r="AH23" s="1" t="s">
        <v>500</v>
      </c>
    </row>
    <row r="24" spans="1:35" ht="30">
      <c r="A24" s="1" t="s">
        <v>501</v>
      </c>
      <c r="B24" s="3" t="s">
        <v>1817</v>
      </c>
      <c r="C24" s="3">
        <v>9.1999999999999993</v>
      </c>
      <c r="D24" s="3" t="s">
        <v>1867</v>
      </c>
      <c r="E24" s="3">
        <v>24</v>
      </c>
      <c r="F24" s="3" t="s">
        <v>72</v>
      </c>
      <c r="G24" s="3">
        <v>80</v>
      </c>
      <c r="H24" s="3">
        <v>80</v>
      </c>
      <c r="I24" s="3">
        <v>0</v>
      </c>
      <c r="J24" s="3">
        <v>2675</v>
      </c>
      <c r="K24" s="3">
        <v>346</v>
      </c>
      <c r="L24" s="3">
        <v>641</v>
      </c>
      <c r="M24" s="3">
        <v>346</v>
      </c>
      <c r="N24" s="3">
        <v>637</v>
      </c>
      <c r="O24" s="3">
        <v>0</v>
      </c>
      <c r="P24" s="3">
        <v>4</v>
      </c>
      <c r="Q24" s="3">
        <v>178</v>
      </c>
      <c r="R24" s="3">
        <v>225</v>
      </c>
      <c r="S24" s="3">
        <v>239</v>
      </c>
      <c r="T24" s="3">
        <v>487</v>
      </c>
      <c r="U24" s="3">
        <v>726</v>
      </c>
      <c r="V24" s="3">
        <v>108</v>
      </c>
      <c r="W24" s="3">
        <v>63</v>
      </c>
      <c r="X24" s="3">
        <v>41</v>
      </c>
      <c r="Y24" s="3">
        <v>113</v>
      </c>
      <c r="Z24" s="3">
        <v>260</v>
      </c>
      <c r="AA24" s="3">
        <v>870</v>
      </c>
      <c r="AB24" s="3">
        <v>0.54</v>
      </c>
      <c r="AC24" s="3">
        <v>0.54300000000000004</v>
      </c>
      <c r="AD24" s="3">
        <v>0</v>
      </c>
      <c r="AE24" s="3">
        <v>0.79100000000000004</v>
      </c>
      <c r="AF24" s="3">
        <v>0.58799999999999997</v>
      </c>
      <c r="AG24" s="3">
        <v>0.54</v>
      </c>
      <c r="AH24" s="3" t="s">
        <v>1001</v>
      </c>
    </row>
    <row r="25" spans="1:35">
      <c r="A25" s="1" t="s">
        <v>501</v>
      </c>
      <c r="B25" s="3" t="s">
        <v>1818</v>
      </c>
      <c r="C25" s="3">
        <v>4.5999999999999996</v>
      </c>
      <c r="D25" s="3" t="s">
        <v>1854</v>
      </c>
      <c r="E25" s="3">
        <v>26</v>
      </c>
      <c r="F25" s="3" t="s">
        <v>1095</v>
      </c>
      <c r="G25" s="3">
        <v>72</v>
      </c>
      <c r="H25" s="3">
        <v>47</v>
      </c>
      <c r="I25" s="3">
        <v>0</v>
      </c>
      <c r="J25" s="3">
        <v>1878</v>
      </c>
      <c r="K25" s="3">
        <v>285</v>
      </c>
      <c r="L25" s="3">
        <v>658</v>
      </c>
      <c r="M25" s="3">
        <v>174</v>
      </c>
      <c r="N25" s="3">
        <v>391</v>
      </c>
      <c r="O25" s="3">
        <v>111</v>
      </c>
      <c r="P25" s="3">
        <v>267</v>
      </c>
      <c r="Q25" s="3">
        <v>188</v>
      </c>
      <c r="R25" s="3">
        <v>208</v>
      </c>
      <c r="S25" s="3">
        <v>35</v>
      </c>
      <c r="T25" s="3">
        <v>172</v>
      </c>
      <c r="U25" s="3">
        <v>207</v>
      </c>
      <c r="V25" s="3">
        <v>91</v>
      </c>
      <c r="W25" s="3">
        <v>53</v>
      </c>
      <c r="X25" s="3">
        <v>9</v>
      </c>
      <c r="Y25" s="3">
        <v>73</v>
      </c>
      <c r="Z25" s="3">
        <v>176</v>
      </c>
      <c r="AA25" s="3">
        <v>869</v>
      </c>
      <c r="AB25" s="3">
        <v>0.433</v>
      </c>
      <c r="AC25" s="3">
        <v>0.44500000000000001</v>
      </c>
      <c r="AD25" s="3">
        <v>0.41599999999999998</v>
      </c>
      <c r="AE25" s="3">
        <v>0.90400000000000003</v>
      </c>
      <c r="AF25" s="3">
        <v>0.57999999999999996</v>
      </c>
      <c r="AG25" s="3">
        <v>0.51700000000000002</v>
      </c>
      <c r="AH25" s="3" t="s">
        <v>6</v>
      </c>
    </row>
    <row r="26" spans="1:35" ht="30">
      <c r="A26" s="1" t="s">
        <v>501</v>
      </c>
      <c r="B26" s="3" t="s">
        <v>1819</v>
      </c>
      <c r="C26" s="3">
        <v>4.2</v>
      </c>
      <c r="D26" s="3" t="s">
        <v>1846</v>
      </c>
      <c r="E26" s="3">
        <v>25</v>
      </c>
      <c r="F26" s="3" t="s">
        <v>20</v>
      </c>
      <c r="G26" s="3">
        <v>62</v>
      </c>
      <c r="H26" s="3">
        <v>29</v>
      </c>
      <c r="I26" s="3">
        <v>0</v>
      </c>
      <c r="J26" s="3">
        <v>1766</v>
      </c>
      <c r="K26" s="3">
        <v>246</v>
      </c>
      <c r="L26" s="3">
        <v>512</v>
      </c>
      <c r="M26" s="3">
        <v>242</v>
      </c>
      <c r="N26" s="3">
        <v>493</v>
      </c>
      <c r="O26" s="3">
        <v>4</v>
      </c>
      <c r="P26" s="3">
        <v>19</v>
      </c>
      <c r="Q26" s="3">
        <v>138</v>
      </c>
      <c r="R26" s="3">
        <v>183</v>
      </c>
      <c r="S26" s="3">
        <v>81</v>
      </c>
      <c r="T26" s="3">
        <v>143</v>
      </c>
      <c r="U26" s="3">
        <v>224</v>
      </c>
      <c r="V26" s="3">
        <v>172</v>
      </c>
      <c r="W26" s="3">
        <v>67</v>
      </c>
      <c r="X26" s="3">
        <v>13</v>
      </c>
      <c r="Y26" s="3">
        <v>100</v>
      </c>
      <c r="Z26" s="3">
        <v>143</v>
      </c>
      <c r="AA26" s="3">
        <v>634</v>
      </c>
      <c r="AB26" s="3">
        <v>0.48</v>
      </c>
      <c r="AC26" s="3">
        <v>0.49099999999999999</v>
      </c>
      <c r="AD26" s="3">
        <v>0.21099999999999999</v>
      </c>
      <c r="AE26" s="3">
        <v>0.754</v>
      </c>
      <c r="AF26" s="3">
        <v>0.53500000000000003</v>
      </c>
      <c r="AG26" s="3">
        <v>0.48399999999999999</v>
      </c>
      <c r="AH26" s="3" t="s">
        <v>722</v>
      </c>
    </row>
    <row r="27" spans="1:35">
      <c r="A27" s="1" t="s">
        <v>501</v>
      </c>
      <c r="B27" s="3" t="s">
        <v>1820</v>
      </c>
      <c r="C27" s="3">
        <v>3.9</v>
      </c>
      <c r="D27" s="3" t="s">
        <v>1854</v>
      </c>
      <c r="E27" s="3">
        <v>29</v>
      </c>
      <c r="F27" s="3" t="s">
        <v>124</v>
      </c>
      <c r="G27" s="3">
        <v>75</v>
      </c>
      <c r="H27" s="3">
        <v>75</v>
      </c>
      <c r="I27" s="3">
        <v>0</v>
      </c>
      <c r="J27" s="3">
        <v>2144</v>
      </c>
      <c r="K27" s="3">
        <v>237</v>
      </c>
      <c r="L27" s="3">
        <v>514</v>
      </c>
      <c r="M27" s="3">
        <v>148</v>
      </c>
      <c r="N27" s="3">
        <v>295</v>
      </c>
      <c r="O27" s="3">
        <v>89</v>
      </c>
      <c r="P27" s="3">
        <v>219</v>
      </c>
      <c r="Q27" s="3">
        <v>66</v>
      </c>
      <c r="R27" s="3">
        <v>89</v>
      </c>
      <c r="S27" s="3">
        <v>95</v>
      </c>
      <c r="T27" s="3">
        <v>184</v>
      </c>
      <c r="U27" s="3">
        <v>279</v>
      </c>
      <c r="V27" s="3">
        <v>112</v>
      </c>
      <c r="W27" s="3">
        <v>71</v>
      </c>
      <c r="X27" s="3">
        <v>17</v>
      </c>
      <c r="Y27" s="3">
        <v>73</v>
      </c>
      <c r="Z27" s="3">
        <v>207</v>
      </c>
      <c r="AA27" s="3">
        <v>629</v>
      </c>
      <c r="AB27" s="3">
        <v>0.46100000000000002</v>
      </c>
      <c r="AC27" s="3">
        <v>0.502</v>
      </c>
      <c r="AD27" s="3">
        <v>0.40600000000000003</v>
      </c>
      <c r="AE27" s="3">
        <v>0.74199999999999999</v>
      </c>
      <c r="AF27" s="3">
        <v>0.56899999999999995</v>
      </c>
      <c r="AG27" s="3">
        <v>0.54800000000000004</v>
      </c>
      <c r="AH27" s="3" t="s">
        <v>506</v>
      </c>
    </row>
    <row r="28" spans="1:35">
      <c r="A28" s="1" t="s">
        <v>501</v>
      </c>
      <c r="B28" s="3" t="s">
        <v>1821</v>
      </c>
      <c r="C28" s="3">
        <v>0.8</v>
      </c>
      <c r="D28" s="3" t="s">
        <v>1854</v>
      </c>
      <c r="E28" s="3">
        <v>27</v>
      </c>
      <c r="F28" s="3" t="s">
        <v>1869</v>
      </c>
      <c r="G28" s="3">
        <v>48</v>
      </c>
      <c r="H28" s="3">
        <v>9</v>
      </c>
      <c r="I28" s="3">
        <v>0</v>
      </c>
      <c r="J28" s="3">
        <v>718</v>
      </c>
      <c r="K28" s="3">
        <v>73</v>
      </c>
      <c r="L28" s="3">
        <v>188</v>
      </c>
      <c r="M28" s="3">
        <v>57</v>
      </c>
      <c r="N28" s="3">
        <v>143</v>
      </c>
      <c r="O28" s="3">
        <v>16</v>
      </c>
      <c r="P28" s="3">
        <v>45</v>
      </c>
      <c r="Q28" s="3">
        <v>69</v>
      </c>
      <c r="R28" s="3">
        <v>78</v>
      </c>
      <c r="S28" s="3">
        <v>4</v>
      </c>
      <c r="T28" s="3">
        <v>39</v>
      </c>
      <c r="U28" s="3">
        <v>43</v>
      </c>
      <c r="V28" s="3">
        <v>90</v>
      </c>
      <c r="W28" s="3">
        <v>24</v>
      </c>
      <c r="X28" s="3">
        <v>5</v>
      </c>
      <c r="Y28" s="3">
        <v>46</v>
      </c>
      <c r="Z28" s="3">
        <v>51</v>
      </c>
      <c r="AA28" s="3">
        <v>231</v>
      </c>
      <c r="AB28" s="3">
        <v>0.38800000000000001</v>
      </c>
      <c r="AC28" s="3">
        <v>0.39900000000000002</v>
      </c>
      <c r="AD28" s="3">
        <v>0.35599999999999998</v>
      </c>
      <c r="AE28" s="3">
        <v>0.88500000000000001</v>
      </c>
      <c r="AF28" s="3">
        <v>0.52</v>
      </c>
      <c r="AG28" s="3">
        <v>0.43099999999999999</v>
      </c>
      <c r="AH28" s="3" t="s">
        <v>6</v>
      </c>
    </row>
    <row r="30" spans="1:35" ht="30">
      <c r="A30" s="1" t="s">
        <v>1870</v>
      </c>
    </row>
    <row r="31" spans="1:35">
      <c r="B31" s="1" t="s">
        <v>1749</v>
      </c>
      <c r="C31" s="1" t="s">
        <v>14</v>
      </c>
      <c r="D31" s="1" t="s">
        <v>7</v>
      </c>
      <c r="E31" s="1" t="s">
        <v>1824</v>
      </c>
      <c r="F31" s="1" t="s">
        <v>1825</v>
      </c>
      <c r="G31" s="1" t="s">
        <v>499</v>
      </c>
      <c r="H31" s="1" t="s">
        <v>6</v>
      </c>
      <c r="I31" s="1" t="s">
        <v>1826</v>
      </c>
      <c r="J31" s="1" t="s">
        <v>1827</v>
      </c>
      <c r="K31" s="1" t="s">
        <v>7</v>
      </c>
      <c r="L31" s="1" t="s">
        <v>1828</v>
      </c>
      <c r="M31" s="1" t="s">
        <v>1829</v>
      </c>
      <c r="N31" s="1" t="s">
        <v>1830</v>
      </c>
      <c r="O31" s="1" t="s">
        <v>1831</v>
      </c>
      <c r="P31" s="1" t="s">
        <v>1832</v>
      </c>
      <c r="Q31" s="1" t="s">
        <v>1833</v>
      </c>
      <c r="R31" s="1" t="s">
        <v>1834</v>
      </c>
      <c r="S31" s="1" t="s">
        <v>1835</v>
      </c>
      <c r="T31" s="1" t="s">
        <v>1836</v>
      </c>
      <c r="U31" s="1" t="s">
        <v>1837</v>
      </c>
      <c r="V31" s="1" t="s">
        <v>9</v>
      </c>
      <c r="W31" s="1" t="s">
        <v>10</v>
      </c>
      <c r="X31" s="1" t="s">
        <v>1838</v>
      </c>
      <c r="Y31" s="1" t="s">
        <v>1839</v>
      </c>
      <c r="Z31" s="1" t="s">
        <v>1840</v>
      </c>
      <c r="AA31" s="1" t="s">
        <v>1841</v>
      </c>
      <c r="AB31" s="1" t="s">
        <v>8</v>
      </c>
      <c r="AC31" s="1" t="s">
        <v>11</v>
      </c>
      <c r="AD31" s="1" t="s">
        <v>1842</v>
      </c>
      <c r="AE31" s="1" t="s">
        <v>12</v>
      </c>
      <c r="AF31" s="1" t="s">
        <v>13</v>
      </c>
      <c r="AG31" s="1" t="s">
        <v>1843</v>
      </c>
      <c r="AH31" s="1" t="s">
        <v>1844</v>
      </c>
      <c r="AI31" s="1" t="s">
        <v>500</v>
      </c>
    </row>
    <row r="32" spans="1:35" ht="30">
      <c r="B32" s="3" t="s">
        <v>1750</v>
      </c>
      <c r="C32" s="3">
        <v>6.7</v>
      </c>
      <c r="D32" s="3">
        <v>2239</v>
      </c>
      <c r="E32" s="3" t="s">
        <v>1846</v>
      </c>
      <c r="F32" s="3">
        <v>26</v>
      </c>
      <c r="G32" s="3" t="s">
        <v>99</v>
      </c>
      <c r="H32" s="3">
        <v>82</v>
      </c>
      <c r="I32" s="3">
        <v>43</v>
      </c>
      <c r="J32" s="3">
        <v>0</v>
      </c>
      <c r="K32" s="3">
        <v>2239</v>
      </c>
      <c r="L32" s="3">
        <v>383</v>
      </c>
      <c r="M32" s="3">
        <v>831</v>
      </c>
      <c r="N32" s="3">
        <v>290</v>
      </c>
      <c r="O32" s="3">
        <v>593</v>
      </c>
      <c r="P32" s="3">
        <v>93</v>
      </c>
      <c r="Q32" s="3">
        <v>238</v>
      </c>
      <c r="R32" s="3">
        <v>204</v>
      </c>
      <c r="S32" s="3">
        <v>242</v>
      </c>
      <c r="T32" s="3">
        <v>89</v>
      </c>
      <c r="U32" s="3">
        <v>411</v>
      </c>
      <c r="V32" s="3">
        <v>500</v>
      </c>
      <c r="W32" s="3">
        <v>117</v>
      </c>
      <c r="X32" s="3">
        <v>40</v>
      </c>
      <c r="Y32" s="3">
        <v>52</v>
      </c>
      <c r="Z32" s="3">
        <v>120</v>
      </c>
      <c r="AA32" s="3">
        <v>252</v>
      </c>
      <c r="AB32" s="3">
        <v>1063</v>
      </c>
      <c r="AC32" s="3">
        <v>0.46100000000000002</v>
      </c>
      <c r="AD32" s="3">
        <v>0.48899999999999999</v>
      </c>
      <c r="AE32" s="3">
        <v>0.39100000000000001</v>
      </c>
      <c r="AF32" s="3">
        <v>0.84299999999999997</v>
      </c>
      <c r="AG32" s="3">
        <v>0.56699999999999995</v>
      </c>
      <c r="AH32" s="3">
        <v>0.51700000000000002</v>
      </c>
      <c r="AI32" s="3" t="s">
        <v>506</v>
      </c>
    </row>
    <row r="33" spans="1:35">
      <c r="B33" s="3" t="s">
        <v>1751</v>
      </c>
      <c r="C33" s="3">
        <v>3.2</v>
      </c>
      <c r="D33" s="3">
        <v>1700</v>
      </c>
      <c r="E33" s="3" t="s">
        <v>1854</v>
      </c>
      <c r="F33" s="3">
        <v>25</v>
      </c>
      <c r="G33" s="3" t="s">
        <v>28</v>
      </c>
      <c r="H33" s="3">
        <v>81</v>
      </c>
      <c r="I33" s="3">
        <v>43</v>
      </c>
      <c r="J33" s="3">
        <v>0</v>
      </c>
      <c r="K33" s="3">
        <v>1700</v>
      </c>
      <c r="L33" s="3">
        <v>177</v>
      </c>
      <c r="M33" s="3">
        <v>379</v>
      </c>
      <c r="N33" s="3">
        <v>175</v>
      </c>
      <c r="O33" s="3">
        <v>369</v>
      </c>
      <c r="P33" s="3">
        <v>2</v>
      </c>
      <c r="Q33" s="3">
        <v>10</v>
      </c>
      <c r="R33" s="3">
        <v>68</v>
      </c>
      <c r="S33" s="3">
        <v>87</v>
      </c>
      <c r="T33" s="3">
        <v>60</v>
      </c>
      <c r="U33" s="3">
        <v>130</v>
      </c>
      <c r="V33" s="3">
        <v>190</v>
      </c>
      <c r="W33" s="3">
        <v>86</v>
      </c>
      <c r="X33" s="3">
        <v>70</v>
      </c>
      <c r="Y33" s="3">
        <v>32</v>
      </c>
      <c r="Z33" s="3">
        <v>33</v>
      </c>
      <c r="AA33" s="3">
        <v>179</v>
      </c>
      <c r="AB33" s="3">
        <v>424</v>
      </c>
      <c r="AC33" s="3">
        <v>0.46700000000000003</v>
      </c>
      <c r="AD33" s="3">
        <v>0.47399999999999998</v>
      </c>
      <c r="AE33" s="3">
        <v>0.2</v>
      </c>
      <c r="AF33" s="3">
        <v>0.78200000000000003</v>
      </c>
      <c r="AG33" s="3">
        <v>0.50800000000000001</v>
      </c>
      <c r="AH33" s="3">
        <v>0.47</v>
      </c>
      <c r="AI33" s="3" t="s">
        <v>6</v>
      </c>
    </row>
    <row r="34" spans="1:35" ht="30">
      <c r="B34" s="3" t="s">
        <v>1752</v>
      </c>
      <c r="C34" s="3">
        <v>2.8</v>
      </c>
      <c r="D34" s="3">
        <v>2037</v>
      </c>
      <c r="E34" s="3" t="s">
        <v>1854</v>
      </c>
      <c r="F34" s="3">
        <v>27</v>
      </c>
      <c r="G34" s="3" t="s">
        <v>141</v>
      </c>
      <c r="H34" s="3">
        <v>82</v>
      </c>
      <c r="I34" s="3">
        <v>31</v>
      </c>
      <c r="J34" s="3">
        <v>0</v>
      </c>
      <c r="K34" s="3">
        <v>2037</v>
      </c>
      <c r="L34" s="3">
        <v>262</v>
      </c>
      <c r="M34" s="3">
        <v>602</v>
      </c>
      <c r="N34" s="3">
        <v>212</v>
      </c>
      <c r="O34" s="3">
        <v>480</v>
      </c>
      <c r="P34" s="3">
        <v>50</v>
      </c>
      <c r="Q34" s="3">
        <v>122</v>
      </c>
      <c r="R34" s="3">
        <v>150</v>
      </c>
      <c r="S34" s="3">
        <v>170</v>
      </c>
      <c r="T34" s="3">
        <v>87</v>
      </c>
      <c r="U34" s="3">
        <v>142</v>
      </c>
      <c r="V34" s="3">
        <v>229</v>
      </c>
      <c r="W34" s="3">
        <v>156</v>
      </c>
      <c r="X34" s="3">
        <v>92</v>
      </c>
      <c r="Y34" s="3">
        <v>16</v>
      </c>
      <c r="Z34" s="3">
        <v>116</v>
      </c>
      <c r="AA34" s="3">
        <v>157</v>
      </c>
      <c r="AB34" s="3">
        <v>724</v>
      </c>
      <c r="AC34" s="3">
        <v>0.435</v>
      </c>
      <c r="AD34" s="3">
        <v>0.442</v>
      </c>
      <c r="AE34" s="3">
        <v>0.41</v>
      </c>
      <c r="AF34" s="3">
        <v>0.88200000000000001</v>
      </c>
      <c r="AG34" s="3">
        <v>0.53500000000000003</v>
      </c>
      <c r="AH34" s="3">
        <v>0.47699999999999998</v>
      </c>
      <c r="AI34" s="3" t="s">
        <v>1080</v>
      </c>
    </row>
    <row r="36" spans="1:35" ht="30">
      <c r="A36" s="1" t="s">
        <v>1871</v>
      </c>
    </row>
    <row r="37" spans="1:35">
      <c r="B37" s="1" t="s">
        <v>3</v>
      </c>
      <c r="C37" s="1" t="s">
        <v>14</v>
      </c>
      <c r="D37" s="1" t="s">
        <v>7</v>
      </c>
      <c r="E37" s="1" t="s">
        <v>1824</v>
      </c>
      <c r="F37" s="1" t="s">
        <v>1825</v>
      </c>
      <c r="G37" s="1" t="s">
        <v>499</v>
      </c>
      <c r="H37" s="1" t="s">
        <v>6</v>
      </c>
      <c r="I37" s="1" t="s">
        <v>1826</v>
      </c>
      <c r="J37" s="1" t="s">
        <v>1827</v>
      </c>
      <c r="K37" s="1" t="s">
        <v>7</v>
      </c>
      <c r="L37" s="1" t="s">
        <v>1828</v>
      </c>
      <c r="M37" s="1" t="s">
        <v>1829</v>
      </c>
      <c r="N37" s="1" t="s">
        <v>1830</v>
      </c>
      <c r="O37" s="1" t="s">
        <v>1831</v>
      </c>
      <c r="P37" s="1" t="s">
        <v>1832</v>
      </c>
      <c r="Q37" s="1" t="s">
        <v>1833</v>
      </c>
      <c r="R37" s="1" t="s">
        <v>1834</v>
      </c>
      <c r="S37" s="1" t="s">
        <v>1835</v>
      </c>
      <c r="T37" s="1" t="s">
        <v>1836</v>
      </c>
      <c r="U37" s="1" t="s">
        <v>1837</v>
      </c>
      <c r="V37" s="1" t="s">
        <v>9</v>
      </c>
      <c r="W37" s="1" t="s">
        <v>10</v>
      </c>
      <c r="X37" s="1" t="s">
        <v>1838</v>
      </c>
      <c r="Y37" s="1" t="s">
        <v>1839</v>
      </c>
      <c r="Z37" s="1" t="s">
        <v>1840</v>
      </c>
      <c r="AA37" s="1" t="s">
        <v>1841</v>
      </c>
      <c r="AB37" s="1" t="s">
        <v>8</v>
      </c>
      <c r="AC37" s="1" t="s">
        <v>11</v>
      </c>
      <c r="AD37" s="1" t="s">
        <v>1842</v>
      </c>
      <c r="AE37" s="1" t="s">
        <v>12</v>
      </c>
      <c r="AF37" s="1" t="s">
        <v>13</v>
      </c>
      <c r="AG37" s="1" t="s">
        <v>1843</v>
      </c>
      <c r="AH37" s="1" t="s">
        <v>1844</v>
      </c>
      <c r="AI37" s="1" t="s">
        <v>500</v>
      </c>
    </row>
    <row r="38" spans="1:35">
      <c r="B38" s="3" t="s">
        <v>1678</v>
      </c>
      <c r="C38" s="3">
        <v>10.199999999999999</v>
      </c>
      <c r="D38" s="3">
        <v>2484</v>
      </c>
      <c r="E38" s="3" t="s">
        <v>1872</v>
      </c>
      <c r="F38" s="3">
        <v>26</v>
      </c>
      <c r="G38" s="3" t="s">
        <v>163</v>
      </c>
      <c r="H38" s="3">
        <v>82</v>
      </c>
      <c r="I38" s="3">
        <v>56</v>
      </c>
      <c r="J38" s="3">
        <v>0</v>
      </c>
      <c r="K38" s="3">
        <v>2484</v>
      </c>
      <c r="L38" s="3">
        <v>367</v>
      </c>
      <c r="M38" s="3">
        <v>707</v>
      </c>
      <c r="N38" s="3">
        <v>288</v>
      </c>
      <c r="O38" s="3">
        <v>523</v>
      </c>
      <c r="P38" s="3">
        <v>79</v>
      </c>
      <c r="Q38" s="3">
        <v>184</v>
      </c>
      <c r="R38" s="3">
        <v>109</v>
      </c>
      <c r="S38" s="3">
        <v>120</v>
      </c>
      <c r="T38" s="3">
        <v>34</v>
      </c>
      <c r="U38" s="3">
        <v>202</v>
      </c>
      <c r="V38" s="3">
        <v>236</v>
      </c>
      <c r="W38" s="3">
        <v>678</v>
      </c>
      <c r="X38" s="3">
        <v>87</v>
      </c>
      <c r="Y38" s="3">
        <v>6</v>
      </c>
      <c r="Z38" s="3">
        <v>126</v>
      </c>
      <c r="AA38" s="3">
        <v>134</v>
      </c>
      <c r="AB38" s="3">
        <v>922</v>
      </c>
      <c r="AC38" s="3">
        <v>0.51900000000000002</v>
      </c>
      <c r="AD38" s="3">
        <v>0.55100000000000005</v>
      </c>
      <c r="AE38" s="3">
        <v>0.42899999999999999</v>
      </c>
      <c r="AF38" s="3">
        <v>0.90800000000000003</v>
      </c>
      <c r="AG38" s="3">
        <v>0.60699999999999998</v>
      </c>
      <c r="AH38" s="3">
        <v>0.57499999999999996</v>
      </c>
      <c r="AI38" s="3" t="s">
        <v>6</v>
      </c>
    </row>
    <row r="39" spans="1:35">
      <c r="B39" s="3" t="s">
        <v>1679</v>
      </c>
      <c r="C39" s="3">
        <v>6.4</v>
      </c>
      <c r="D39" s="3">
        <v>1714</v>
      </c>
      <c r="E39" s="3" t="s">
        <v>1854</v>
      </c>
      <c r="F39" s="3">
        <v>23</v>
      </c>
      <c r="G39" s="3" t="s">
        <v>52</v>
      </c>
      <c r="H39" s="3">
        <v>78</v>
      </c>
      <c r="I39" s="3">
        <v>43</v>
      </c>
      <c r="J39" s="3">
        <v>0</v>
      </c>
      <c r="K39" s="3">
        <v>1714</v>
      </c>
      <c r="L39" s="3">
        <v>192</v>
      </c>
      <c r="M39" s="3">
        <v>335</v>
      </c>
      <c r="N39" s="3">
        <v>192</v>
      </c>
      <c r="O39" s="3">
        <v>335</v>
      </c>
      <c r="P39" s="3">
        <v>0</v>
      </c>
      <c r="Q39" s="3">
        <v>0</v>
      </c>
      <c r="R39" s="3">
        <v>55</v>
      </c>
      <c r="S39" s="3">
        <v>89</v>
      </c>
      <c r="T39" s="3">
        <v>204</v>
      </c>
      <c r="U39" s="3">
        <v>317</v>
      </c>
      <c r="V39" s="3">
        <v>521</v>
      </c>
      <c r="W39" s="3">
        <v>47</v>
      </c>
      <c r="X39" s="3">
        <v>70</v>
      </c>
      <c r="Y39" s="3">
        <v>18</v>
      </c>
      <c r="Z39" s="3">
        <v>64</v>
      </c>
      <c r="AA39" s="3">
        <v>281</v>
      </c>
      <c r="AB39" s="3">
        <v>439</v>
      </c>
      <c r="AC39" s="3">
        <v>0.57299999999999995</v>
      </c>
      <c r="AD39" s="3">
        <v>0.57299999999999995</v>
      </c>
      <c r="AE39" s="2"/>
      <c r="AF39" s="3">
        <v>0.61799999999999999</v>
      </c>
      <c r="AG39" s="3">
        <v>0.58699999999999997</v>
      </c>
      <c r="AH39" s="3">
        <v>0.57299999999999995</v>
      </c>
      <c r="AI39" s="3" t="s">
        <v>1001</v>
      </c>
    </row>
    <row r="40" spans="1:35" ht="30">
      <c r="B40" s="3" t="s">
        <v>1680</v>
      </c>
      <c r="C40" s="3">
        <v>6.1</v>
      </c>
      <c r="D40" s="3">
        <v>1644</v>
      </c>
      <c r="E40" s="3" t="s">
        <v>1872</v>
      </c>
      <c r="F40" s="3">
        <v>32</v>
      </c>
      <c r="G40" s="3" t="s">
        <v>79</v>
      </c>
      <c r="H40" s="3">
        <v>82</v>
      </c>
      <c r="I40" s="3">
        <v>64</v>
      </c>
      <c r="J40" s="3">
        <v>0</v>
      </c>
      <c r="K40" s="3">
        <v>1644</v>
      </c>
      <c r="L40" s="3">
        <v>180</v>
      </c>
      <c r="M40" s="3">
        <v>296</v>
      </c>
      <c r="N40" s="3">
        <v>180</v>
      </c>
      <c r="O40" s="3">
        <v>295</v>
      </c>
      <c r="P40" s="3">
        <v>0</v>
      </c>
      <c r="Q40" s="3">
        <v>1</v>
      </c>
      <c r="R40" s="3">
        <v>37</v>
      </c>
      <c r="S40" s="3">
        <v>61</v>
      </c>
      <c r="T40" s="3">
        <v>153</v>
      </c>
      <c r="U40" s="3">
        <v>277</v>
      </c>
      <c r="V40" s="3">
        <v>430</v>
      </c>
      <c r="W40" s="3">
        <v>95</v>
      </c>
      <c r="X40" s="3">
        <v>37</v>
      </c>
      <c r="Y40" s="3">
        <v>20</v>
      </c>
      <c r="Z40" s="3">
        <v>51</v>
      </c>
      <c r="AA40" s="3">
        <v>203</v>
      </c>
      <c r="AB40" s="3">
        <v>397</v>
      </c>
      <c r="AC40" s="3">
        <v>0.60799999999999998</v>
      </c>
      <c r="AD40" s="3">
        <v>0.61</v>
      </c>
      <c r="AE40" s="3">
        <v>0</v>
      </c>
      <c r="AF40" s="3">
        <v>0.60699999999999998</v>
      </c>
      <c r="AG40" s="3">
        <v>0.61499999999999999</v>
      </c>
      <c r="AH40" s="3">
        <v>0.60799999999999998</v>
      </c>
      <c r="AI40" s="3" t="s">
        <v>846</v>
      </c>
    </row>
    <row r="41" spans="1:35" ht="30">
      <c r="B41" s="3" t="s">
        <v>1681</v>
      </c>
      <c r="C41" s="3">
        <v>3.3</v>
      </c>
      <c r="D41" s="3">
        <v>1557</v>
      </c>
      <c r="E41" s="3" t="s">
        <v>1846</v>
      </c>
      <c r="F41" s="3">
        <v>29</v>
      </c>
      <c r="G41" s="3" t="s">
        <v>41</v>
      </c>
      <c r="H41" s="3">
        <v>75</v>
      </c>
      <c r="I41" s="3">
        <v>15</v>
      </c>
      <c r="J41" s="3">
        <v>0</v>
      </c>
      <c r="K41" s="3">
        <v>1557</v>
      </c>
      <c r="L41" s="3">
        <v>170</v>
      </c>
      <c r="M41" s="3">
        <v>429</v>
      </c>
      <c r="N41" s="3">
        <v>84</v>
      </c>
      <c r="O41" s="3">
        <v>193</v>
      </c>
      <c r="P41" s="3">
        <v>86</v>
      </c>
      <c r="Q41" s="3">
        <v>236</v>
      </c>
      <c r="R41" s="3">
        <v>121</v>
      </c>
      <c r="S41" s="3">
        <v>133</v>
      </c>
      <c r="T41" s="3">
        <v>19</v>
      </c>
      <c r="U41" s="3">
        <v>134</v>
      </c>
      <c r="V41" s="3">
        <v>153</v>
      </c>
      <c r="W41" s="3">
        <v>227</v>
      </c>
      <c r="X41" s="3">
        <v>40</v>
      </c>
      <c r="Y41" s="3">
        <v>4</v>
      </c>
      <c r="Z41" s="3">
        <v>116</v>
      </c>
      <c r="AA41" s="3">
        <v>108</v>
      </c>
      <c r="AB41" s="3">
        <v>547</v>
      </c>
      <c r="AC41" s="3">
        <v>0.39600000000000002</v>
      </c>
      <c r="AD41" s="3">
        <v>0.435</v>
      </c>
      <c r="AE41" s="3">
        <v>0.36399999999999999</v>
      </c>
      <c r="AF41" s="3">
        <v>0.91</v>
      </c>
      <c r="AG41" s="3">
        <v>0.56100000000000005</v>
      </c>
      <c r="AH41" s="3">
        <v>0.497</v>
      </c>
      <c r="AI41" s="3" t="s">
        <v>6</v>
      </c>
    </row>
    <row r="42" spans="1:35" ht="30">
      <c r="B42" s="3" t="s">
        <v>1682</v>
      </c>
      <c r="C42" s="3">
        <v>3</v>
      </c>
      <c r="D42" s="3">
        <v>884</v>
      </c>
      <c r="E42" s="3" t="s">
        <v>1859</v>
      </c>
      <c r="F42" s="3">
        <v>27</v>
      </c>
      <c r="G42" s="3" t="s">
        <v>20</v>
      </c>
      <c r="H42" s="3">
        <v>62</v>
      </c>
      <c r="I42" s="3">
        <v>6</v>
      </c>
      <c r="J42" s="3">
        <v>0</v>
      </c>
      <c r="K42" s="3">
        <v>884</v>
      </c>
      <c r="L42" s="3">
        <v>117</v>
      </c>
      <c r="M42" s="3">
        <v>221</v>
      </c>
      <c r="N42" s="3">
        <v>104</v>
      </c>
      <c r="O42" s="3">
        <v>181</v>
      </c>
      <c r="P42" s="3">
        <v>13</v>
      </c>
      <c r="Q42" s="3">
        <v>40</v>
      </c>
      <c r="R42" s="3">
        <v>67</v>
      </c>
      <c r="S42" s="3">
        <v>78</v>
      </c>
      <c r="T42" s="3">
        <v>89</v>
      </c>
      <c r="U42" s="3">
        <v>161</v>
      </c>
      <c r="V42" s="3">
        <v>250</v>
      </c>
      <c r="W42" s="3">
        <v>17</v>
      </c>
      <c r="X42" s="3">
        <v>26</v>
      </c>
      <c r="Y42" s="3">
        <v>28</v>
      </c>
      <c r="Z42" s="3">
        <v>36</v>
      </c>
      <c r="AA42" s="3">
        <v>110</v>
      </c>
      <c r="AB42" s="3">
        <v>314</v>
      </c>
      <c r="AC42" s="3">
        <v>0.52900000000000003</v>
      </c>
      <c r="AD42" s="3">
        <v>0.57499999999999996</v>
      </c>
      <c r="AE42" s="3">
        <v>0.32500000000000001</v>
      </c>
      <c r="AF42" s="3">
        <v>0.85899999999999999</v>
      </c>
      <c r="AG42" s="3">
        <v>0.61499999999999999</v>
      </c>
      <c r="AH42" s="3">
        <v>0.55900000000000005</v>
      </c>
      <c r="AI42" s="3" t="s">
        <v>506</v>
      </c>
    </row>
    <row r="43" spans="1:35">
      <c r="B43" s="3" t="s">
        <v>1683</v>
      </c>
      <c r="C43" s="3">
        <v>2.7</v>
      </c>
      <c r="D43" s="3">
        <v>1744</v>
      </c>
      <c r="E43" s="3" t="s">
        <v>1873</v>
      </c>
      <c r="F43" s="3">
        <v>32</v>
      </c>
      <c r="G43" s="3" t="s">
        <v>47</v>
      </c>
      <c r="H43" s="3">
        <v>74</v>
      </c>
      <c r="I43" s="3">
        <v>19</v>
      </c>
      <c r="J43" s="3">
        <v>0</v>
      </c>
      <c r="K43" s="3">
        <v>1744</v>
      </c>
      <c r="L43" s="3">
        <v>195</v>
      </c>
      <c r="M43" s="3">
        <v>440</v>
      </c>
      <c r="N43" s="3">
        <v>122</v>
      </c>
      <c r="O43" s="3">
        <v>230</v>
      </c>
      <c r="P43" s="3">
        <v>73</v>
      </c>
      <c r="Q43" s="3">
        <v>210</v>
      </c>
      <c r="R43" s="3">
        <v>82</v>
      </c>
      <c r="S43" s="3">
        <v>101</v>
      </c>
      <c r="T43" s="3">
        <v>31</v>
      </c>
      <c r="U43" s="3">
        <v>173</v>
      </c>
      <c r="V43" s="3">
        <v>204</v>
      </c>
      <c r="W43" s="3">
        <v>83</v>
      </c>
      <c r="X43" s="3">
        <v>56</v>
      </c>
      <c r="Y43" s="3">
        <v>5</v>
      </c>
      <c r="Z43" s="3">
        <v>60</v>
      </c>
      <c r="AA43" s="3">
        <v>148</v>
      </c>
      <c r="AB43" s="3">
        <v>545</v>
      </c>
      <c r="AC43" s="3">
        <v>0.443</v>
      </c>
      <c r="AD43" s="3">
        <v>0.53</v>
      </c>
      <c r="AE43" s="3">
        <v>0.34799999999999998</v>
      </c>
      <c r="AF43" s="3">
        <v>0.81200000000000006</v>
      </c>
      <c r="AG43" s="3">
        <v>0.56299999999999994</v>
      </c>
      <c r="AH43" s="3">
        <v>0.52600000000000002</v>
      </c>
      <c r="AI43" s="3" t="s">
        <v>722</v>
      </c>
    </row>
    <row r="44" spans="1:35">
      <c r="B44" s="3" t="s">
        <v>1684</v>
      </c>
      <c r="C44" s="3">
        <v>1.9</v>
      </c>
      <c r="D44" s="3">
        <v>1667</v>
      </c>
      <c r="E44" s="3" t="s">
        <v>1861</v>
      </c>
      <c r="F44" s="3">
        <v>27</v>
      </c>
      <c r="G44" s="3" t="s">
        <v>34</v>
      </c>
      <c r="H44" s="3">
        <v>63</v>
      </c>
      <c r="I44" s="3">
        <v>20</v>
      </c>
      <c r="J44" s="3">
        <v>0</v>
      </c>
      <c r="K44" s="3">
        <v>1667</v>
      </c>
      <c r="L44" s="3">
        <v>237</v>
      </c>
      <c r="M44" s="3">
        <v>534</v>
      </c>
      <c r="N44" s="3">
        <v>225</v>
      </c>
      <c r="O44" s="3">
        <v>479</v>
      </c>
      <c r="P44" s="3">
        <v>12</v>
      </c>
      <c r="Q44" s="3">
        <v>55</v>
      </c>
      <c r="R44" s="3">
        <v>142</v>
      </c>
      <c r="S44" s="3">
        <v>178</v>
      </c>
      <c r="T44" s="3">
        <v>24</v>
      </c>
      <c r="U44" s="3">
        <v>118</v>
      </c>
      <c r="V44" s="3">
        <v>142</v>
      </c>
      <c r="W44" s="3">
        <v>283</v>
      </c>
      <c r="X44" s="3">
        <v>55</v>
      </c>
      <c r="Y44" s="3">
        <v>7</v>
      </c>
      <c r="Z44" s="3">
        <v>115</v>
      </c>
      <c r="AA44" s="3">
        <v>143</v>
      </c>
      <c r="AB44" s="3">
        <v>628</v>
      </c>
      <c r="AC44" s="3">
        <v>0.44400000000000001</v>
      </c>
      <c r="AD44" s="3">
        <v>0.47</v>
      </c>
      <c r="AE44" s="3">
        <v>0.218</v>
      </c>
      <c r="AF44" s="3">
        <v>0.79800000000000004</v>
      </c>
      <c r="AG44" s="3">
        <v>0.51300000000000001</v>
      </c>
      <c r="AH44" s="3">
        <v>0.45500000000000002</v>
      </c>
      <c r="AI44" s="3" t="s">
        <v>6</v>
      </c>
    </row>
    <row r="46" spans="1:35" ht="30">
      <c r="A46" s="1" t="s">
        <v>1874</v>
      </c>
    </row>
    <row r="47" spans="1:35">
      <c r="B47" s="1" t="s">
        <v>3</v>
      </c>
      <c r="C47" s="1" t="s">
        <v>14</v>
      </c>
      <c r="D47" s="1" t="s">
        <v>7</v>
      </c>
      <c r="E47" s="1" t="s">
        <v>1824</v>
      </c>
      <c r="F47" s="1" t="s">
        <v>1825</v>
      </c>
      <c r="G47" s="1" t="s">
        <v>499</v>
      </c>
      <c r="H47" s="1" t="s">
        <v>6</v>
      </c>
      <c r="I47" s="1" t="s">
        <v>1826</v>
      </c>
      <c r="J47" s="1" t="s">
        <v>1827</v>
      </c>
      <c r="K47" s="1" t="s">
        <v>7</v>
      </c>
      <c r="L47" s="1" t="s">
        <v>1828</v>
      </c>
      <c r="M47" s="1" t="s">
        <v>1829</v>
      </c>
      <c r="N47" s="1" t="s">
        <v>1830</v>
      </c>
      <c r="O47" s="1" t="s">
        <v>1831</v>
      </c>
      <c r="P47" s="1" t="s">
        <v>1832</v>
      </c>
      <c r="Q47" s="1" t="s">
        <v>1833</v>
      </c>
      <c r="R47" s="1" t="s">
        <v>1834</v>
      </c>
      <c r="S47" s="1" t="s">
        <v>1835</v>
      </c>
      <c r="T47" s="1" t="s">
        <v>1836</v>
      </c>
      <c r="U47" s="1" t="s">
        <v>1837</v>
      </c>
      <c r="V47" s="1" t="s">
        <v>9</v>
      </c>
      <c r="W47" s="1" t="s">
        <v>10</v>
      </c>
      <c r="X47" s="1" t="s">
        <v>1838</v>
      </c>
      <c r="Y47" s="1" t="s">
        <v>1839</v>
      </c>
      <c r="Z47" s="1" t="s">
        <v>1840</v>
      </c>
      <c r="AA47" s="1" t="s">
        <v>1841</v>
      </c>
      <c r="AB47" s="1" t="s">
        <v>8</v>
      </c>
      <c r="AC47" s="1" t="s">
        <v>11</v>
      </c>
      <c r="AD47" s="1" t="s">
        <v>1842</v>
      </c>
      <c r="AE47" s="1" t="s">
        <v>12</v>
      </c>
      <c r="AF47" s="1" t="s">
        <v>13</v>
      </c>
      <c r="AG47" s="1" t="s">
        <v>1843</v>
      </c>
      <c r="AH47" s="1" t="s">
        <v>1844</v>
      </c>
      <c r="AI47" s="1" t="s">
        <v>500</v>
      </c>
    </row>
    <row r="48" spans="1:35" ht="30">
      <c r="B48" s="3" t="s">
        <v>1610</v>
      </c>
      <c r="C48" s="3">
        <v>4.0999999999999996</v>
      </c>
      <c r="D48" s="3">
        <v>2375</v>
      </c>
      <c r="E48" s="3" t="s">
        <v>1859</v>
      </c>
      <c r="F48" s="3">
        <v>25</v>
      </c>
      <c r="G48" s="3" t="s">
        <v>25</v>
      </c>
      <c r="H48" s="3">
        <v>74</v>
      </c>
      <c r="I48" s="3">
        <v>51</v>
      </c>
      <c r="J48" s="3">
        <v>0</v>
      </c>
      <c r="K48" s="3">
        <v>2375</v>
      </c>
      <c r="L48" s="3">
        <v>392</v>
      </c>
      <c r="M48" s="3">
        <v>845</v>
      </c>
      <c r="N48" s="3">
        <v>298</v>
      </c>
      <c r="O48" s="3">
        <v>635</v>
      </c>
      <c r="P48" s="3">
        <v>94</v>
      </c>
      <c r="Q48" s="3">
        <v>210</v>
      </c>
      <c r="R48" s="3">
        <v>185</v>
      </c>
      <c r="S48" s="3">
        <v>229</v>
      </c>
      <c r="T48" s="3">
        <v>112</v>
      </c>
      <c r="U48" s="3">
        <v>258</v>
      </c>
      <c r="V48" s="3">
        <v>370</v>
      </c>
      <c r="W48" s="3">
        <v>117</v>
      </c>
      <c r="X48" s="3">
        <v>57</v>
      </c>
      <c r="Y48" s="3">
        <v>50</v>
      </c>
      <c r="Z48" s="3">
        <v>95</v>
      </c>
      <c r="AA48" s="3">
        <v>183</v>
      </c>
      <c r="AB48" s="3">
        <v>1063</v>
      </c>
      <c r="AC48" s="3">
        <v>0.46400000000000002</v>
      </c>
      <c r="AD48" s="3">
        <v>0.46899999999999997</v>
      </c>
      <c r="AE48" s="3">
        <v>0.44800000000000001</v>
      </c>
      <c r="AF48" s="3">
        <v>0.80800000000000005</v>
      </c>
      <c r="AG48" s="3">
        <v>0.56200000000000006</v>
      </c>
      <c r="AH48" s="3">
        <v>0.52</v>
      </c>
      <c r="AI48" s="3" t="s">
        <v>6</v>
      </c>
    </row>
    <row r="49" spans="1:35">
      <c r="B49" s="3" t="s">
        <v>1611</v>
      </c>
      <c r="C49" s="3">
        <v>3.3</v>
      </c>
      <c r="D49" s="3">
        <v>1603</v>
      </c>
      <c r="E49" s="3" t="s">
        <v>1875</v>
      </c>
      <c r="F49" s="3">
        <v>33</v>
      </c>
      <c r="G49" s="3" t="s">
        <v>20</v>
      </c>
      <c r="H49" s="3">
        <v>69</v>
      </c>
      <c r="I49" s="3">
        <v>11</v>
      </c>
      <c r="J49" s="3">
        <v>0</v>
      </c>
      <c r="K49" s="3">
        <v>1603</v>
      </c>
      <c r="L49" s="3">
        <v>303</v>
      </c>
      <c r="M49" s="3">
        <v>690</v>
      </c>
      <c r="N49" s="3">
        <v>188</v>
      </c>
      <c r="O49" s="3">
        <v>377</v>
      </c>
      <c r="P49" s="3">
        <v>115</v>
      </c>
      <c r="Q49" s="3">
        <v>313</v>
      </c>
      <c r="R49" s="3">
        <v>80</v>
      </c>
      <c r="S49" s="3">
        <v>102</v>
      </c>
      <c r="T49" s="3">
        <v>15</v>
      </c>
      <c r="U49" s="3">
        <v>186</v>
      </c>
      <c r="V49" s="3">
        <v>201</v>
      </c>
      <c r="W49" s="3">
        <v>434</v>
      </c>
      <c r="X49" s="3">
        <v>35</v>
      </c>
      <c r="Y49" s="3">
        <v>3</v>
      </c>
      <c r="Z49" s="3">
        <v>143</v>
      </c>
      <c r="AA49" s="3">
        <v>83</v>
      </c>
      <c r="AB49" s="3">
        <v>801</v>
      </c>
      <c r="AC49" s="3">
        <v>0.439</v>
      </c>
      <c r="AD49" s="3">
        <v>0.499</v>
      </c>
      <c r="AE49" s="3">
        <v>0.36699999999999999</v>
      </c>
      <c r="AF49" s="3">
        <v>0.78400000000000003</v>
      </c>
      <c r="AG49" s="3">
        <v>0.54500000000000004</v>
      </c>
      <c r="AH49" s="3">
        <v>0.52200000000000002</v>
      </c>
      <c r="AI49" s="3" t="s">
        <v>6</v>
      </c>
    </row>
    <row r="50" spans="1:35" ht="30">
      <c r="B50" s="3" t="s">
        <v>1612</v>
      </c>
      <c r="C50" s="3">
        <v>3</v>
      </c>
      <c r="D50" s="3">
        <v>1909</v>
      </c>
      <c r="E50" s="3" t="s">
        <v>1854</v>
      </c>
      <c r="F50" s="3">
        <v>29</v>
      </c>
      <c r="G50" s="3" t="s">
        <v>163</v>
      </c>
      <c r="H50" s="3">
        <v>67</v>
      </c>
      <c r="I50" s="3">
        <v>60</v>
      </c>
      <c r="J50" s="3">
        <v>0</v>
      </c>
      <c r="K50" s="3">
        <v>1909</v>
      </c>
      <c r="L50" s="3">
        <v>222</v>
      </c>
      <c r="M50" s="3">
        <v>529</v>
      </c>
      <c r="N50" s="3">
        <v>156</v>
      </c>
      <c r="O50" s="3">
        <v>336</v>
      </c>
      <c r="P50" s="3">
        <v>66</v>
      </c>
      <c r="Q50" s="3">
        <v>193</v>
      </c>
      <c r="R50" s="3">
        <v>57</v>
      </c>
      <c r="S50" s="3">
        <v>78</v>
      </c>
      <c r="T50" s="3">
        <v>48</v>
      </c>
      <c r="U50" s="3">
        <v>282</v>
      </c>
      <c r="V50" s="3">
        <v>330</v>
      </c>
      <c r="W50" s="3">
        <v>125</v>
      </c>
      <c r="X50" s="3">
        <v>78</v>
      </c>
      <c r="Y50" s="3">
        <v>15</v>
      </c>
      <c r="Z50" s="3">
        <v>64</v>
      </c>
      <c r="AA50" s="3">
        <v>90</v>
      </c>
      <c r="AB50" s="3">
        <v>567</v>
      </c>
      <c r="AC50" s="3">
        <v>0.42</v>
      </c>
      <c r="AD50" s="3">
        <v>0.46400000000000002</v>
      </c>
      <c r="AE50" s="3">
        <v>0.34200000000000003</v>
      </c>
      <c r="AF50" s="3">
        <v>0.73099999999999998</v>
      </c>
      <c r="AG50" s="3">
        <v>0.503</v>
      </c>
      <c r="AH50" s="3">
        <v>0.48199999999999998</v>
      </c>
      <c r="AI50" s="3" t="s">
        <v>506</v>
      </c>
    </row>
    <row r="51" spans="1:35" ht="30">
      <c r="B51" s="3" t="s">
        <v>1613</v>
      </c>
      <c r="C51" s="3">
        <v>2.9</v>
      </c>
      <c r="D51" s="3">
        <v>1168</v>
      </c>
      <c r="E51" s="3" t="s">
        <v>1861</v>
      </c>
      <c r="F51" s="3">
        <v>27</v>
      </c>
      <c r="G51" s="3" t="s">
        <v>323</v>
      </c>
      <c r="H51" s="3">
        <v>79</v>
      </c>
      <c r="I51" s="3">
        <v>0</v>
      </c>
      <c r="J51" s="3">
        <v>0</v>
      </c>
      <c r="K51" s="3">
        <v>1168</v>
      </c>
      <c r="L51" s="3">
        <v>152</v>
      </c>
      <c r="M51" s="3">
        <v>276</v>
      </c>
      <c r="N51" s="3">
        <v>152</v>
      </c>
      <c r="O51" s="3">
        <v>275</v>
      </c>
      <c r="P51" s="3">
        <v>0</v>
      </c>
      <c r="Q51" s="3">
        <v>1</v>
      </c>
      <c r="R51" s="3">
        <v>67</v>
      </c>
      <c r="S51" s="3">
        <v>123</v>
      </c>
      <c r="T51" s="3">
        <v>128</v>
      </c>
      <c r="U51" s="3">
        <v>218</v>
      </c>
      <c r="V51" s="3">
        <v>346</v>
      </c>
      <c r="W51" s="3">
        <v>31</v>
      </c>
      <c r="X51" s="3">
        <v>24</v>
      </c>
      <c r="Y51" s="3">
        <v>73</v>
      </c>
      <c r="Z51" s="3">
        <v>57</v>
      </c>
      <c r="AA51" s="3">
        <v>169</v>
      </c>
      <c r="AB51" s="3">
        <v>371</v>
      </c>
      <c r="AC51" s="3">
        <v>0.55100000000000005</v>
      </c>
      <c r="AD51" s="3">
        <v>0.55300000000000005</v>
      </c>
      <c r="AE51" s="3">
        <v>0</v>
      </c>
      <c r="AF51" s="3">
        <v>0.54500000000000004</v>
      </c>
      <c r="AG51" s="3">
        <v>0.56200000000000006</v>
      </c>
      <c r="AH51" s="3">
        <v>0.55100000000000005</v>
      </c>
      <c r="AI51" s="3" t="s">
        <v>1001</v>
      </c>
    </row>
    <row r="52" spans="1:35">
      <c r="B52" s="3" t="s">
        <v>1614</v>
      </c>
      <c r="C52" s="3">
        <v>2.6</v>
      </c>
      <c r="D52" s="3">
        <v>1340</v>
      </c>
      <c r="E52" s="3" t="s">
        <v>1872</v>
      </c>
      <c r="F52" s="3">
        <v>24</v>
      </c>
      <c r="G52" s="3" t="s">
        <v>72</v>
      </c>
      <c r="H52" s="3">
        <v>60</v>
      </c>
      <c r="I52" s="3">
        <v>25</v>
      </c>
      <c r="J52" s="3">
        <v>0</v>
      </c>
      <c r="K52" s="3">
        <v>1340</v>
      </c>
      <c r="L52" s="3">
        <v>158</v>
      </c>
      <c r="M52" s="3">
        <v>373</v>
      </c>
      <c r="N52" s="3">
        <v>94</v>
      </c>
      <c r="O52" s="3">
        <v>214</v>
      </c>
      <c r="P52" s="3">
        <v>64</v>
      </c>
      <c r="Q52" s="3">
        <v>159</v>
      </c>
      <c r="R52" s="3">
        <v>85</v>
      </c>
      <c r="S52" s="3">
        <v>98</v>
      </c>
      <c r="T52" s="3">
        <v>11</v>
      </c>
      <c r="U52" s="3">
        <v>107</v>
      </c>
      <c r="V52" s="3">
        <v>118</v>
      </c>
      <c r="W52" s="3">
        <v>178</v>
      </c>
      <c r="X52" s="3">
        <v>46</v>
      </c>
      <c r="Y52" s="3">
        <v>4</v>
      </c>
      <c r="Z52" s="3">
        <v>55</v>
      </c>
      <c r="AA52" s="3">
        <v>90</v>
      </c>
      <c r="AB52" s="3">
        <v>465</v>
      </c>
      <c r="AC52" s="3">
        <v>0.42399999999999999</v>
      </c>
      <c r="AD52" s="3">
        <v>0.439</v>
      </c>
      <c r="AE52" s="3">
        <v>0.40300000000000002</v>
      </c>
      <c r="AF52" s="3">
        <v>0.86699999999999999</v>
      </c>
      <c r="AG52" s="3">
        <v>0.55900000000000005</v>
      </c>
      <c r="AH52" s="3">
        <v>0.50900000000000001</v>
      </c>
      <c r="AI52" s="3" t="s">
        <v>6</v>
      </c>
    </row>
    <row r="53" spans="1:35" ht="30">
      <c r="B53" s="3" t="s">
        <v>1615</v>
      </c>
      <c r="C53" s="3">
        <v>2.4</v>
      </c>
      <c r="D53" s="3">
        <v>936</v>
      </c>
      <c r="E53" s="3" t="s">
        <v>1854</v>
      </c>
      <c r="F53" s="3">
        <v>27</v>
      </c>
      <c r="G53" s="3" t="s">
        <v>1095</v>
      </c>
      <c r="H53" s="3">
        <v>48</v>
      </c>
      <c r="I53" s="3">
        <v>12</v>
      </c>
      <c r="J53" s="3">
        <v>0</v>
      </c>
      <c r="K53" s="3">
        <v>936</v>
      </c>
      <c r="L53" s="3">
        <v>174</v>
      </c>
      <c r="M53" s="3">
        <v>330</v>
      </c>
      <c r="N53" s="3">
        <v>121</v>
      </c>
      <c r="O53" s="3">
        <v>215</v>
      </c>
      <c r="P53" s="3">
        <v>53</v>
      </c>
      <c r="Q53" s="3">
        <v>115</v>
      </c>
      <c r="R53" s="3">
        <v>41</v>
      </c>
      <c r="S53" s="3">
        <v>53</v>
      </c>
      <c r="T53" s="3">
        <v>28</v>
      </c>
      <c r="U53" s="3">
        <v>111</v>
      </c>
      <c r="V53" s="3">
        <v>139</v>
      </c>
      <c r="W53" s="3">
        <v>26</v>
      </c>
      <c r="X53" s="3">
        <v>17</v>
      </c>
      <c r="Y53" s="3">
        <v>7</v>
      </c>
      <c r="Z53" s="3">
        <v>32</v>
      </c>
      <c r="AA53" s="3">
        <v>76</v>
      </c>
      <c r="AB53" s="3">
        <v>442</v>
      </c>
      <c r="AC53" s="3">
        <v>0.52700000000000002</v>
      </c>
      <c r="AD53" s="3">
        <v>0.56299999999999994</v>
      </c>
      <c r="AE53" s="3">
        <v>0.46100000000000002</v>
      </c>
      <c r="AF53" s="3">
        <v>0.77400000000000002</v>
      </c>
      <c r="AG53" s="3">
        <v>0.625</v>
      </c>
      <c r="AH53" s="3">
        <v>0.60799999999999998</v>
      </c>
      <c r="AI53" s="3" t="s">
        <v>506</v>
      </c>
    </row>
    <row r="54" spans="1:35" ht="30">
      <c r="B54" s="3" t="s">
        <v>1616</v>
      </c>
      <c r="C54" s="3">
        <v>0.5</v>
      </c>
      <c r="D54" s="3">
        <v>1177</v>
      </c>
      <c r="E54" s="3" t="s">
        <v>1854</v>
      </c>
      <c r="F54" s="3">
        <v>24</v>
      </c>
      <c r="G54" s="3" t="s">
        <v>23</v>
      </c>
      <c r="H54" s="3">
        <v>64</v>
      </c>
      <c r="I54" s="3">
        <v>19</v>
      </c>
      <c r="J54" s="3">
        <v>0</v>
      </c>
      <c r="K54" s="3">
        <v>1177</v>
      </c>
      <c r="L54" s="3">
        <v>100</v>
      </c>
      <c r="M54" s="3">
        <v>292</v>
      </c>
      <c r="N54" s="3">
        <v>51</v>
      </c>
      <c r="O54" s="3">
        <v>122</v>
      </c>
      <c r="P54" s="3">
        <v>49</v>
      </c>
      <c r="Q54" s="3">
        <v>170</v>
      </c>
      <c r="R54" s="3">
        <v>35</v>
      </c>
      <c r="S54" s="3">
        <v>53</v>
      </c>
      <c r="T54" s="3">
        <v>27</v>
      </c>
      <c r="U54" s="3">
        <v>83</v>
      </c>
      <c r="V54" s="3">
        <v>110</v>
      </c>
      <c r="W54" s="3">
        <v>55</v>
      </c>
      <c r="X54" s="3">
        <v>30</v>
      </c>
      <c r="Y54" s="3">
        <v>7</v>
      </c>
      <c r="Z54" s="3">
        <v>37</v>
      </c>
      <c r="AA54" s="3">
        <v>132</v>
      </c>
      <c r="AB54" s="3">
        <v>284</v>
      </c>
      <c r="AC54" s="3">
        <v>0.34200000000000003</v>
      </c>
      <c r="AD54" s="3">
        <v>0.41799999999999998</v>
      </c>
      <c r="AE54" s="3">
        <v>0.28799999999999998</v>
      </c>
      <c r="AF54" s="3">
        <v>0.66</v>
      </c>
      <c r="AG54" s="3">
        <v>0.45</v>
      </c>
      <c r="AH54" s="3">
        <v>0.42599999999999999</v>
      </c>
      <c r="AI54" s="3" t="s">
        <v>722</v>
      </c>
    </row>
    <row r="56" spans="1:35" ht="30">
      <c r="A56" s="1" t="s">
        <v>1876</v>
      </c>
    </row>
    <row r="57" spans="1:35">
      <c r="B57" s="1" t="s">
        <v>3</v>
      </c>
      <c r="C57" s="1" t="s">
        <v>14</v>
      </c>
      <c r="D57" s="1" t="s">
        <v>7</v>
      </c>
      <c r="E57" s="1" t="s">
        <v>1824</v>
      </c>
      <c r="F57" s="1" t="s">
        <v>1825</v>
      </c>
      <c r="G57" s="1" t="s">
        <v>499</v>
      </c>
      <c r="H57" s="1" t="s">
        <v>6</v>
      </c>
      <c r="I57" s="1" t="s">
        <v>1826</v>
      </c>
      <c r="J57" s="1" t="s">
        <v>1827</v>
      </c>
      <c r="K57" s="1" t="s">
        <v>7</v>
      </c>
      <c r="L57" s="1" t="s">
        <v>1828</v>
      </c>
      <c r="M57" s="1" t="s">
        <v>1829</v>
      </c>
      <c r="N57" s="1" t="s">
        <v>1830</v>
      </c>
      <c r="O57" s="1" t="s">
        <v>1831</v>
      </c>
      <c r="P57" s="1" t="s">
        <v>1832</v>
      </c>
      <c r="Q57" s="1" t="s">
        <v>1833</v>
      </c>
      <c r="R57" s="1" t="s">
        <v>1834</v>
      </c>
      <c r="S57" s="1" t="s">
        <v>1835</v>
      </c>
      <c r="T57" s="1" t="s">
        <v>1836</v>
      </c>
      <c r="U57" s="1" t="s">
        <v>1837</v>
      </c>
      <c r="V57" s="1" t="s">
        <v>9</v>
      </c>
      <c r="W57" s="1" t="s">
        <v>10</v>
      </c>
      <c r="X57" s="1" t="s">
        <v>1838</v>
      </c>
      <c r="Y57" s="1" t="s">
        <v>1839</v>
      </c>
      <c r="Z57" s="1" t="s">
        <v>1840</v>
      </c>
      <c r="AA57" s="1" t="s">
        <v>1841</v>
      </c>
      <c r="AB57" s="1" t="s">
        <v>8</v>
      </c>
      <c r="AC57" s="1" t="s">
        <v>11</v>
      </c>
      <c r="AD57" s="1" t="s">
        <v>1842</v>
      </c>
      <c r="AE57" s="1" t="s">
        <v>12</v>
      </c>
      <c r="AF57" s="1" t="s">
        <v>13</v>
      </c>
      <c r="AG57" s="1" t="s">
        <v>1843</v>
      </c>
      <c r="AH57" s="1" t="s">
        <v>1844</v>
      </c>
      <c r="AI57" s="1" t="s">
        <v>500</v>
      </c>
    </row>
    <row r="58" spans="1:35">
      <c r="B58" s="3" t="s">
        <v>1546</v>
      </c>
      <c r="C58" s="3">
        <v>5.7</v>
      </c>
      <c r="D58" s="3">
        <v>2166</v>
      </c>
      <c r="E58" s="3" t="s">
        <v>1872</v>
      </c>
      <c r="F58" s="3">
        <v>27</v>
      </c>
      <c r="G58" s="3" t="s">
        <v>163</v>
      </c>
      <c r="H58" s="3">
        <v>78</v>
      </c>
      <c r="I58" s="3">
        <v>75</v>
      </c>
      <c r="J58" s="3">
        <v>0</v>
      </c>
      <c r="K58" s="3">
        <v>2166</v>
      </c>
      <c r="L58" s="3">
        <v>279</v>
      </c>
      <c r="M58" s="3">
        <v>575</v>
      </c>
      <c r="N58" s="3">
        <v>239</v>
      </c>
      <c r="O58" s="3">
        <v>453</v>
      </c>
      <c r="P58" s="3">
        <v>40</v>
      </c>
      <c r="Q58" s="3">
        <v>122</v>
      </c>
      <c r="R58" s="3">
        <v>63</v>
      </c>
      <c r="S58" s="3">
        <v>85</v>
      </c>
      <c r="T58" s="3">
        <v>92</v>
      </c>
      <c r="U58" s="3">
        <v>392</v>
      </c>
      <c r="V58" s="3">
        <v>484</v>
      </c>
      <c r="W58" s="3">
        <v>90</v>
      </c>
      <c r="X58" s="3">
        <v>80</v>
      </c>
      <c r="Y58" s="3">
        <v>108</v>
      </c>
      <c r="Z58" s="3">
        <v>51</v>
      </c>
      <c r="AA58" s="3">
        <v>152</v>
      </c>
      <c r="AB58" s="3">
        <v>661</v>
      </c>
      <c r="AC58" s="3">
        <v>0.48499999999999999</v>
      </c>
      <c r="AD58" s="3">
        <v>0.52800000000000002</v>
      </c>
      <c r="AE58" s="3">
        <v>0.32800000000000001</v>
      </c>
      <c r="AF58" s="3">
        <v>0.74099999999999999</v>
      </c>
      <c r="AG58" s="3">
        <v>0.54</v>
      </c>
      <c r="AH58" s="3">
        <v>0.52</v>
      </c>
      <c r="AI58" s="3" t="s">
        <v>506</v>
      </c>
    </row>
    <row r="59" spans="1:35">
      <c r="B59" s="3" t="s">
        <v>1547</v>
      </c>
      <c r="C59" s="3">
        <v>4</v>
      </c>
      <c r="D59" s="3">
        <v>1422</v>
      </c>
      <c r="E59" s="3" t="s">
        <v>1873</v>
      </c>
      <c r="F59" s="3">
        <v>30</v>
      </c>
      <c r="G59" s="3" t="s">
        <v>41</v>
      </c>
      <c r="H59" s="3">
        <v>57</v>
      </c>
      <c r="I59" s="3">
        <v>21</v>
      </c>
      <c r="J59" s="3">
        <v>0</v>
      </c>
      <c r="K59" s="3">
        <v>1422</v>
      </c>
      <c r="L59" s="3">
        <v>181</v>
      </c>
      <c r="M59" s="3">
        <v>417</v>
      </c>
      <c r="N59" s="3">
        <v>111</v>
      </c>
      <c r="O59" s="3">
        <v>242</v>
      </c>
      <c r="P59" s="3">
        <v>70</v>
      </c>
      <c r="Q59" s="3">
        <v>175</v>
      </c>
      <c r="R59" s="3">
        <v>138</v>
      </c>
      <c r="S59" s="3">
        <v>167</v>
      </c>
      <c r="T59" s="3">
        <v>18</v>
      </c>
      <c r="U59" s="3">
        <v>145</v>
      </c>
      <c r="V59" s="3">
        <v>163</v>
      </c>
      <c r="W59" s="3">
        <v>208</v>
      </c>
      <c r="X59" s="3">
        <v>57</v>
      </c>
      <c r="Y59" s="3">
        <v>9</v>
      </c>
      <c r="Z59" s="3">
        <v>100</v>
      </c>
      <c r="AA59" s="3">
        <v>107</v>
      </c>
      <c r="AB59" s="3">
        <v>570</v>
      </c>
      <c r="AC59" s="3">
        <v>0.434</v>
      </c>
      <c r="AD59" s="3">
        <v>0.45900000000000002</v>
      </c>
      <c r="AE59" s="3">
        <v>0.4</v>
      </c>
      <c r="AF59" s="3">
        <v>0.82599999999999996</v>
      </c>
      <c r="AG59" s="3">
        <v>0.58099999999999996</v>
      </c>
      <c r="AH59" s="3">
        <v>0.51800000000000002</v>
      </c>
      <c r="AI59" s="3" t="s">
        <v>6</v>
      </c>
    </row>
    <row r="60" spans="1:35">
      <c r="B60" s="3" t="s">
        <v>1548</v>
      </c>
      <c r="C60" s="3">
        <v>3.4</v>
      </c>
      <c r="D60" s="3">
        <v>1349</v>
      </c>
      <c r="E60" s="3" t="s">
        <v>1877</v>
      </c>
      <c r="F60" s="3">
        <v>29</v>
      </c>
      <c r="G60" s="3" t="s">
        <v>72</v>
      </c>
      <c r="H60" s="3">
        <v>64</v>
      </c>
      <c r="I60" s="3">
        <v>51</v>
      </c>
      <c r="J60" s="3">
        <v>0</v>
      </c>
      <c r="K60" s="3">
        <v>1349</v>
      </c>
      <c r="L60" s="3">
        <v>85</v>
      </c>
      <c r="M60" s="3">
        <v>152</v>
      </c>
      <c r="N60" s="3">
        <v>85</v>
      </c>
      <c r="O60" s="3">
        <v>152</v>
      </c>
      <c r="P60" s="3">
        <v>0</v>
      </c>
      <c r="Q60" s="3">
        <v>0</v>
      </c>
      <c r="R60" s="3">
        <v>49</v>
      </c>
      <c r="S60" s="3">
        <v>71</v>
      </c>
      <c r="T60" s="3">
        <v>100</v>
      </c>
      <c r="U60" s="3">
        <v>150</v>
      </c>
      <c r="V60" s="3">
        <v>250</v>
      </c>
      <c r="W60" s="3">
        <v>9</v>
      </c>
      <c r="X60" s="3">
        <v>36</v>
      </c>
      <c r="Y60" s="3">
        <v>84</v>
      </c>
      <c r="Z60" s="3">
        <v>45</v>
      </c>
      <c r="AA60" s="3">
        <v>126</v>
      </c>
      <c r="AB60" s="3">
        <v>219</v>
      </c>
      <c r="AC60" s="3">
        <v>0.55900000000000005</v>
      </c>
      <c r="AD60" s="3">
        <v>0.55900000000000005</v>
      </c>
      <c r="AE60" s="2"/>
      <c r="AF60" s="3">
        <v>0.69</v>
      </c>
      <c r="AG60" s="3">
        <v>0.59799999999999998</v>
      </c>
      <c r="AH60" s="3">
        <v>0.55900000000000005</v>
      </c>
      <c r="AI60" s="3" t="s">
        <v>570</v>
      </c>
    </row>
    <row r="62" spans="1:35" ht="30">
      <c r="A62" s="1" t="s">
        <v>1878</v>
      </c>
    </row>
    <row r="63" spans="1:35">
      <c r="B63" s="1" t="s">
        <v>3</v>
      </c>
      <c r="C63" s="1" t="s">
        <v>14</v>
      </c>
      <c r="D63" s="1" t="s">
        <v>7</v>
      </c>
      <c r="E63" s="1" t="s">
        <v>1824</v>
      </c>
      <c r="F63" s="1" t="s">
        <v>1825</v>
      </c>
      <c r="G63" s="1" t="s">
        <v>499</v>
      </c>
      <c r="H63" s="1" t="s">
        <v>6</v>
      </c>
      <c r="I63" s="1" t="s">
        <v>1826</v>
      </c>
      <c r="J63" s="1" t="s">
        <v>1827</v>
      </c>
      <c r="K63" s="1" t="s">
        <v>7</v>
      </c>
      <c r="L63" s="1" t="s">
        <v>1828</v>
      </c>
      <c r="M63" s="1" t="s">
        <v>1829</v>
      </c>
      <c r="N63" s="1" t="s">
        <v>1830</v>
      </c>
      <c r="O63" s="1" t="s">
        <v>1831</v>
      </c>
      <c r="P63" s="1" t="s">
        <v>1832</v>
      </c>
      <c r="Q63" s="1" t="s">
        <v>1833</v>
      </c>
      <c r="R63" s="1" t="s">
        <v>1834</v>
      </c>
      <c r="S63" s="1" t="s">
        <v>1835</v>
      </c>
      <c r="T63" s="1" t="s">
        <v>1836</v>
      </c>
      <c r="U63" s="1" t="s">
        <v>1837</v>
      </c>
      <c r="V63" s="1" t="s">
        <v>9</v>
      </c>
      <c r="W63" s="1" t="s">
        <v>10</v>
      </c>
      <c r="X63" s="1" t="s">
        <v>1838</v>
      </c>
      <c r="Y63" s="1" t="s">
        <v>1839</v>
      </c>
      <c r="Z63" s="1" t="s">
        <v>1840</v>
      </c>
      <c r="AA63" s="1" t="s">
        <v>1841</v>
      </c>
      <c r="AB63" s="1" t="s">
        <v>8</v>
      </c>
      <c r="AC63" s="1" t="s">
        <v>11</v>
      </c>
      <c r="AD63" s="1" t="s">
        <v>1842</v>
      </c>
      <c r="AE63" s="1" t="s">
        <v>12</v>
      </c>
      <c r="AF63" s="1" t="s">
        <v>13</v>
      </c>
      <c r="AG63" s="1" t="s">
        <v>1843</v>
      </c>
      <c r="AH63" s="1" t="s">
        <v>1844</v>
      </c>
      <c r="AI63" s="1" t="s">
        <v>500</v>
      </c>
    </row>
    <row r="64" spans="1:35" ht="30">
      <c r="B64" s="3" t="s">
        <v>1511</v>
      </c>
      <c r="C64" s="3">
        <v>5.7</v>
      </c>
      <c r="D64" s="3">
        <v>1806</v>
      </c>
      <c r="E64" s="3" t="s">
        <v>1873</v>
      </c>
      <c r="F64" s="3">
        <v>29</v>
      </c>
      <c r="G64" s="3" t="s">
        <v>82</v>
      </c>
      <c r="H64" s="3">
        <v>74</v>
      </c>
      <c r="I64" s="3">
        <v>0</v>
      </c>
      <c r="J64" s="3">
        <v>0</v>
      </c>
      <c r="K64" s="3">
        <v>1806</v>
      </c>
      <c r="L64" s="3">
        <v>285</v>
      </c>
      <c r="M64" s="3">
        <v>615</v>
      </c>
      <c r="N64" s="3">
        <v>144</v>
      </c>
      <c r="O64" s="3">
        <v>290</v>
      </c>
      <c r="P64" s="3">
        <v>141</v>
      </c>
      <c r="Q64" s="3">
        <v>325</v>
      </c>
      <c r="R64" s="3">
        <v>79</v>
      </c>
      <c r="S64" s="3">
        <v>89</v>
      </c>
      <c r="T64" s="3">
        <v>40</v>
      </c>
      <c r="U64" s="3">
        <v>155</v>
      </c>
      <c r="V64" s="3">
        <v>195</v>
      </c>
      <c r="W64" s="3">
        <v>60</v>
      </c>
      <c r="X64" s="3">
        <v>54</v>
      </c>
      <c r="Y64" s="3">
        <v>11</v>
      </c>
      <c r="Z64" s="3">
        <v>38</v>
      </c>
      <c r="AA64" s="3">
        <v>135</v>
      </c>
      <c r="AB64" s="3">
        <v>790</v>
      </c>
      <c r="AC64" s="3">
        <v>0.46300000000000002</v>
      </c>
      <c r="AD64" s="3">
        <v>0.497</v>
      </c>
      <c r="AE64" s="3">
        <v>0.434</v>
      </c>
      <c r="AF64" s="3">
        <v>0.88800000000000001</v>
      </c>
      <c r="AG64" s="3">
        <v>0.60399999999999998</v>
      </c>
      <c r="AH64" s="3">
        <v>0.57799999999999996</v>
      </c>
      <c r="AI64" s="3" t="s">
        <v>6</v>
      </c>
    </row>
    <row r="65" spans="1:35" ht="30">
      <c r="B65" s="3" t="s">
        <v>1512</v>
      </c>
      <c r="C65" s="3">
        <v>5.3</v>
      </c>
      <c r="D65" s="3">
        <v>1757</v>
      </c>
      <c r="E65" s="3" t="s">
        <v>1875</v>
      </c>
      <c r="F65" s="3">
        <v>32</v>
      </c>
      <c r="G65" s="3" t="s">
        <v>34</v>
      </c>
      <c r="H65" s="3">
        <v>79</v>
      </c>
      <c r="I65" s="3">
        <v>14</v>
      </c>
      <c r="J65" s="3">
        <v>0</v>
      </c>
      <c r="K65" s="3">
        <v>1757</v>
      </c>
      <c r="L65" s="3">
        <v>219</v>
      </c>
      <c r="M65" s="3">
        <v>472</v>
      </c>
      <c r="N65" s="3">
        <v>60</v>
      </c>
      <c r="O65" s="3">
        <v>107</v>
      </c>
      <c r="P65" s="3">
        <v>159</v>
      </c>
      <c r="Q65" s="3">
        <v>365</v>
      </c>
      <c r="R65" s="3">
        <v>106</v>
      </c>
      <c r="S65" s="3">
        <v>133</v>
      </c>
      <c r="T65" s="3">
        <v>50</v>
      </c>
      <c r="U65" s="3">
        <v>191</v>
      </c>
      <c r="V65" s="3">
        <v>241</v>
      </c>
      <c r="W65" s="3">
        <v>90</v>
      </c>
      <c r="X65" s="3">
        <v>32</v>
      </c>
      <c r="Y65" s="3">
        <v>21</v>
      </c>
      <c r="Z65" s="3">
        <v>58</v>
      </c>
      <c r="AA65" s="3">
        <v>144</v>
      </c>
      <c r="AB65" s="3">
        <v>703</v>
      </c>
      <c r="AC65" s="3">
        <v>0.46400000000000002</v>
      </c>
      <c r="AD65" s="3">
        <v>0.56100000000000005</v>
      </c>
      <c r="AE65" s="3">
        <v>0.436</v>
      </c>
      <c r="AF65" s="3">
        <v>0.79700000000000004</v>
      </c>
      <c r="AG65" s="3">
        <v>0.66300000000000003</v>
      </c>
      <c r="AH65" s="3">
        <v>0.63200000000000001</v>
      </c>
      <c r="AI65" s="3" t="s">
        <v>1001</v>
      </c>
    </row>
    <row r="66" spans="1:35">
      <c r="B66" s="3" t="s">
        <v>1513</v>
      </c>
      <c r="C66" s="3">
        <v>1.3</v>
      </c>
      <c r="D66" s="3">
        <v>870</v>
      </c>
      <c r="E66" s="3" t="s">
        <v>1879</v>
      </c>
      <c r="F66" s="3">
        <v>29</v>
      </c>
      <c r="G66" s="3" t="s">
        <v>1880</v>
      </c>
      <c r="H66" s="3">
        <v>59</v>
      </c>
      <c r="I66" s="3">
        <v>6</v>
      </c>
      <c r="J66" s="3">
        <v>0</v>
      </c>
      <c r="K66" s="3">
        <v>870</v>
      </c>
      <c r="L66" s="3">
        <v>111</v>
      </c>
      <c r="M66" s="3">
        <v>264</v>
      </c>
      <c r="N66" s="3">
        <v>52</v>
      </c>
      <c r="O66" s="3">
        <v>113</v>
      </c>
      <c r="P66" s="3">
        <v>59</v>
      </c>
      <c r="Q66" s="3">
        <v>151</v>
      </c>
      <c r="R66" s="3">
        <v>48</v>
      </c>
      <c r="S66" s="3">
        <v>65</v>
      </c>
      <c r="T66" s="3">
        <v>13</v>
      </c>
      <c r="U66" s="3">
        <v>97</v>
      </c>
      <c r="V66" s="3">
        <v>110</v>
      </c>
      <c r="W66" s="3">
        <v>33</v>
      </c>
      <c r="X66" s="3">
        <v>27</v>
      </c>
      <c r="Y66" s="3">
        <v>7</v>
      </c>
      <c r="Z66" s="3">
        <v>34</v>
      </c>
      <c r="AA66" s="3">
        <v>71</v>
      </c>
      <c r="AB66" s="3">
        <v>329</v>
      </c>
      <c r="AC66" s="3">
        <v>0.42</v>
      </c>
      <c r="AD66" s="3">
        <v>0.46</v>
      </c>
      <c r="AE66" s="3">
        <v>0.39100000000000001</v>
      </c>
      <c r="AF66" s="3">
        <v>0.73799999999999999</v>
      </c>
      <c r="AG66" s="3">
        <v>0.56200000000000006</v>
      </c>
      <c r="AH66" s="3">
        <v>0.53200000000000003</v>
      </c>
      <c r="AI66" s="3" t="s">
        <v>506</v>
      </c>
    </row>
    <row r="67" spans="1:35">
      <c r="B67" s="3" t="s">
        <v>1514</v>
      </c>
      <c r="C67" s="3">
        <v>-0.6</v>
      </c>
      <c r="D67" s="3">
        <v>931</v>
      </c>
      <c r="E67" s="3" t="s">
        <v>1859</v>
      </c>
      <c r="F67" s="3">
        <v>24</v>
      </c>
      <c r="G67" s="3" t="s">
        <v>1881</v>
      </c>
      <c r="H67" s="3">
        <v>68</v>
      </c>
      <c r="I67" s="3">
        <v>2</v>
      </c>
      <c r="J67" s="3">
        <v>0</v>
      </c>
      <c r="K67" s="3">
        <v>931</v>
      </c>
      <c r="L67" s="3">
        <v>141</v>
      </c>
      <c r="M67" s="3">
        <v>360</v>
      </c>
      <c r="N67" s="3">
        <v>96</v>
      </c>
      <c r="O67" s="3">
        <v>230</v>
      </c>
      <c r="P67" s="3">
        <v>45</v>
      </c>
      <c r="Q67" s="3">
        <v>130</v>
      </c>
      <c r="R67" s="3">
        <v>34</v>
      </c>
      <c r="S67" s="3">
        <v>43</v>
      </c>
      <c r="T67" s="3">
        <v>14</v>
      </c>
      <c r="U67" s="3">
        <v>38</v>
      </c>
      <c r="V67" s="3">
        <v>52</v>
      </c>
      <c r="W67" s="3">
        <v>117</v>
      </c>
      <c r="X67" s="3">
        <v>21</v>
      </c>
      <c r="Y67" s="3">
        <v>3</v>
      </c>
      <c r="Z67" s="3">
        <v>63</v>
      </c>
      <c r="AA67" s="3">
        <v>95</v>
      </c>
      <c r="AB67" s="3">
        <v>361</v>
      </c>
      <c r="AC67" s="3">
        <v>0.39200000000000002</v>
      </c>
      <c r="AD67" s="3">
        <v>0.41699999999999998</v>
      </c>
      <c r="AE67" s="3">
        <v>0.34599999999999997</v>
      </c>
      <c r="AF67" s="3">
        <v>0.79100000000000004</v>
      </c>
      <c r="AG67" s="3">
        <v>0.47599999999999998</v>
      </c>
      <c r="AH67" s="3">
        <v>0.45400000000000001</v>
      </c>
      <c r="AI67" s="3" t="s">
        <v>6</v>
      </c>
    </row>
    <row r="69" spans="1:35" ht="30">
      <c r="A69" s="1" t="s">
        <v>1882</v>
      </c>
    </row>
    <row r="70" spans="1:35">
      <c r="B70" s="1" t="s">
        <v>3</v>
      </c>
      <c r="C70" s="1" t="s">
        <v>14</v>
      </c>
      <c r="D70" s="1" t="s">
        <v>7</v>
      </c>
      <c r="E70" s="1" t="s">
        <v>1824</v>
      </c>
      <c r="F70" s="1" t="s">
        <v>1825</v>
      </c>
      <c r="G70" s="1" t="s">
        <v>499</v>
      </c>
      <c r="H70" s="1" t="s">
        <v>6</v>
      </c>
      <c r="I70" s="1" t="s">
        <v>1826</v>
      </c>
      <c r="J70" s="1" t="s">
        <v>1827</v>
      </c>
      <c r="K70" s="1" t="s">
        <v>7</v>
      </c>
      <c r="L70" s="1" t="s">
        <v>1828</v>
      </c>
      <c r="M70" s="1" t="s">
        <v>1829</v>
      </c>
      <c r="N70" s="1" t="s">
        <v>1830</v>
      </c>
      <c r="O70" s="1" t="s">
        <v>1831</v>
      </c>
      <c r="P70" s="1" t="s">
        <v>1832</v>
      </c>
      <c r="Q70" s="1" t="s">
        <v>1833</v>
      </c>
      <c r="R70" s="1" t="s">
        <v>1834</v>
      </c>
      <c r="S70" s="1" t="s">
        <v>1835</v>
      </c>
      <c r="T70" s="1" t="s">
        <v>1836</v>
      </c>
      <c r="U70" s="1" t="s">
        <v>1837</v>
      </c>
      <c r="V70" s="1" t="s">
        <v>9</v>
      </c>
      <c r="W70" s="1" t="s">
        <v>10</v>
      </c>
      <c r="X70" s="1" t="s">
        <v>1838</v>
      </c>
      <c r="Y70" s="1" t="s">
        <v>1839</v>
      </c>
      <c r="Z70" s="1" t="s">
        <v>1840</v>
      </c>
      <c r="AA70" s="1" t="s">
        <v>1841</v>
      </c>
      <c r="AB70" s="1" t="s">
        <v>8</v>
      </c>
      <c r="AC70" s="1" t="s">
        <v>11</v>
      </c>
      <c r="AD70" s="1" t="s">
        <v>1842</v>
      </c>
      <c r="AE70" s="1" t="s">
        <v>12</v>
      </c>
      <c r="AF70" s="1" t="s">
        <v>13</v>
      </c>
      <c r="AG70" s="1" t="s">
        <v>1843</v>
      </c>
      <c r="AH70" s="1" t="s">
        <v>1844</v>
      </c>
      <c r="AI70" s="1" t="s">
        <v>500</v>
      </c>
    </row>
    <row r="71" spans="1:35" ht="30">
      <c r="B71" s="3" t="s">
        <v>1421</v>
      </c>
      <c r="C71" s="3">
        <v>8.1999999999999993</v>
      </c>
      <c r="D71" s="3">
        <v>2780</v>
      </c>
      <c r="E71" s="3" t="s">
        <v>1879</v>
      </c>
      <c r="F71" s="3">
        <v>27</v>
      </c>
      <c r="G71" s="3" t="s">
        <v>124</v>
      </c>
      <c r="H71" s="3">
        <v>82</v>
      </c>
      <c r="I71" s="3">
        <v>82</v>
      </c>
      <c r="J71" s="3">
        <v>0</v>
      </c>
      <c r="K71" s="3">
        <v>2780</v>
      </c>
      <c r="L71" s="3">
        <v>445</v>
      </c>
      <c r="M71" s="3">
        <v>1009</v>
      </c>
      <c r="N71" s="3">
        <v>244</v>
      </c>
      <c r="O71" s="3">
        <v>498</v>
      </c>
      <c r="P71" s="3">
        <v>201</v>
      </c>
      <c r="Q71" s="3">
        <v>511</v>
      </c>
      <c r="R71" s="3">
        <v>252</v>
      </c>
      <c r="S71" s="3">
        <v>301</v>
      </c>
      <c r="T71" s="3">
        <v>51</v>
      </c>
      <c r="U71" s="3">
        <v>238</v>
      </c>
      <c r="V71" s="3">
        <v>289</v>
      </c>
      <c r="W71" s="3">
        <v>197</v>
      </c>
      <c r="X71" s="3">
        <v>76</v>
      </c>
      <c r="Y71" s="3">
        <v>14</v>
      </c>
      <c r="Z71" s="3">
        <v>110</v>
      </c>
      <c r="AA71" s="3">
        <v>176</v>
      </c>
      <c r="AB71" s="3">
        <v>1343</v>
      </c>
      <c r="AC71" s="3">
        <v>0.441</v>
      </c>
      <c r="AD71" s="3">
        <v>0.49</v>
      </c>
      <c r="AE71" s="3">
        <v>0.39300000000000002</v>
      </c>
      <c r="AF71" s="3">
        <v>0.83699999999999997</v>
      </c>
      <c r="AG71" s="3">
        <v>0.58799999999999997</v>
      </c>
      <c r="AH71" s="3">
        <v>0.54100000000000004</v>
      </c>
      <c r="AI71" s="3" t="s">
        <v>6</v>
      </c>
    </row>
    <row r="72" spans="1:35" ht="30">
      <c r="B72" s="3" t="s">
        <v>1422</v>
      </c>
      <c r="C72" s="3">
        <v>3.7</v>
      </c>
      <c r="D72" s="3">
        <v>1626</v>
      </c>
      <c r="E72" s="3" t="s">
        <v>1883</v>
      </c>
      <c r="F72" s="3">
        <v>24</v>
      </c>
      <c r="G72" s="3" t="s">
        <v>25</v>
      </c>
      <c r="H72" s="3">
        <v>80</v>
      </c>
      <c r="I72" s="3">
        <v>9</v>
      </c>
      <c r="J72" s="3">
        <v>0</v>
      </c>
      <c r="K72" s="3">
        <v>1626</v>
      </c>
      <c r="L72" s="3">
        <v>268</v>
      </c>
      <c r="M72" s="3">
        <v>572</v>
      </c>
      <c r="N72" s="3">
        <v>166</v>
      </c>
      <c r="O72" s="3">
        <v>331</v>
      </c>
      <c r="P72" s="3">
        <v>102</v>
      </c>
      <c r="Q72" s="3">
        <v>241</v>
      </c>
      <c r="R72" s="3">
        <v>100</v>
      </c>
      <c r="S72" s="3">
        <v>134</v>
      </c>
      <c r="T72" s="3">
        <v>45</v>
      </c>
      <c r="U72" s="3">
        <v>171</v>
      </c>
      <c r="V72" s="3">
        <v>216</v>
      </c>
      <c r="W72" s="3">
        <v>121</v>
      </c>
      <c r="X72" s="3">
        <v>28</v>
      </c>
      <c r="Y72" s="3">
        <v>3</v>
      </c>
      <c r="Z72" s="3">
        <v>57</v>
      </c>
      <c r="AA72" s="3">
        <v>124</v>
      </c>
      <c r="AB72" s="3">
        <v>738</v>
      </c>
      <c r="AC72" s="3">
        <v>0.46899999999999997</v>
      </c>
      <c r="AD72" s="3">
        <v>0.502</v>
      </c>
      <c r="AE72" s="3">
        <v>0.42299999999999999</v>
      </c>
      <c r="AF72" s="3">
        <v>0.746</v>
      </c>
      <c r="AG72" s="3">
        <v>0.58499999999999996</v>
      </c>
      <c r="AH72" s="3">
        <v>0.55800000000000005</v>
      </c>
      <c r="AI72" s="3" t="s">
        <v>506</v>
      </c>
    </row>
    <row r="73" spans="1:35" ht="30">
      <c r="B73" s="3" t="s">
        <v>1423</v>
      </c>
      <c r="C73" s="3">
        <v>2.7</v>
      </c>
      <c r="D73" s="3">
        <v>1951</v>
      </c>
      <c r="E73" s="3" t="s">
        <v>1884</v>
      </c>
      <c r="F73" s="3">
        <v>29</v>
      </c>
      <c r="G73" s="3" t="s">
        <v>69</v>
      </c>
      <c r="H73" s="3">
        <v>80</v>
      </c>
      <c r="I73" s="3">
        <v>43</v>
      </c>
      <c r="J73" s="3">
        <v>0</v>
      </c>
      <c r="K73" s="3">
        <v>1951</v>
      </c>
      <c r="L73" s="3">
        <v>201</v>
      </c>
      <c r="M73" s="3">
        <v>505</v>
      </c>
      <c r="N73" s="3">
        <v>112</v>
      </c>
      <c r="O73" s="3">
        <v>247</v>
      </c>
      <c r="P73" s="3">
        <v>89</v>
      </c>
      <c r="Q73" s="3">
        <v>258</v>
      </c>
      <c r="R73" s="3">
        <v>91</v>
      </c>
      <c r="S73" s="3">
        <v>125</v>
      </c>
      <c r="T73" s="3">
        <v>36</v>
      </c>
      <c r="U73" s="3">
        <v>176</v>
      </c>
      <c r="V73" s="3">
        <v>212</v>
      </c>
      <c r="W73" s="3">
        <v>140</v>
      </c>
      <c r="X73" s="3">
        <v>69</v>
      </c>
      <c r="Y73" s="3">
        <v>18</v>
      </c>
      <c r="Z73" s="3">
        <v>64</v>
      </c>
      <c r="AA73" s="3">
        <v>195</v>
      </c>
      <c r="AB73" s="3">
        <v>582</v>
      </c>
      <c r="AC73" s="3">
        <v>0.39800000000000002</v>
      </c>
      <c r="AD73" s="3">
        <v>0.45300000000000001</v>
      </c>
      <c r="AE73" s="3">
        <v>0.34499999999999997</v>
      </c>
      <c r="AF73" s="3">
        <v>0.72799999999999998</v>
      </c>
      <c r="AG73" s="3">
        <v>0.52</v>
      </c>
      <c r="AH73" s="3">
        <v>0.48599999999999999</v>
      </c>
      <c r="AI73" s="3" t="s">
        <v>6</v>
      </c>
    </row>
    <row r="74" spans="1:35">
      <c r="B74" s="3" t="s">
        <v>1424</v>
      </c>
      <c r="C74" s="3">
        <v>2.4</v>
      </c>
      <c r="D74" s="3">
        <v>1827</v>
      </c>
      <c r="E74" s="3" t="s">
        <v>1877</v>
      </c>
      <c r="F74" s="3">
        <v>24</v>
      </c>
      <c r="G74" s="3" t="s">
        <v>76</v>
      </c>
      <c r="H74" s="3">
        <v>63</v>
      </c>
      <c r="I74" s="3">
        <v>31</v>
      </c>
      <c r="J74" s="3">
        <v>0</v>
      </c>
      <c r="K74" s="3">
        <v>1827</v>
      </c>
      <c r="L74" s="3">
        <v>227</v>
      </c>
      <c r="M74" s="3">
        <v>551</v>
      </c>
      <c r="N74" s="3">
        <v>183</v>
      </c>
      <c r="O74" s="3">
        <v>414</v>
      </c>
      <c r="P74" s="3">
        <v>44</v>
      </c>
      <c r="Q74" s="3">
        <v>137</v>
      </c>
      <c r="R74" s="3">
        <v>167</v>
      </c>
      <c r="S74" s="3">
        <v>212</v>
      </c>
      <c r="T74" s="3">
        <v>101</v>
      </c>
      <c r="U74" s="3">
        <v>221</v>
      </c>
      <c r="V74" s="3">
        <v>322</v>
      </c>
      <c r="W74" s="3">
        <v>113</v>
      </c>
      <c r="X74" s="3">
        <v>83</v>
      </c>
      <c r="Y74" s="3">
        <v>17</v>
      </c>
      <c r="Z74" s="3">
        <v>114</v>
      </c>
      <c r="AA74" s="3">
        <v>149</v>
      </c>
      <c r="AB74" s="3">
        <v>665</v>
      </c>
      <c r="AC74" s="3">
        <v>0.41199999999999998</v>
      </c>
      <c r="AD74" s="3">
        <v>0.442</v>
      </c>
      <c r="AE74" s="3">
        <v>0.32100000000000001</v>
      </c>
      <c r="AF74" s="3">
        <v>0.78800000000000003</v>
      </c>
      <c r="AG74" s="3">
        <v>0.51600000000000001</v>
      </c>
      <c r="AH74" s="3">
        <v>0.45200000000000001</v>
      </c>
      <c r="AI74" s="3" t="s">
        <v>6</v>
      </c>
    </row>
    <row r="76" spans="1:35" ht="30">
      <c r="A76" s="1" t="s">
        <v>1885</v>
      </c>
    </row>
    <row r="77" spans="1:35">
      <c r="B77" s="1" t="s">
        <v>3</v>
      </c>
      <c r="C77" s="1" t="s">
        <v>14</v>
      </c>
      <c r="D77" s="1" t="s">
        <v>7</v>
      </c>
      <c r="E77" s="1" t="s">
        <v>1824</v>
      </c>
      <c r="F77" s="1" t="s">
        <v>1825</v>
      </c>
      <c r="G77" s="1" t="s">
        <v>499</v>
      </c>
      <c r="H77" s="1" t="s">
        <v>6</v>
      </c>
      <c r="I77" s="1" t="s">
        <v>1826</v>
      </c>
      <c r="J77" s="1" t="s">
        <v>1827</v>
      </c>
      <c r="K77" s="1" t="s">
        <v>7</v>
      </c>
      <c r="L77" s="1" t="s">
        <v>1828</v>
      </c>
      <c r="M77" s="1" t="s">
        <v>1829</v>
      </c>
      <c r="N77" s="1" t="s">
        <v>1830</v>
      </c>
      <c r="O77" s="1" t="s">
        <v>1831</v>
      </c>
      <c r="P77" s="1" t="s">
        <v>1832</v>
      </c>
      <c r="Q77" s="1" t="s">
        <v>1833</v>
      </c>
      <c r="R77" s="1" t="s">
        <v>1834</v>
      </c>
      <c r="S77" s="1" t="s">
        <v>1835</v>
      </c>
      <c r="T77" s="1" t="s">
        <v>1836</v>
      </c>
      <c r="U77" s="1" t="s">
        <v>1837</v>
      </c>
      <c r="V77" s="1" t="s">
        <v>9</v>
      </c>
      <c r="W77" s="1" t="s">
        <v>10</v>
      </c>
      <c r="X77" s="1" t="s">
        <v>1838</v>
      </c>
      <c r="Y77" s="1" t="s">
        <v>1839</v>
      </c>
      <c r="Z77" s="1" t="s">
        <v>1840</v>
      </c>
      <c r="AA77" s="1" t="s">
        <v>1841</v>
      </c>
      <c r="AB77" s="1" t="s">
        <v>8</v>
      </c>
      <c r="AC77" s="1" t="s">
        <v>11</v>
      </c>
      <c r="AD77" s="1" t="s">
        <v>1842</v>
      </c>
      <c r="AE77" s="1" t="s">
        <v>12</v>
      </c>
      <c r="AF77" s="1" t="s">
        <v>13</v>
      </c>
      <c r="AG77" s="1" t="s">
        <v>1843</v>
      </c>
      <c r="AH77" s="1" t="s">
        <v>1844</v>
      </c>
      <c r="AI77" s="1" t="s">
        <v>500</v>
      </c>
    </row>
    <row r="78" spans="1:35" ht="30">
      <c r="B78" s="3" t="s">
        <v>1359</v>
      </c>
      <c r="C78" s="3">
        <v>5.7</v>
      </c>
      <c r="D78" s="3">
        <v>2045</v>
      </c>
      <c r="E78" s="3" t="s">
        <v>1873</v>
      </c>
      <c r="F78" s="3">
        <v>28</v>
      </c>
      <c r="G78" s="3" t="s">
        <v>1886</v>
      </c>
      <c r="H78" s="3">
        <v>81</v>
      </c>
      <c r="I78" s="3">
        <v>80</v>
      </c>
      <c r="J78" s="3">
        <v>0</v>
      </c>
      <c r="K78" s="3">
        <v>2045</v>
      </c>
      <c r="L78" s="3">
        <v>314</v>
      </c>
      <c r="M78" s="3">
        <v>566</v>
      </c>
      <c r="N78" s="3">
        <v>312</v>
      </c>
      <c r="O78" s="3">
        <v>560</v>
      </c>
      <c r="P78" s="3">
        <v>2</v>
      </c>
      <c r="Q78" s="3">
        <v>6</v>
      </c>
      <c r="R78" s="3">
        <v>155</v>
      </c>
      <c r="S78" s="3">
        <v>216</v>
      </c>
      <c r="T78" s="3">
        <v>203</v>
      </c>
      <c r="U78" s="3">
        <v>388</v>
      </c>
      <c r="V78" s="3">
        <v>591</v>
      </c>
      <c r="W78" s="3">
        <v>55</v>
      </c>
      <c r="X78" s="3">
        <v>33</v>
      </c>
      <c r="Y78" s="3">
        <v>97</v>
      </c>
      <c r="Z78" s="3">
        <v>116</v>
      </c>
      <c r="AA78" s="3">
        <v>227</v>
      </c>
      <c r="AB78" s="3">
        <v>785</v>
      </c>
      <c r="AC78" s="3">
        <v>0.55500000000000005</v>
      </c>
      <c r="AD78" s="3">
        <v>0.55700000000000005</v>
      </c>
      <c r="AE78" s="3">
        <v>0.33300000000000002</v>
      </c>
      <c r="AF78" s="3">
        <v>0.71799999999999997</v>
      </c>
      <c r="AG78" s="3">
        <v>0.59399999999999997</v>
      </c>
      <c r="AH78" s="3">
        <v>0.55700000000000005</v>
      </c>
      <c r="AI78" s="3" t="s">
        <v>570</v>
      </c>
    </row>
    <row r="79" spans="1:35">
      <c r="B79" s="3" t="s">
        <v>1360</v>
      </c>
      <c r="C79" s="3">
        <v>5.4</v>
      </c>
      <c r="D79" s="3">
        <v>2640</v>
      </c>
      <c r="E79" s="3" t="s">
        <v>1865</v>
      </c>
      <c r="F79" s="3">
        <v>24</v>
      </c>
      <c r="G79" s="3" t="s">
        <v>52</v>
      </c>
      <c r="H79" s="3">
        <v>82</v>
      </c>
      <c r="I79" s="3">
        <v>82</v>
      </c>
      <c r="J79" s="3">
        <v>0</v>
      </c>
      <c r="K79" s="3">
        <v>2640</v>
      </c>
      <c r="L79" s="3">
        <v>396</v>
      </c>
      <c r="M79" s="3">
        <v>897</v>
      </c>
      <c r="N79" s="3">
        <v>309</v>
      </c>
      <c r="O79" s="3">
        <v>640</v>
      </c>
      <c r="P79" s="3">
        <v>87</v>
      </c>
      <c r="Q79" s="3">
        <v>257</v>
      </c>
      <c r="R79" s="3">
        <v>216</v>
      </c>
      <c r="S79" s="3">
        <v>275</v>
      </c>
      <c r="T79" s="3">
        <v>32</v>
      </c>
      <c r="U79" s="3">
        <v>215</v>
      </c>
      <c r="V79" s="3">
        <v>247</v>
      </c>
      <c r="W79" s="3">
        <v>497</v>
      </c>
      <c r="X79" s="3">
        <v>134</v>
      </c>
      <c r="Y79" s="3">
        <v>29</v>
      </c>
      <c r="Z79" s="3">
        <v>236</v>
      </c>
      <c r="AA79" s="3">
        <v>205</v>
      </c>
      <c r="AB79" s="3">
        <v>1095</v>
      </c>
      <c r="AC79" s="3">
        <v>0.441</v>
      </c>
      <c r="AD79" s="3">
        <v>0.48299999999999998</v>
      </c>
      <c r="AE79" s="3">
        <v>0.33900000000000002</v>
      </c>
      <c r="AF79" s="3">
        <v>0.78500000000000003</v>
      </c>
      <c r="AG79" s="3">
        <v>0.53800000000000003</v>
      </c>
      <c r="AH79" s="3">
        <v>0.49</v>
      </c>
      <c r="AI79" s="3" t="s">
        <v>6</v>
      </c>
    </row>
    <row r="80" spans="1:35">
      <c r="B80" s="3" t="s">
        <v>1361</v>
      </c>
      <c r="C80" s="3">
        <v>4.4000000000000004</v>
      </c>
      <c r="D80" s="3">
        <v>2043</v>
      </c>
      <c r="E80" s="3" t="s">
        <v>1875</v>
      </c>
      <c r="F80" s="3">
        <v>29</v>
      </c>
      <c r="G80" s="3" t="s">
        <v>34</v>
      </c>
      <c r="H80" s="3">
        <v>82</v>
      </c>
      <c r="I80" s="3">
        <v>35</v>
      </c>
      <c r="J80" s="3">
        <v>0</v>
      </c>
      <c r="K80" s="3">
        <v>2043</v>
      </c>
      <c r="L80" s="3">
        <v>389</v>
      </c>
      <c r="M80" s="3">
        <v>801</v>
      </c>
      <c r="N80" s="3">
        <v>354</v>
      </c>
      <c r="O80" s="3">
        <v>700</v>
      </c>
      <c r="P80" s="3">
        <v>35</v>
      </c>
      <c r="Q80" s="3">
        <v>101</v>
      </c>
      <c r="R80" s="3">
        <v>81</v>
      </c>
      <c r="S80" s="3">
        <v>116</v>
      </c>
      <c r="T80" s="3">
        <v>27</v>
      </c>
      <c r="U80" s="3">
        <v>197</v>
      </c>
      <c r="V80" s="3">
        <v>224</v>
      </c>
      <c r="W80" s="3">
        <v>360</v>
      </c>
      <c r="X80" s="3">
        <v>64</v>
      </c>
      <c r="Y80" s="3">
        <v>20</v>
      </c>
      <c r="Z80" s="3">
        <v>108</v>
      </c>
      <c r="AA80" s="3">
        <v>140</v>
      </c>
      <c r="AB80" s="3">
        <v>894</v>
      </c>
      <c r="AC80" s="3">
        <v>0.48599999999999999</v>
      </c>
      <c r="AD80" s="3">
        <v>0.50600000000000001</v>
      </c>
      <c r="AE80" s="3">
        <v>0.34699999999999998</v>
      </c>
      <c r="AF80" s="3">
        <v>0.69799999999999995</v>
      </c>
      <c r="AG80" s="3">
        <v>0.52500000000000002</v>
      </c>
      <c r="AH80" s="3">
        <v>0.50700000000000001</v>
      </c>
      <c r="AI80" s="3" t="s">
        <v>6</v>
      </c>
    </row>
    <row r="81" spans="1:35">
      <c r="B81" s="3" t="s">
        <v>1362</v>
      </c>
      <c r="C81" s="3">
        <v>3.5</v>
      </c>
      <c r="D81" s="3">
        <v>1685</v>
      </c>
      <c r="E81" s="3" t="s">
        <v>1883</v>
      </c>
      <c r="F81" s="3">
        <v>26</v>
      </c>
      <c r="G81" s="3" t="s">
        <v>79</v>
      </c>
      <c r="H81" s="3">
        <v>80</v>
      </c>
      <c r="I81" s="3">
        <v>1</v>
      </c>
      <c r="J81" s="3">
        <v>0</v>
      </c>
      <c r="K81" s="3">
        <v>1685</v>
      </c>
      <c r="L81" s="3">
        <v>285</v>
      </c>
      <c r="M81" s="3">
        <v>632</v>
      </c>
      <c r="N81" s="3">
        <v>156</v>
      </c>
      <c r="O81" s="3">
        <v>324</v>
      </c>
      <c r="P81" s="3">
        <v>129</v>
      </c>
      <c r="Q81" s="3">
        <v>308</v>
      </c>
      <c r="R81" s="3">
        <v>84</v>
      </c>
      <c r="S81" s="3">
        <v>104</v>
      </c>
      <c r="T81" s="3">
        <v>21</v>
      </c>
      <c r="U81" s="3">
        <v>175</v>
      </c>
      <c r="V81" s="3">
        <v>196</v>
      </c>
      <c r="W81" s="3">
        <v>96</v>
      </c>
      <c r="X81" s="3">
        <v>27</v>
      </c>
      <c r="Y81" s="3">
        <v>4</v>
      </c>
      <c r="Z81" s="3">
        <v>78</v>
      </c>
      <c r="AA81" s="3">
        <v>148</v>
      </c>
      <c r="AB81" s="3">
        <v>783</v>
      </c>
      <c r="AC81" s="3">
        <v>0.45100000000000001</v>
      </c>
      <c r="AD81" s="3">
        <v>0.48099999999999998</v>
      </c>
      <c r="AE81" s="3">
        <v>0.41899999999999998</v>
      </c>
      <c r="AF81" s="3">
        <v>0.80800000000000005</v>
      </c>
      <c r="AG81" s="3">
        <v>0.57799999999999996</v>
      </c>
      <c r="AH81" s="3">
        <v>0.55300000000000005</v>
      </c>
      <c r="AI81" s="3" t="s">
        <v>6</v>
      </c>
    </row>
    <row r="82" spans="1:35">
      <c r="B82" s="3" t="s">
        <v>1363</v>
      </c>
      <c r="C82" s="3">
        <v>2.7</v>
      </c>
      <c r="D82" s="3">
        <v>961</v>
      </c>
      <c r="E82" s="3" t="s">
        <v>1879</v>
      </c>
      <c r="F82" s="3">
        <v>27</v>
      </c>
      <c r="G82" s="3" t="s">
        <v>1887</v>
      </c>
      <c r="H82" s="3">
        <v>53</v>
      </c>
      <c r="I82" s="3">
        <v>12</v>
      </c>
      <c r="J82" s="3">
        <v>0</v>
      </c>
      <c r="K82" s="3">
        <v>961</v>
      </c>
      <c r="L82" s="3">
        <v>143</v>
      </c>
      <c r="M82" s="3">
        <v>275</v>
      </c>
      <c r="N82" s="3">
        <v>143</v>
      </c>
      <c r="O82" s="3">
        <v>275</v>
      </c>
      <c r="P82" s="3">
        <v>0</v>
      </c>
      <c r="Q82" s="3">
        <v>0</v>
      </c>
      <c r="R82" s="3">
        <v>76</v>
      </c>
      <c r="S82" s="3">
        <v>119</v>
      </c>
      <c r="T82" s="3">
        <v>102</v>
      </c>
      <c r="U82" s="3">
        <v>204</v>
      </c>
      <c r="V82" s="3">
        <v>306</v>
      </c>
      <c r="W82" s="3">
        <v>38</v>
      </c>
      <c r="X82" s="3">
        <v>24</v>
      </c>
      <c r="Y82" s="3">
        <v>36</v>
      </c>
      <c r="Z82" s="3">
        <v>39</v>
      </c>
      <c r="AA82" s="3">
        <v>108</v>
      </c>
      <c r="AB82" s="3">
        <v>362</v>
      </c>
      <c r="AC82" s="3">
        <v>0.52</v>
      </c>
      <c r="AD82" s="3">
        <v>0.52</v>
      </c>
      <c r="AE82" s="2"/>
      <c r="AF82" s="3">
        <v>0.63900000000000001</v>
      </c>
      <c r="AG82" s="3">
        <v>0.55300000000000005</v>
      </c>
      <c r="AH82" s="3">
        <v>0.52</v>
      </c>
      <c r="AI82" s="3" t="s">
        <v>506</v>
      </c>
    </row>
    <row r="83" spans="1:35" ht="30">
      <c r="B83" s="3" t="s">
        <v>1364</v>
      </c>
      <c r="C83" s="3">
        <v>0.7</v>
      </c>
      <c r="D83" s="3">
        <v>825</v>
      </c>
      <c r="E83" s="3" t="s">
        <v>1877</v>
      </c>
      <c r="F83" s="3">
        <v>23</v>
      </c>
      <c r="G83" s="3" t="s">
        <v>76</v>
      </c>
      <c r="H83" s="3">
        <v>54</v>
      </c>
      <c r="I83" s="3">
        <v>0</v>
      </c>
      <c r="J83" s="3">
        <v>0</v>
      </c>
      <c r="K83" s="3">
        <v>825</v>
      </c>
      <c r="L83" s="3">
        <v>105</v>
      </c>
      <c r="M83" s="3">
        <v>231</v>
      </c>
      <c r="N83" s="3">
        <v>105</v>
      </c>
      <c r="O83" s="3">
        <v>231</v>
      </c>
      <c r="P83" s="3">
        <v>0</v>
      </c>
      <c r="Q83" s="3">
        <v>0</v>
      </c>
      <c r="R83" s="3">
        <v>82</v>
      </c>
      <c r="S83" s="3">
        <v>117</v>
      </c>
      <c r="T83" s="3">
        <v>63</v>
      </c>
      <c r="U83" s="3">
        <v>117</v>
      </c>
      <c r="V83" s="3">
        <v>180</v>
      </c>
      <c r="W83" s="3">
        <v>20</v>
      </c>
      <c r="X83" s="3">
        <v>20</v>
      </c>
      <c r="Y83" s="3">
        <v>20</v>
      </c>
      <c r="Z83" s="3">
        <v>56</v>
      </c>
      <c r="AA83" s="3">
        <v>113</v>
      </c>
      <c r="AB83" s="3">
        <v>292</v>
      </c>
      <c r="AC83" s="3">
        <v>0.45500000000000002</v>
      </c>
      <c r="AD83" s="3">
        <v>0.45500000000000002</v>
      </c>
      <c r="AE83" s="2"/>
      <c r="AF83" s="3">
        <v>0.70099999999999996</v>
      </c>
      <c r="AG83" s="3">
        <v>0.51700000000000002</v>
      </c>
      <c r="AH83" s="3">
        <v>0.45500000000000002</v>
      </c>
      <c r="AI83" s="3" t="s">
        <v>506</v>
      </c>
    </row>
    <row r="84" spans="1:35">
      <c r="B84" s="3" t="s">
        <v>1365</v>
      </c>
      <c r="C84" s="3">
        <v>0.7</v>
      </c>
      <c r="D84" s="3">
        <v>858</v>
      </c>
      <c r="E84" s="3" t="s">
        <v>1883</v>
      </c>
      <c r="F84" s="3">
        <v>27</v>
      </c>
      <c r="G84" s="3" t="s">
        <v>36</v>
      </c>
      <c r="H84" s="3">
        <v>62</v>
      </c>
      <c r="I84" s="3">
        <v>1</v>
      </c>
      <c r="J84" s="3">
        <v>0</v>
      </c>
      <c r="K84" s="3">
        <v>858</v>
      </c>
      <c r="L84" s="3">
        <v>106</v>
      </c>
      <c r="M84" s="3">
        <v>259</v>
      </c>
      <c r="N84" s="3">
        <v>100</v>
      </c>
      <c r="O84" s="3">
        <v>229</v>
      </c>
      <c r="P84" s="3">
        <v>6</v>
      </c>
      <c r="Q84" s="3">
        <v>30</v>
      </c>
      <c r="R84" s="3">
        <v>37</v>
      </c>
      <c r="S84" s="3">
        <v>41</v>
      </c>
      <c r="T84" s="3">
        <v>9</v>
      </c>
      <c r="U84" s="3">
        <v>61</v>
      </c>
      <c r="V84" s="3">
        <v>70</v>
      </c>
      <c r="W84" s="3">
        <v>162</v>
      </c>
      <c r="X84" s="3">
        <v>29</v>
      </c>
      <c r="Y84" s="3">
        <v>2</v>
      </c>
      <c r="Z84" s="3">
        <v>51</v>
      </c>
      <c r="AA84" s="3">
        <v>54</v>
      </c>
      <c r="AB84" s="3">
        <v>255</v>
      </c>
      <c r="AC84" s="3">
        <v>0.40899999999999997</v>
      </c>
      <c r="AD84" s="3">
        <v>0.437</v>
      </c>
      <c r="AE84" s="3">
        <v>0.2</v>
      </c>
      <c r="AF84" s="3">
        <v>0.90200000000000002</v>
      </c>
      <c r="AG84" s="3">
        <v>0.46</v>
      </c>
      <c r="AH84" s="3">
        <v>0.42099999999999999</v>
      </c>
      <c r="AI84" s="3" t="s">
        <v>6</v>
      </c>
    </row>
    <row r="85" spans="1:35">
      <c r="B85" s="3" t="s">
        <v>1366</v>
      </c>
      <c r="C85" s="3">
        <v>0</v>
      </c>
      <c r="D85" s="3">
        <v>933</v>
      </c>
      <c r="E85" s="3" t="s">
        <v>1883</v>
      </c>
      <c r="F85" s="3">
        <v>21</v>
      </c>
      <c r="G85" s="3" t="s">
        <v>76</v>
      </c>
      <c r="H85" s="3">
        <v>54</v>
      </c>
      <c r="I85" s="3">
        <v>15</v>
      </c>
      <c r="J85" s="3">
        <v>0</v>
      </c>
      <c r="K85" s="3">
        <v>933</v>
      </c>
      <c r="L85" s="3">
        <v>108</v>
      </c>
      <c r="M85" s="3">
        <v>289</v>
      </c>
      <c r="N85" s="3">
        <v>74</v>
      </c>
      <c r="O85" s="3">
        <v>197</v>
      </c>
      <c r="P85" s="3">
        <v>34</v>
      </c>
      <c r="Q85" s="3">
        <v>92</v>
      </c>
      <c r="R85" s="3">
        <v>71</v>
      </c>
      <c r="S85" s="3">
        <v>93</v>
      </c>
      <c r="T85" s="3">
        <v>36</v>
      </c>
      <c r="U85" s="3">
        <v>104</v>
      </c>
      <c r="V85" s="3">
        <v>140</v>
      </c>
      <c r="W85" s="3">
        <v>85</v>
      </c>
      <c r="X85" s="3">
        <v>31</v>
      </c>
      <c r="Y85" s="3">
        <v>7</v>
      </c>
      <c r="Z85" s="3">
        <v>63</v>
      </c>
      <c r="AA85" s="3">
        <v>65</v>
      </c>
      <c r="AB85" s="3">
        <v>321</v>
      </c>
      <c r="AC85" s="3">
        <v>0.374</v>
      </c>
      <c r="AD85" s="3">
        <v>0.376</v>
      </c>
      <c r="AE85" s="3">
        <v>0.37</v>
      </c>
      <c r="AF85" s="3">
        <v>0.76300000000000001</v>
      </c>
      <c r="AG85" s="3">
        <v>0.48599999999999999</v>
      </c>
      <c r="AH85" s="3">
        <v>0.433</v>
      </c>
      <c r="AI85" s="3" t="s">
        <v>6</v>
      </c>
    </row>
    <row r="87" spans="1:35" ht="30">
      <c r="A87" s="1" t="s">
        <v>1888</v>
      </c>
    </row>
    <row r="88" spans="1:35">
      <c r="B88" s="1" t="s">
        <v>3</v>
      </c>
      <c r="C88" s="1" t="s">
        <v>14</v>
      </c>
      <c r="D88" s="1" t="s">
        <v>7</v>
      </c>
      <c r="E88" s="1" t="s">
        <v>1824</v>
      </c>
      <c r="F88" s="1" t="s">
        <v>1825</v>
      </c>
      <c r="G88" s="1" t="s">
        <v>499</v>
      </c>
      <c r="H88" s="1" t="s">
        <v>6</v>
      </c>
      <c r="I88" s="1" t="s">
        <v>1826</v>
      </c>
      <c r="J88" s="1" t="s">
        <v>1827</v>
      </c>
      <c r="K88" s="1" t="s">
        <v>7</v>
      </c>
      <c r="L88" s="1" t="s">
        <v>1828</v>
      </c>
      <c r="M88" s="1" t="s">
        <v>1829</v>
      </c>
      <c r="N88" s="1" t="s">
        <v>1830</v>
      </c>
      <c r="O88" s="1" t="s">
        <v>1831</v>
      </c>
      <c r="P88" s="1" t="s">
        <v>1832</v>
      </c>
      <c r="Q88" s="1" t="s">
        <v>1833</v>
      </c>
      <c r="R88" s="1" t="s">
        <v>1834</v>
      </c>
      <c r="S88" s="1" t="s">
        <v>1835</v>
      </c>
      <c r="T88" s="1" t="s">
        <v>1836</v>
      </c>
      <c r="U88" s="1" t="s">
        <v>1837</v>
      </c>
      <c r="V88" s="1" t="s">
        <v>9</v>
      </c>
      <c r="W88" s="1" t="s">
        <v>10</v>
      </c>
      <c r="X88" s="1" t="s">
        <v>1838</v>
      </c>
      <c r="Y88" s="1" t="s">
        <v>1839</v>
      </c>
      <c r="Z88" s="1" t="s">
        <v>1840</v>
      </c>
      <c r="AA88" s="1" t="s">
        <v>1841</v>
      </c>
      <c r="AB88" s="1" t="s">
        <v>8</v>
      </c>
      <c r="AC88" s="1" t="s">
        <v>11</v>
      </c>
      <c r="AD88" s="1" t="s">
        <v>1842</v>
      </c>
      <c r="AE88" s="1" t="s">
        <v>12</v>
      </c>
      <c r="AF88" s="1" t="s">
        <v>13</v>
      </c>
      <c r="AG88" s="1" t="s">
        <v>1843</v>
      </c>
      <c r="AH88" s="1" t="s">
        <v>1844</v>
      </c>
      <c r="AI88" s="1" t="s">
        <v>500</v>
      </c>
    </row>
    <row r="89" spans="1:35">
      <c r="B89" s="3" t="s">
        <v>1290</v>
      </c>
      <c r="C89" s="3">
        <v>4</v>
      </c>
      <c r="D89" s="3">
        <v>1110</v>
      </c>
      <c r="E89" s="3" t="s">
        <v>1865</v>
      </c>
      <c r="F89" s="3">
        <v>22</v>
      </c>
      <c r="G89" s="3" t="s">
        <v>52</v>
      </c>
      <c r="H89" s="3">
        <v>70</v>
      </c>
      <c r="I89" s="3">
        <v>10</v>
      </c>
      <c r="J89" s="3">
        <v>0</v>
      </c>
      <c r="K89" s="3">
        <v>1110</v>
      </c>
      <c r="L89" s="3">
        <v>170</v>
      </c>
      <c r="M89" s="3">
        <v>274</v>
      </c>
      <c r="N89" s="3">
        <v>170</v>
      </c>
      <c r="O89" s="3">
        <v>273</v>
      </c>
      <c r="P89" s="3">
        <v>0</v>
      </c>
      <c r="Q89" s="3">
        <v>1</v>
      </c>
      <c r="R89" s="3">
        <v>81</v>
      </c>
      <c r="S89" s="3">
        <v>130</v>
      </c>
      <c r="T89" s="3">
        <v>111</v>
      </c>
      <c r="U89" s="3">
        <v>210</v>
      </c>
      <c r="V89" s="3">
        <v>321</v>
      </c>
      <c r="W89" s="3">
        <v>25</v>
      </c>
      <c r="X89" s="3">
        <v>18</v>
      </c>
      <c r="Y89" s="3">
        <v>40</v>
      </c>
      <c r="Z89" s="3">
        <v>41</v>
      </c>
      <c r="AA89" s="3">
        <v>175</v>
      </c>
      <c r="AB89" s="3">
        <v>421</v>
      </c>
      <c r="AC89" s="3">
        <v>0.62</v>
      </c>
      <c r="AD89" s="3">
        <v>0.623</v>
      </c>
      <c r="AE89" s="3">
        <v>0</v>
      </c>
      <c r="AF89" s="3">
        <v>0.623</v>
      </c>
      <c r="AG89" s="3">
        <v>0.63600000000000001</v>
      </c>
      <c r="AH89" s="3">
        <v>0.62</v>
      </c>
      <c r="AI89" s="3" t="s">
        <v>570</v>
      </c>
    </row>
    <row r="90" spans="1:35">
      <c r="B90" s="3" t="s">
        <v>1291</v>
      </c>
      <c r="C90" s="3">
        <v>3.2</v>
      </c>
      <c r="D90" s="3">
        <v>1088</v>
      </c>
      <c r="E90" s="3" t="s">
        <v>1877</v>
      </c>
      <c r="F90" s="3">
        <v>26</v>
      </c>
      <c r="G90" s="3" t="s">
        <v>1098</v>
      </c>
      <c r="H90" s="3">
        <v>54</v>
      </c>
      <c r="I90" s="3">
        <v>24</v>
      </c>
      <c r="J90" s="3">
        <v>0</v>
      </c>
      <c r="K90" s="3">
        <v>1088</v>
      </c>
      <c r="L90" s="3">
        <v>140</v>
      </c>
      <c r="M90" s="3">
        <v>261</v>
      </c>
      <c r="N90" s="3">
        <v>140</v>
      </c>
      <c r="O90" s="3">
        <v>260</v>
      </c>
      <c r="P90" s="3">
        <v>0</v>
      </c>
      <c r="Q90" s="3">
        <v>1</v>
      </c>
      <c r="R90" s="3">
        <v>39</v>
      </c>
      <c r="S90" s="3">
        <v>63</v>
      </c>
      <c r="T90" s="3">
        <v>86</v>
      </c>
      <c r="U90" s="3">
        <v>179</v>
      </c>
      <c r="V90" s="3">
        <v>265</v>
      </c>
      <c r="W90" s="3">
        <v>74</v>
      </c>
      <c r="X90" s="3">
        <v>53</v>
      </c>
      <c r="Y90" s="3">
        <v>46</v>
      </c>
      <c r="Z90" s="3">
        <v>46</v>
      </c>
      <c r="AA90" s="3">
        <v>118</v>
      </c>
      <c r="AB90" s="3">
        <v>319</v>
      </c>
      <c r="AC90" s="3">
        <v>0.53600000000000003</v>
      </c>
      <c r="AD90" s="3">
        <v>0.53800000000000003</v>
      </c>
      <c r="AE90" s="3">
        <v>0</v>
      </c>
      <c r="AF90" s="3">
        <v>0.61899999999999999</v>
      </c>
      <c r="AG90" s="3">
        <v>0.55200000000000005</v>
      </c>
      <c r="AH90" s="3">
        <v>0.53600000000000003</v>
      </c>
      <c r="AI90" s="3" t="s">
        <v>570</v>
      </c>
    </row>
    <row r="91" spans="1:35">
      <c r="B91" s="3" t="s">
        <v>1292</v>
      </c>
      <c r="C91" s="3">
        <v>2.2999999999999998</v>
      </c>
      <c r="D91" s="3">
        <v>1035</v>
      </c>
      <c r="E91" s="3" t="s">
        <v>1865</v>
      </c>
      <c r="F91" s="3">
        <v>28</v>
      </c>
      <c r="G91" s="3" t="s">
        <v>184</v>
      </c>
      <c r="H91" s="3">
        <v>69</v>
      </c>
      <c r="I91" s="3">
        <v>5</v>
      </c>
      <c r="J91" s="3">
        <v>0</v>
      </c>
      <c r="K91" s="3">
        <v>1035</v>
      </c>
      <c r="L91" s="3">
        <v>185</v>
      </c>
      <c r="M91" s="3">
        <v>356</v>
      </c>
      <c r="N91" s="3">
        <v>184</v>
      </c>
      <c r="O91" s="3">
        <v>343</v>
      </c>
      <c r="P91" s="3">
        <v>1</v>
      </c>
      <c r="Q91" s="3">
        <v>13</v>
      </c>
      <c r="R91" s="3">
        <v>81</v>
      </c>
      <c r="S91" s="3">
        <v>131</v>
      </c>
      <c r="T91" s="3">
        <v>76</v>
      </c>
      <c r="U91" s="3">
        <v>190</v>
      </c>
      <c r="V91" s="3">
        <v>266</v>
      </c>
      <c r="W91" s="3">
        <v>46</v>
      </c>
      <c r="X91" s="3">
        <v>56</v>
      </c>
      <c r="Y91" s="3">
        <v>14</v>
      </c>
      <c r="Z91" s="3">
        <v>71</v>
      </c>
      <c r="AA91" s="3">
        <v>131</v>
      </c>
      <c r="AB91" s="3">
        <v>452</v>
      </c>
      <c r="AC91" s="3">
        <v>0.52</v>
      </c>
      <c r="AD91" s="3">
        <v>0.53600000000000003</v>
      </c>
      <c r="AE91" s="3">
        <v>7.6999999999999999E-2</v>
      </c>
      <c r="AF91" s="3">
        <v>0.61799999999999999</v>
      </c>
      <c r="AG91" s="3">
        <v>0.54600000000000004</v>
      </c>
      <c r="AH91" s="3">
        <v>0.52100000000000002</v>
      </c>
      <c r="AI91" s="3" t="s">
        <v>506</v>
      </c>
    </row>
    <row r="92" spans="1:35">
      <c r="B92" s="3" t="s">
        <v>1293</v>
      </c>
      <c r="C92" s="3">
        <v>2</v>
      </c>
      <c r="D92" s="3">
        <v>1107</v>
      </c>
      <c r="E92" s="3" t="s">
        <v>1873</v>
      </c>
      <c r="F92" s="3">
        <v>27</v>
      </c>
      <c r="G92" s="3" t="s">
        <v>41</v>
      </c>
      <c r="H92" s="3">
        <v>53</v>
      </c>
      <c r="I92" s="3">
        <v>21</v>
      </c>
      <c r="J92" s="3">
        <v>0</v>
      </c>
      <c r="K92" s="3">
        <v>1107</v>
      </c>
      <c r="L92" s="3">
        <v>145</v>
      </c>
      <c r="M92" s="3">
        <v>355</v>
      </c>
      <c r="N92" s="3">
        <v>104</v>
      </c>
      <c r="O92" s="3">
        <v>224</v>
      </c>
      <c r="P92" s="3">
        <v>41</v>
      </c>
      <c r="Q92" s="3">
        <v>131</v>
      </c>
      <c r="R92" s="3">
        <v>60</v>
      </c>
      <c r="S92" s="3">
        <v>77</v>
      </c>
      <c r="T92" s="3">
        <v>12</v>
      </c>
      <c r="U92" s="3">
        <v>131</v>
      </c>
      <c r="V92" s="3">
        <v>143</v>
      </c>
      <c r="W92" s="3">
        <v>190</v>
      </c>
      <c r="X92" s="3">
        <v>23</v>
      </c>
      <c r="Y92" s="3">
        <v>0</v>
      </c>
      <c r="Z92" s="3">
        <v>65</v>
      </c>
      <c r="AA92" s="3">
        <v>47</v>
      </c>
      <c r="AB92" s="3">
        <v>391</v>
      </c>
      <c r="AC92" s="3">
        <v>0.40799999999999997</v>
      </c>
      <c r="AD92" s="3">
        <v>0.46400000000000002</v>
      </c>
      <c r="AE92" s="3">
        <v>0.313</v>
      </c>
      <c r="AF92" s="3">
        <v>0.77900000000000003</v>
      </c>
      <c r="AG92" s="3">
        <v>0.503</v>
      </c>
      <c r="AH92" s="3">
        <v>0.46600000000000003</v>
      </c>
      <c r="AI92" s="3" t="s">
        <v>6</v>
      </c>
    </row>
    <row r="93" spans="1:35" ht="30">
      <c r="B93" s="3" t="s">
        <v>1294</v>
      </c>
      <c r="C93" s="3">
        <v>1.7</v>
      </c>
      <c r="D93" s="3">
        <v>1209</v>
      </c>
      <c r="E93" s="3" t="s">
        <v>1865</v>
      </c>
      <c r="F93" s="3">
        <v>27</v>
      </c>
      <c r="G93" s="3" t="s">
        <v>135</v>
      </c>
      <c r="H93" s="3">
        <v>76</v>
      </c>
      <c r="I93" s="3">
        <v>19</v>
      </c>
      <c r="J93" s="3">
        <v>0</v>
      </c>
      <c r="K93" s="3">
        <v>1209</v>
      </c>
      <c r="L93" s="3">
        <v>127</v>
      </c>
      <c r="M93" s="3">
        <v>278</v>
      </c>
      <c r="N93" s="3">
        <v>127</v>
      </c>
      <c r="O93" s="3">
        <v>278</v>
      </c>
      <c r="P93" s="3">
        <v>0</v>
      </c>
      <c r="Q93" s="3">
        <v>0</v>
      </c>
      <c r="R93" s="3">
        <v>53</v>
      </c>
      <c r="S93" s="3">
        <v>69</v>
      </c>
      <c r="T93" s="3">
        <v>61</v>
      </c>
      <c r="U93" s="3">
        <v>200</v>
      </c>
      <c r="V93" s="3">
        <v>261</v>
      </c>
      <c r="W93" s="3">
        <v>30</v>
      </c>
      <c r="X93" s="3">
        <v>44</v>
      </c>
      <c r="Y93" s="3">
        <v>90</v>
      </c>
      <c r="Z93" s="3">
        <v>59</v>
      </c>
      <c r="AA93" s="3">
        <v>184</v>
      </c>
      <c r="AB93" s="3">
        <v>307</v>
      </c>
      <c r="AC93" s="3">
        <v>0.45700000000000002</v>
      </c>
      <c r="AD93" s="3">
        <v>0.45700000000000002</v>
      </c>
      <c r="AE93" s="2"/>
      <c r="AF93" s="3">
        <v>0.76800000000000002</v>
      </c>
      <c r="AG93" s="3">
        <v>0.498</v>
      </c>
      <c r="AH93" s="3">
        <v>0.45700000000000002</v>
      </c>
      <c r="AI93" s="3" t="s">
        <v>570</v>
      </c>
    </row>
    <row r="94" spans="1:35">
      <c r="B94" s="3" t="s">
        <v>1295</v>
      </c>
      <c r="C94" s="3">
        <v>1.7</v>
      </c>
      <c r="D94" s="3">
        <v>1313</v>
      </c>
      <c r="E94" s="3" t="s">
        <v>1884</v>
      </c>
      <c r="F94" s="3">
        <v>27</v>
      </c>
      <c r="G94" s="3" t="s">
        <v>50</v>
      </c>
      <c r="H94" s="3">
        <v>59</v>
      </c>
      <c r="I94" s="3">
        <v>5</v>
      </c>
      <c r="J94" s="3">
        <v>0</v>
      </c>
      <c r="K94" s="3">
        <v>1313</v>
      </c>
      <c r="L94" s="3">
        <v>169</v>
      </c>
      <c r="M94" s="3">
        <v>382</v>
      </c>
      <c r="N94" s="3">
        <v>125</v>
      </c>
      <c r="O94" s="3">
        <v>273</v>
      </c>
      <c r="P94" s="3">
        <v>44</v>
      </c>
      <c r="Q94" s="3">
        <v>109</v>
      </c>
      <c r="R94" s="3">
        <v>102</v>
      </c>
      <c r="S94" s="3">
        <v>119</v>
      </c>
      <c r="T94" s="3">
        <v>34</v>
      </c>
      <c r="U94" s="3">
        <v>97</v>
      </c>
      <c r="V94" s="3">
        <v>131</v>
      </c>
      <c r="W94" s="3">
        <v>53</v>
      </c>
      <c r="X94" s="3">
        <v>22</v>
      </c>
      <c r="Y94" s="3">
        <v>7</v>
      </c>
      <c r="Z94" s="3">
        <v>57</v>
      </c>
      <c r="AA94" s="3">
        <v>109</v>
      </c>
      <c r="AB94" s="3">
        <v>484</v>
      </c>
      <c r="AC94" s="3">
        <v>0.442</v>
      </c>
      <c r="AD94" s="3">
        <v>0.45800000000000002</v>
      </c>
      <c r="AE94" s="3">
        <v>0.40400000000000003</v>
      </c>
      <c r="AF94" s="3">
        <v>0.85699999999999998</v>
      </c>
      <c r="AG94" s="3">
        <v>0.55700000000000005</v>
      </c>
      <c r="AH94" s="3">
        <v>0.5</v>
      </c>
      <c r="AI94" s="3" t="s">
        <v>506</v>
      </c>
    </row>
    <row r="96" spans="1:35" ht="30">
      <c r="A96" s="1" t="s">
        <v>1889</v>
      </c>
    </row>
    <row r="97" spans="1:35">
      <c r="B97" s="1" t="s">
        <v>3</v>
      </c>
      <c r="C97" s="1" t="s">
        <v>14</v>
      </c>
      <c r="D97" s="1" t="s">
        <v>7</v>
      </c>
      <c r="E97" s="1" t="s">
        <v>1824</v>
      </c>
      <c r="F97" s="1" t="s">
        <v>1825</v>
      </c>
      <c r="G97" s="1" t="s">
        <v>499</v>
      </c>
      <c r="H97" s="1" t="s">
        <v>6</v>
      </c>
      <c r="I97" s="1" t="s">
        <v>1826</v>
      </c>
      <c r="J97" s="1" t="s">
        <v>1827</v>
      </c>
      <c r="K97" s="1" t="s">
        <v>7</v>
      </c>
      <c r="L97" s="1" t="s">
        <v>1828</v>
      </c>
      <c r="M97" s="1" t="s">
        <v>1829</v>
      </c>
      <c r="N97" s="1" t="s">
        <v>1830</v>
      </c>
      <c r="O97" s="1" t="s">
        <v>1831</v>
      </c>
      <c r="P97" s="1" t="s">
        <v>1832</v>
      </c>
      <c r="Q97" s="1" t="s">
        <v>1833</v>
      </c>
      <c r="R97" s="1" t="s">
        <v>1834</v>
      </c>
      <c r="S97" s="1" t="s">
        <v>1835</v>
      </c>
      <c r="T97" s="1" t="s">
        <v>1836</v>
      </c>
      <c r="U97" s="1" t="s">
        <v>1837</v>
      </c>
      <c r="V97" s="1" t="s">
        <v>9</v>
      </c>
      <c r="W97" s="1" t="s">
        <v>10</v>
      </c>
      <c r="X97" s="1" t="s">
        <v>1838</v>
      </c>
      <c r="Y97" s="1" t="s">
        <v>1839</v>
      </c>
      <c r="Z97" s="1" t="s">
        <v>1840</v>
      </c>
      <c r="AA97" s="1" t="s">
        <v>1841</v>
      </c>
      <c r="AB97" s="1" t="s">
        <v>8</v>
      </c>
      <c r="AC97" s="1" t="s">
        <v>11</v>
      </c>
      <c r="AD97" s="1" t="s">
        <v>1842</v>
      </c>
      <c r="AE97" s="1" t="s">
        <v>12</v>
      </c>
      <c r="AF97" s="1" t="s">
        <v>13</v>
      </c>
      <c r="AG97" s="1" t="s">
        <v>1843</v>
      </c>
      <c r="AH97" s="1" t="s">
        <v>1844</v>
      </c>
      <c r="AI97" s="1" t="s">
        <v>500</v>
      </c>
    </row>
    <row r="98" spans="1:35">
      <c r="B98" s="3" t="s">
        <v>1219</v>
      </c>
      <c r="C98" s="3">
        <v>4.2</v>
      </c>
      <c r="D98" s="3">
        <v>1826</v>
      </c>
      <c r="E98" s="3" t="s">
        <v>1890</v>
      </c>
      <c r="F98" s="3">
        <v>30</v>
      </c>
      <c r="G98" s="3" t="s">
        <v>41</v>
      </c>
      <c r="H98" s="3">
        <v>73</v>
      </c>
      <c r="I98" s="3">
        <v>6</v>
      </c>
      <c r="J98" s="3">
        <v>0</v>
      </c>
      <c r="K98" s="3">
        <v>1826</v>
      </c>
      <c r="L98" s="3">
        <v>208</v>
      </c>
      <c r="M98" s="3">
        <v>486</v>
      </c>
      <c r="N98" s="3">
        <v>74</v>
      </c>
      <c r="O98" s="3">
        <v>155</v>
      </c>
      <c r="P98" s="3">
        <v>134</v>
      </c>
      <c r="Q98" s="3">
        <v>331</v>
      </c>
      <c r="R98" s="3">
        <v>53</v>
      </c>
      <c r="S98" s="3">
        <v>67</v>
      </c>
      <c r="T98" s="3">
        <v>32</v>
      </c>
      <c r="U98" s="3">
        <v>206</v>
      </c>
      <c r="V98" s="3">
        <v>238</v>
      </c>
      <c r="W98" s="3">
        <v>93</v>
      </c>
      <c r="X98" s="3">
        <v>87</v>
      </c>
      <c r="Y98" s="3">
        <v>46</v>
      </c>
      <c r="Z98" s="3">
        <v>44</v>
      </c>
      <c r="AA98" s="3">
        <v>137</v>
      </c>
      <c r="AB98" s="3">
        <v>603</v>
      </c>
      <c r="AC98" s="3">
        <v>0.42799999999999999</v>
      </c>
      <c r="AD98" s="3">
        <v>0.47699999999999998</v>
      </c>
      <c r="AE98" s="3">
        <v>0.40500000000000003</v>
      </c>
      <c r="AF98" s="3">
        <v>0.79100000000000004</v>
      </c>
      <c r="AG98" s="3">
        <v>0.58499999999999996</v>
      </c>
      <c r="AH98" s="3">
        <v>0.56599999999999995</v>
      </c>
      <c r="AI98" s="3" t="s">
        <v>506</v>
      </c>
    </row>
    <row r="99" spans="1:35" ht="30">
      <c r="B99" s="3" t="s">
        <v>1220</v>
      </c>
      <c r="C99" s="3">
        <v>4.0999999999999996</v>
      </c>
      <c r="D99" s="3">
        <v>2083</v>
      </c>
      <c r="E99" s="3" t="s">
        <v>1884</v>
      </c>
      <c r="F99" s="3">
        <v>26</v>
      </c>
      <c r="G99" s="3" t="s">
        <v>184</v>
      </c>
      <c r="H99" s="3">
        <v>75</v>
      </c>
      <c r="I99" s="3">
        <v>68</v>
      </c>
      <c r="J99" s="3">
        <v>0</v>
      </c>
      <c r="K99" s="3">
        <v>2083</v>
      </c>
      <c r="L99" s="3">
        <v>320</v>
      </c>
      <c r="M99" s="3">
        <v>725</v>
      </c>
      <c r="N99" s="3">
        <v>211</v>
      </c>
      <c r="O99" s="3">
        <v>420</v>
      </c>
      <c r="P99" s="3">
        <v>109</v>
      </c>
      <c r="Q99" s="3">
        <v>305</v>
      </c>
      <c r="R99" s="3">
        <v>123</v>
      </c>
      <c r="S99" s="3">
        <v>151</v>
      </c>
      <c r="T99" s="3">
        <v>28</v>
      </c>
      <c r="U99" s="3">
        <v>351</v>
      </c>
      <c r="V99" s="3">
        <v>379</v>
      </c>
      <c r="W99" s="3">
        <v>171</v>
      </c>
      <c r="X99" s="3">
        <v>98</v>
      </c>
      <c r="Y99" s="3">
        <v>38</v>
      </c>
      <c r="Z99" s="3">
        <v>138</v>
      </c>
      <c r="AA99" s="3">
        <v>176</v>
      </c>
      <c r="AB99" s="3">
        <v>872</v>
      </c>
      <c r="AC99" s="3">
        <v>0.441</v>
      </c>
      <c r="AD99" s="3">
        <v>0.502</v>
      </c>
      <c r="AE99" s="3">
        <v>0.35699999999999998</v>
      </c>
      <c r="AF99" s="3">
        <v>0.81499999999999995</v>
      </c>
      <c r="AG99" s="3">
        <v>0.55100000000000005</v>
      </c>
      <c r="AH99" s="3">
        <v>0.51700000000000002</v>
      </c>
      <c r="AI99" s="3" t="s">
        <v>722</v>
      </c>
    </row>
    <row r="100" spans="1:35">
      <c r="B100" s="3" t="s">
        <v>1221</v>
      </c>
      <c r="C100" s="3">
        <v>4.0999999999999996</v>
      </c>
      <c r="D100" s="3">
        <v>1233</v>
      </c>
      <c r="E100" s="3" t="s">
        <v>1884</v>
      </c>
      <c r="F100" s="3">
        <v>29</v>
      </c>
      <c r="G100" s="3" t="s">
        <v>34</v>
      </c>
      <c r="H100" s="3">
        <v>81</v>
      </c>
      <c r="I100" s="3">
        <v>1</v>
      </c>
      <c r="J100" s="3">
        <v>0</v>
      </c>
      <c r="K100" s="3">
        <v>1233</v>
      </c>
      <c r="L100" s="3">
        <v>194</v>
      </c>
      <c r="M100" s="3">
        <v>384</v>
      </c>
      <c r="N100" s="3">
        <v>194</v>
      </c>
      <c r="O100" s="3">
        <v>382</v>
      </c>
      <c r="P100" s="3">
        <v>0</v>
      </c>
      <c r="Q100" s="3">
        <v>2</v>
      </c>
      <c r="R100" s="3">
        <v>126</v>
      </c>
      <c r="S100" s="3">
        <v>165</v>
      </c>
      <c r="T100" s="3">
        <v>140</v>
      </c>
      <c r="U100" s="3">
        <v>244</v>
      </c>
      <c r="V100" s="3">
        <v>384</v>
      </c>
      <c r="W100" s="3">
        <v>51</v>
      </c>
      <c r="X100" s="3">
        <v>21</v>
      </c>
      <c r="Y100" s="3">
        <v>52</v>
      </c>
      <c r="Z100" s="3">
        <v>67</v>
      </c>
      <c r="AA100" s="3">
        <v>151</v>
      </c>
      <c r="AB100" s="3">
        <v>514</v>
      </c>
      <c r="AC100" s="3">
        <v>0.505</v>
      </c>
      <c r="AD100" s="3">
        <v>0.50800000000000001</v>
      </c>
      <c r="AE100" s="3">
        <v>0</v>
      </c>
      <c r="AF100" s="3">
        <v>0.76400000000000001</v>
      </c>
      <c r="AG100" s="3">
        <v>0.56299999999999994</v>
      </c>
      <c r="AH100" s="3">
        <v>0.505</v>
      </c>
      <c r="AI100" s="3" t="s">
        <v>570</v>
      </c>
    </row>
    <row r="101" spans="1:35">
      <c r="B101" s="3" t="s">
        <v>1222</v>
      </c>
      <c r="C101" s="3">
        <v>3.8</v>
      </c>
      <c r="D101" s="3">
        <v>1686</v>
      </c>
      <c r="E101" s="3" t="s">
        <v>1884</v>
      </c>
      <c r="F101" s="3">
        <v>30</v>
      </c>
      <c r="G101" s="3" t="s">
        <v>323</v>
      </c>
      <c r="H101" s="3">
        <v>79</v>
      </c>
      <c r="I101" s="3">
        <v>1</v>
      </c>
      <c r="J101" s="3">
        <v>0</v>
      </c>
      <c r="K101" s="3">
        <v>1686</v>
      </c>
      <c r="L101" s="3">
        <v>332</v>
      </c>
      <c r="M101" s="3">
        <v>777</v>
      </c>
      <c r="N101" s="3">
        <v>151</v>
      </c>
      <c r="O101" s="3">
        <v>317</v>
      </c>
      <c r="P101" s="3">
        <v>181</v>
      </c>
      <c r="Q101" s="3">
        <v>460</v>
      </c>
      <c r="R101" s="3">
        <v>120</v>
      </c>
      <c r="S101" s="3">
        <v>155</v>
      </c>
      <c r="T101" s="3">
        <v>55</v>
      </c>
      <c r="U101" s="3">
        <v>247</v>
      </c>
      <c r="V101" s="3">
        <v>302</v>
      </c>
      <c r="W101" s="3">
        <v>89</v>
      </c>
      <c r="X101" s="3">
        <v>32</v>
      </c>
      <c r="Y101" s="3">
        <v>21</v>
      </c>
      <c r="Z101" s="3">
        <v>84</v>
      </c>
      <c r="AA101" s="3">
        <v>159</v>
      </c>
      <c r="AB101" s="3">
        <v>965</v>
      </c>
      <c r="AC101" s="3">
        <v>0.42699999999999999</v>
      </c>
      <c r="AD101" s="3">
        <v>0.47599999999999998</v>
      </c>
      <c r="AE101" s="3">
        <v>0.39300000000000002</v>
      </c>
      <c r="AF101" s="3">
        <v>0.77400000000000002</v>
      </c>
      <c r="AG101" s="3">
        <v>0.57099999999999995</v>
      </c>
      <c r="AH101" s="3">
        <v>0.54400000000000004</v>
      </c>
      <c r="AI101" s="3" t="s">
        <v>506</v>
      </c>
    </row>
    <row r="102" spans="1:35">
      <c r="B102" s="3" t="s">
        <v>1223</v>
      </c>
      <c r="C102" s="3">
        <v>3.4</v>
      </c>
      <c r="D102" s="3">
        <v>1283</v>
      </c>
      <c r="E102" s="3" t="s">
        <v>1879</v>
      </c>
      <c r="F102" s="3">
        <v>36</v>
      </c>
      <c r="G102" s="3" t="s">
        <v>50</v>
      </c>
      <c r="H102" s="3">
        <v>66</v>
      </c>
      <c r="I102" s="3">
        <v>27</v>
      </c>
      <c r="J102" s="3">
        <v>0</v>
      </c>
      <c r="K102" s="3">
        <v>1283</v>
      </c>
      <c r="L102" s="3">
        <v>88</v>
      </c>
      <c r="M102" s="3">
        <v>191</v>
      </c>
      <c r="N102" s="3">
        <v>23</v>
      </c>
      <c r="O102" s="3">
        <v>51</v>
      </c>
      <c r="P102" s="3">
        <v>65</v>
      </c>
      <c r="Q102" s="3">
        <v>140</v>
      </c>
      <c r="R102" s="3">
        <v>11</v>
      </c>
      <c r="S102" s="3">
        <v>12</v>
      </c>
      <c r="T102" s="3">
        <v>36</v>
      </c>
      <c r="U102" s="3">
        <v>93</v>
      </c>
      <c r="V102" s="3">
        <v>129</v>
      </c>
      <c r="W102" s="3">
        <v>228</v>
      </c>
      <c r="X102" s="3">
        <v>67</v>
      </c>
      <c r="Y102" s="3">
        <v>2</v>
      </c>
      <c r="Z102" s="3">
        <v>60</v>
      </c>
      <c r="AA102" s="3">
        <v>132</v>
      </c>
      <c r="AB102" s="3">
        <v>252</v>
      </c>
      <c r="AC102" s="3">
        <v>0.46100000000000002</v>
      </c>
      <c r="AD102" s="3">
        <v>0.45100000000000001</v>
      </c>
      <c r="AE102" s="3">
        <v>0.46400000000000002</v>
      </c>
      <c r="AF102" s="3">
        <v>0.91700000000000004</v>
      </c>
      <c r="AG102" s="3">
        <v>0.64200000000000002</v>
      </c>
      <c r="AH102" s="3">
        <v>0.63100000000000001</v>
      </c>
      <c r="AI102" s="3" t="s">
        <v>6</v>
      </c>
    </row>
    <row r="103" spans="1:35">
      <c r="B103" s="3" t="s">
        <v>1224</v>
      </c>
      <c r="C103" s="3">
        <v>2.2000000000000002</v>
      </c>
      <c r="D103" s="3">
        <v>1667</v>
      </c>
      <c r="E103" s="3" t="s">
        <v>1879</v>
      </c>
      <c r="F103" s="3">
        <v>28</v>
      </c>
      <c r="G103" s="3" t="s">
        <v>44</v>
      </c>
      <c r="H103" s="3">
        <v>72</v>
      </c>
      <c r="I103" s="3">
        <v>42</v>
      </c>
      <c r="J103" s="3">
        <v>0</v>
      </c>
      <c r="K103" s="3">
        <v>1667</v>
      </c>
      <c r="L103" s="3">
        <v>244</v>
      </c>
      <c r="M103" s="3">
        <v>581</v>
      </c>
      <c r="N103" s="3">
        <v>180</v>
      </c>
      <c r="O103" s="3">
        <v>403</v>
      </c>
      <c r="P103" s="3">
        <v>64</v>
      </c>
      <c r="Q103" s="3">
        <v>178</v>
      </c>
      <c r="R103" s="3">
        <v>125</v>
      </c>
      <c r="S103" s="3">
        <v>133</v>
      </c>
      <c r="T103" s="3">
        <v>17</v>
      </c>
      <c r="U103" s="3">
        <v>119</v>
      </c>
      <c r="V103" s="3">
        <v>136</v>
      </c>
      <c r="W103" s="3">
        <v>234</v>
      </c>
      <c r="X103" s="3">
        <v>43</v>
      </c>
      <c r="Y103" s="3">
        <v>7</v>
      </c>
      <c r="Z103" s="3">
        <v>95</v>
      </c>
      <c r="AA103" s="3">
        <v>132</v>
      </c>
      <c r="AB103" s="3">
        <v>677</v>
      </c>
      <c r="AC103" s="3">
        <v>0.42</v>
      </c>
      <c r="AD103" s="3">
        <v>0.44700000000000001</v>
      </c>
      <c r="AE103" s="3">
        <v>0.36</v>
      </c>
      <c r="AF103" s="3">
        <v>0.94</v>
      </c>
      <c r="AG103" s="3">
        <v>0.52900000000000003</v>
      </c>
      <c r="AH103" s="3">
        <v>0.47499999999999998</v>
      </c>
      <c r="AI103" s="3" t="s">
        <v>6</v>
      </c>
    </row>
    <row r="104" spans="1:35" ht="30">
      <c r="B104" s="3" t="s">
        <v>1225</v>
      </c>
      <c r="C104" s="3">
        <v>2.1</v>
      </c>
      <c r="D104" s="3">
        <v>862</v>
      </c>
      <c r="E104" s="3" t="s">
        <v>1865</v>
      </c>
      <c r="F104" s="3">
        <v>28</v>
      </c>
      <c r="G104" s="3" t="s">
        <v>50</v>
      </c>
      <c r="H104" s="3">
        <v>56</v>
      </c>
      <c r="I104" s="3">
        <v>13</v>
      </c>
      <c r="J104" s="3">
        <v>0</v>
      </c>
      <c r="K104" s="3">
        <v>862</v>
      </c>
      <c r="L104" s="3">
        <v>182</v>
      </c>
      <c r="M104" s="3">
        <v>380</v>
      </c>
      <c r="N104" s="3">
        <v>123</v>
      </c>
      <c r="O104" s="3">
        <v>240</v>
      </c>
      <c r="P104" s="3">
        <v>59</v>
      </c>
      <c r="Q104" s="3">
        <v>140</v>
      </c>
      <c r="R104" s="3">
        <v>63</v>
      </c>
      <c r="S104" s="3">
        <v>83</v>
      </c>
      <c r="T104" s="3">
        <v>34</v>
      </c>
      <c r="U104" s="3">
        <v>85</v>
      </c>
      <c r="V104" s="3">
        <v>119</v>
      </c>
      <c r="W104" s="3">
        <v>27</v>
      </c>
      <c r="X104" s="3">
        <v>16</v>
      </c>
      <c r="Y104" s="3">
        <v>12</v>
      </c>
      <c r="Z104" s="3">
        <v>50</v>
      </c>
      <c r="AA104" s="3">
        <v>104</v>
      </c>
      <c r="AB104" s="3">
        <v>486</v>
      </c>
      <c r="AC104" s="3">
        <v>0.47899999999999998</v>
      </c>
      <c r="AD104" s="3">
        <v>0.51300000000000001</v>
      </c>
      <c r="AE104" s="3">
        <v>0.42099999999999999</v>
      </c>
      <c r="AF104" s="3">
        <v>0.75900000000000001</v>
      </c>
      <c r="AG104" s="3">
        <v>0.58299999999999996</v>
      </c>
      <c r="AH104" s="3">
        <v>0.55700000000000005</v>
      </c>
      <c r="AI104" s="3" t="s">
        <v>506</v>
      </c>
    </row>
    <row r="105" spans="1:35">
      <c r="B105" s="3" t="s">
        <v>1226</v>
      </c>
      <c r="C105" s="3">
        <v>2.1</v>
      </c>
      <c r="D105" s="3">
        <v>875</v>
      </c>
      <c r="E105" s="3" t="s">
        <v>1879</v>
      </c>
      <c r="F105" s="3">
        <v>23</v>
      </c>
      <c r="G105" s="3" t="s">
        <v>1891</v>
      </c>
      <c r="H105" s="3">
        <v>46</v>
      </c>
      <c r="I105" s="3">
        <v>25</v>
      </c>
      <c r="J105" s="3">
        <v>0</v>
      </c>
      <c r="K105" s="3">
        <v>875</v>
      </c>
      <c r="L105" s="3">
        <v>130</v>
      </c>
      <c r="M105" s="3">
        <v>274</v>
      </c>
      <c r="N105" s="3">
        <v>130</v>
      </c>
      <c r="O105" s="3">
        <v>273</v>
      </c>
      <c r="P105" s="3">
        <v>0</v>
      </c>
      <c r="Q105" s="3">
        <v>1</v>
      </c>
      <c r="R105" s="3">
        <v>90</v>
      </c>
      <c r="S105" s="3">
        <v>121</v>
      </c>
      <c r="T105" s="3">
        <v>104</v>
      </c>
      <c r="U105" s="3">
        <v>133</v>
      </c>
      <c r="V105" s="3">
        <v>237</v>
      </c>
      <c r="W105" s="3">
        <v>52</v>
      </c>
      <c r="X105" s="3">
        <v>28</v>
      </c>
      <c r="Y105" s="3">
        <v>20</v>
      </c>
      <c r="Z105" s="3">
        <v>41</v>
      </c>
      <c r="AA105" s="3">
        <v>116</v>
      </c>
      <c r="AB105" s="3">
        <v>350</v>
      </c>
      <c r="AC105" s="3">
        <v>0.47399999999999998</v>
      </c>
      <c r="AD105" s="3">
        <v>0.47599999999999998</v>
      </c>
      <c r="AE105" s="3">
        <v>0</v>
      </c>
      <c r="AF105" s="3">
        <v>0.74399999999999999</v>
      </c>
      <c r="AG105" s="3">
        <v>0.53500000000000003</v>
      </c>
      <c r="AH105" s="3">
        <v>0.47399999999999998</v>
      </c>
      <c r="AI105" s="3" t="s">
        <v>570</v>
      </c>
    </row>
    <row r="106" spans="1:35">
      <c r="B106" s="3" t="s">
        <v>1227</v>
      </c>
      <c r="C106" s="3">
        <v>1.1000000000000001</v>
      </c>
      <c r="D106" s="3">
        <v>857</v>
      </c>
      <c r="E106" s="3" t="s">
        <v>1884</v>
      </c>
      <c r="F106" s="3">
        <v>25</v>
      </c>
      <c r="G106" s="3" t="s">
        <v>193</v>
      </c>
      <c r="H106" s="3">
        <v>70</v>
      </c>
      <c r="I106" s="3">
        <v>2</v>
      </c>
      <c r="J106" s="3">
        <v>0</v>
      </c>
      <c r="K106" s="3">
        <v>857</v>
      </c>
      <c r="L106" s="3">
        <v>72</v>
      </c>
      <c r="M106" s="3">
        <v>194</v>
      </c>
      <c r="N106" s="3">
        <v>45</v>
      </c>
      <c r="O106" s="3">
        <v>95</v>
      </c>
      <c r="P106" s="3">
        <v>27</v>
      </c>
      <c r="Q106" s="3">
        <v>99</v>
      </c>
      <c r="R106" s="3">
        <v>34</v>
      </c>
      <c r="S106" s="3">
        <v>42</v>
      </c>
      <c r="T106" s="3">
        <v>27</v>
      </c>
      <c r="U106" s="3">
        <v>105</v>
      </c>
      <c r="V106" s="3">
        <v>132</v>
      </c>
      <c r="W106" s="3">
        <v>45</v>
      </c>
      <c r="X106" s="3">
        <v>32</v>
      </c>
      <c r="Y106" s="3">
        <v>20</v>
      </c>
      <c r="Z106" s="3">
        <v>40</v>
      </c>
      <c r="AA106" s="3">
        <v>100</v>
      </c>
      <c r="AB106" s="3">
        <v>205</v>
      </c>
      <c r="AC106" s="3">
        <v>0.371</v>
      </c>
      <c r="AD106" s="3">
        <v>0.47399999999999998</v>
      </c>
      <c r="AE106" s="3">
        <v>0.27300000000000002</v>
      </c>
      <c r="AF106" s="3">
        <v>0.81</v>
      </c>
      <c r="AG106" s="3">
        <v>0.48199999999999998</v>
      </c>
      <c r="AH106" s="3">
        <v>0.441</v>
      </c>
      <c r="AI106" s="3" t="s">
        <v>1080</v>
      </c>
    </row>
    <row r="107" spans="1:35">
      <c r="B107" s="3" t="s">
        <v>1228</v>
      </c>
      <c r="C107" s="3">
        <v>0.8</v>
      </c>
      <c r="D107" s="3">
        <v>1840</v>
      </c>
      <c r="E107" s="3" t="s">
        <v>1865</v>
      </c>
      <c r="F107" s="3">
        <v>24</v>
      </c>
      <c r="G107" s="3" t="s">
        <v>135</v>
      </c>
      <c r="H107" s="3">
        <v>77</v>
      </c>
      <c r="I107" s="3">
        <v>16</v>
      </c>
      <c r="J107" s="3">
        <v>0</v>
      </c>
      <c r="K107" s="3">
        <v>1840</v>
      </c>
      <c r="L107" s="3">
        <v>236</v>
      </c>
      <c r="M107" s="3">
        <v>635</v>
      </c>
      <c r="N107" s="3">
        <v>151</v>
      </c>
      <c r="O107" s="3">
        <v>347</v>
      </c>
      <c r="P107" s="3">
        <v>85</v>
      </c>
      <c r="Q107" s="3">
        <v>288</v>
      </c>
      <c r="R107" s="3">
        <v>108</v>
      </c>
      <c r="S107" s="3">
        <v>150</v>
      </c>
      <c r="T107" s="3">
        <v>41</v>
      </c>
      <c r="U107" s="3">
        <v>134</v>
      </c>
      <c r="V107" s="3">
        <v>175</v>
      </c>
      <c r="W107" s="3">
        <v>286</v>
      </c>
      <c r="X107" s="3">
        <v>54</v>
      </c>
      <c r="Y107" s="3">
        <v>27</v>
      </c>
      <c r="Z107" s="3">
        <v>147</v>
      </c>
      <c r="AA107" s="3">
        <v>117</v>
      </c>
      <c r="AB107" s="3">
        <v>665</v>
      </c>
      <c r="AC107" s="3">
        <v>0.372</v>
      </c>
      <c r="AD107" s="3">
        <v>0.435</v>
      </c>
      <c r="AE107" s="3">
        <v>0.29499999999999998</v>
      </c>
      <c r="AF107" s="3">
        <v>0.72</v>
      </c>
      <c r="AG107" s="3">
        <v>0.47399999999999998</v>
      </c>
      <c r="AH107" s="3">
        <v>0.439</v>
      </c>
      <c r="AI107" s="3" t="s">
        <v>6</v>
      </c>
    </row>
    <row r="108" spans="1:35">
      <c r="B108" s="3" t="s">
        <v>1229</v>
      </c>
      <c r="C108" s="3">
        <v>0.1</v>
      </c>
      <c r="D108" s="3">
        <v>803</v>
      </c>
      <c r="E108" s="3" t="s">
        <v>1865</v>
      </c>
      <c r="F108" s="3">
        <v>22</v>
      </c>
      <c r="G108" s="3" t="s">
        <v>179</v>
      </c>
      <c r="H108" s="3">
        <v>63</v>
      </c>
      <c r="I108" s="3">
        <v>17</v>
      </c>
      <c r="J108" s="3">
        <v>0</v>
      </c>
      <c r="K108" s="3">
        <v>803</v>
      </c>
      <c r="L108" s="3">
        <v>95</v>
      </c>
      <c r="M108" s="3">
        <v>218</v>
      </c>
      <c r="N108" s="3">
        <v>86</v>
      </c>
      <c r="O108" s="3">
        <v>183</v>
      </c>
      <c r="P108" s="3">
        <v>9</v>
      </c>
      <c r="Q108" s="3">
        <v>35</v>
      </c>
      <c r="R108" s="3">
        <v>34</v>
      </c>
      <c r="S108" s="3">
        <v>51</v>
      </c>
      <c r="T108" s="3">
        <v>17</v>
      </c>
      <c r="U108" s="3">
        <v>88</v>
      </c>
      <c r="V108" s="3">
        <v>105</v>
      </c>
      <c r="W108" s="3">
        <v>16</v>
      </c>
      <c r="X108" s="3">
        <v>19</v>
      </c>
      <c r="Y108" s="3">
        <v>22</v>
      </c>
      <c r="Z108" s="3">
        <v>30</v>
      </c>
      <c r="AA108" s="3">
        <v>55</v>
      </c>
      <c r="AB108" s="3">
        <v>233</v>
      </c>
      <c r="AC108" s="3">
        <v>0.436</v>
      </c>
      <c r="AD108" s="3">
        <v>0.47</v>
      </c>
      <c r="AE108" s="3">
        <v>0.25700000000000001</v>
      </c>
      <c r="AF108" s="3">
        <v>0.66700000000000004</v>
      </c>
      <c r="AG108" s="3">
        <v>0.48499999999999999</v>
      </c>
      <c r="AH108" s="3">
        <v>0.45600000000000002</v>
      </c>
      <c r="AI108" s="3" t="s">
        <v>506</v>
      </c>
    </row>
    <row r="109" spans="1:35">
      <c r="B109" s="3" t="s">
        <v>1230</v>
      </c>
      <c r="C109" s="3">
        <v>-0.8</v>
      </c>
      <c r="D109" s="3">
        <v>1048</v>
      </c>
      <c r="E109" s="3" t="s">
        <v>1879</v>
      </c>
      <c r="F109" s="3">
        <v>25</v>
      </c>
      <c r="G109" s="3" t="s">
        <v>193</v>
      </c>
      <c r="H109" s="3">
        <v>71</v>
      </c>
      <c r="I109" s="3">
        <v>0</v>
      </c>
      <c r="J109" s="3">
        <v>0</v>
      </c>
      <c r="K109" s="3">
        <v>1048</v>
      </c>
      <c r="L109" s="3">
        <v>101</v>
      </c>
      <c r="M109" s="3">
        <v>265</v>
      </c>
      <c r="N109" s="3">
        <v>65</v>
      </c>
      <c r="O109" s="3">
        <v>169</v>
      </c>
      <c r="P109" s="3">
        <v>36</v>
      </c>
      <c r="Q109" s="3">
        <v>96</v>
      </c>
      <c r="R109" s="3">
        <v>10</v>
      </c>
      <c r="S109" s="3">
        <v>12</v>
      </c>
      <c r="T109" s="3">
        <v>11</v>
      </c>
      <c r="U109" s="3">
        <v>86</v>
      </c>
      <c r="V109" s="3">
        <v>97</v>
      </c>
      <c r="W109" s="3">
        <v>120</v>
      </c>
      <c r="X109" s="3">
        <v>41</v>
      </c>
      <c r="Y109" s="3">
        <v>5</v>
      </c>
      <c r="Z109" s="3">
        <v>75</v>
      </c>
      <c r="AA109" s="3">
        <v>75</v>
      </c>
      <c r="AB109" s="3">
        <v>248</v>
      </c>
      <c r="AC109" s="3">
        <v>0.38100000000000001</v>
      </c>
      <c r="AD109" s="3">
        <v>0.38500000000000001</v>
      </c>
      <c r="AE109" s="3">
        <v>0.375</v>
      </c>
      <c r="AF109" s="3">
        <v>0.83299999999999996</v>
      </c>
      <c r="AG109" s="3">
        <v>0.45900000000000002</v>
      </c>
      <c r="AH109" s="3">
        <v>0.44900000000000001</v>
      </c>
      <c r="AI109" s="3" t="s">
        <v>6</v>
      </c>
    </row>
    <row r="111" spans="1:35" ht="30">
      <c r="A111" s="1" t="s">
        <v>1892</v>
      </c>
    </row>
    <row r="112" spans="1:35">
      <c r="B112" s="1" t="s">
        <v>3</v>
      </c>
      <c r="C112" s="1" t="s">
        <v>14</v>
      </c>
      <c r="D112" s="1" t="s">
        <v>7</v>
      </c>
      <c r="E112" s="1" t="s">
        <v>1824</v>
      </c>
      <c r="F112" s="1" t="s">
        <v>1825</v>
      </c>
      <c r="G112" s="1" t="s">
        <v>499</v>
      </c>
      <c r="H112" s="1" t="s">
        <v>6</v>
      </c>
      <c r="I112" s="1" t="s">
        <v>1826</v>
      </c>
      <c r="J112" s="1" t="s">
        <v>1827</v>
      </c>
      <c r="K112" s="1" t="s">
        <v>7</v>
      </c>
      <c r="L112" s="1" t="s">
        <v>1828</v>
      </c>
      <c r="M112" s="1" t="s">
        <v>1829</v>
      </c>
      <c r="N112" s="1" t="s">
        <v>1830</v>
      </c>
      <c r="O112" s="1" t="s">
        <v>1831</v>
      </c>
      <c r="P112" s="1" t="s">
        <v>1832</v>
      </c>
      <c r="Q112" s="1" t="s">
        <v>1833</v>
      </c>
      <c r="R112" s="1" t="s">
        <v>1834</v>
      </c>
      <c r="S112" s="1" t="s">
        <v>1835</v>
      </c>
      <c r="T112" s="1" t="s">
        <v>1836</v>
      </c>
      <c r="U112" s="1" t="s">
        <v>1837</v>
      </c>
      <c r="V112" s="1" t="s">
        <v>9</v>
      </c>
      <c r="W112" s="1" t="s">
        <v>10</v>
      </c>
      <c r="X112" s="1" t="s">
        <v>1838</v>
      </c>
      <c r="Y112" s="1" t="s">
        <v>1839</v>
      </c>
      <c r="Z112" s="1" t="s">
        <v>1840</v>
      </c>
      <c r="AA112" s="1" t="s">
        <v>1841</v>
      </c>
      <c r="AB112" s="1" t="s">
        <v>8</v>
      </c>
      <c r="AC112" s="1" t="s">
        <v>11</v>
      </c>
      <c r="AD112" s="1" t="s">
        <v>1842</v>
      </c>
      <c r="AE112" s="1" t="s">
        <v>12</v>
      </c>
      <c r="AF112" s="1" t="s">
        <v>13</v>
      </c>
      <c r="AG112" s="1" t="s">
        <v>1843</v>
      </c>
      <c r="AH112" s="1" t="s">
        <v>1844</v>
      </c>
      <c r="AI112" s="1" t="s">
        <v>500</v>
      </c>
    </row>
    <row r="113" spans="1:35" ht="30">
      <c r="B113" s="3" t="s">
        <v>1154</v>
      </c>
      <c r="C113" s="3">
        <v>6.1</v>
      </c>
      <c r="D113" s="3">
        <v>2532</v>
      </c>
      <c r="E113" s="3" t="s">
        <v>1875</v>
      </c>
      <c r="F113" s="3">
        <v>27</v>
      </c>
      <c r="G113" s="3" t="s">
        <v>66</v>
      </c>
      <c r="H113" s="3">
        <v>80</v>
      </c>
      <c r="I113" s="3">
        <v>80</v>
      </c>
      <c r="J113" s="3">
        <v>0</v>
      </c>
      <c r="K113" s="3">
        <v>2532</v>
      </c>
      <c r="L113" s="3">
        <v>345</v>
      </c>
      <c r="M113" s="3">
        <v>836</v>
      </c>
      <c r="N113" s="3">
        <v>142</v>
      </c>
      <c r="O113" s="3">
        <v>286</v>
      </c>
      <c r="P113" s="3">
        <v>203</v>
      </c>
      <c r="Q113" s="3">
        <v>550</v>
      </c>
      <c r="R113" s="3">
        <v>116</v>
      </c>
      <c r="S113" s="3">
        <v>136</v>
      </c>
      <c r="T113" s="3">
        <v>55</v>
      </c>
      <c r="U113" s="3">
        <v>378</v>
      </c>
      <c r="V113" s="3">
        <v>433</v>
      </c>
      <c r="W113" s="3">
        <v>156</v>
      </c>
      <c r="X113" s="3">
        <v>137</v>
      </c>
      <c r="Y113" s="3">
        <v>72</v>
      </c>
      <c r="Z113" s="3">
        <v>126</v>
      </c>
      <c r="AA113" s="3">
        <v>238</v>
      </c>
      <c r="AB113" s="3">
        <v>1009</v>
      </c>
      <c r="AC113" s="3">
        <v>0.41299999999999998</v>
      </c>
      <c r="AD113" s="3">
        <v>0.497</v>
      </c>
      <c r="AE113" s="3">
        <v>0.36899999999999999</v>
      </c>
      <c r="AF113" s="3">
        <v>0.85299999999999998</v>
      </c>
      <c r="AG113" s="3">
        <v>0.56299999999999994</v>
      </c>
      <c r="AH113" s="3">
        <v>0.53400000000000003</v>
      </c>
      <c r="AI113" s="3" t="s">
        <v>1001</v>
      </c>
    </row>
    <row r="114" spans="1:35" ht="30">
      <c r="B114" s="3" t="s">
        <v>1155</v>
      </c>
      <c r="C114" s="3">
        <v>5.2</v>
      </c>
      <c r="D114" s="3">
        <v>1330</v>
      </c>
      <c r="E114" s="3" t="s">
        <v>1893</v>
      </c>
      <c r="F114" s="3">
        <v>27</v>
      </c>
      <c r="G114" s="3" t="s">
        <v>79</v>
      </c>
      <c r="H114" s="3">
        <v>76</v>
      </c>
      <c r="I114" s="3">
        <v>37</v>
      </c>
      <c r="J114" s="3">
        <v>0</v>
      </c>
      <c r="K114" s="3">
        <v>1330</v>
      </c>
      <c r="L114" s="3">
        <v>161</v>
      </c>
      <c r="M114" s="3">
        <v>259</v>
      </c>
      <c r="N114" s="3">
        <v>161</v>
      </c>
      <c r="O114" s="3">
        <v>259</v>
      </c>
      <c r="P114" s="3">
        <v>0</v>
      </c>
      <c r="Q114" s="3">
        <v>0</v>
      </c>
      <c r="R114" s="3">
        <v>65</v>
      </c>
      <c r="S114" s="3">
        <v>93</v>
      </c>
      <c r="T114" s="3">
        <v>129</v>
      </c>
      <c r="U114" s="3">
        <v>367</v>
      </c>
      <c r="V114" s="3">
        <v>496</v>
      </c>
      <c r="W114" s="3">
        <v>44</v>
      </c>
      <c r="X114" s="3">
        <v>37</v>
      </c>
      <c r="Y114" s="3">
        <v>61</v>
      </c>
      <c r="Z114" s="3">
        <v>61</v>
      </c>
      <c r="AA114" s="3">
        <v>180</v>
      </c>
      <c r="AB114" s="3">
        <v>387</v>
      </c>
      <c r="AC114" s="3">
        <v>0.622</v>
      </c>
      <c r="AD114" s="3">
        <v>0.622</v>
      </c>
      <c r="AE114" s="2"/>
      <c r="AF114" s="3">
        <v>0.69899999999999995</v>
      </c>
      <c r="AG114" s="3">
        <v>0.64500000000000002</v>
      </c>
      <c r="AH114" s="3">
        <v>0.622</v>
      </c>
      <c r="AI114" s="3" t="s">
        <v>570</v>
      </c>
    </row>
    <row r="115" spans="1:35">
      <c r="B115" s="3" t="s">
        <v>1156</v>
      </c>
      <c r="C115" s="3">
        <v>4.5999999999999996</v>
      </c>
      <c r="D115" s="3">
        <v>2029</v>
      </c>
      <c r="E115" s="3" t="s">
        <v>1893</v>
      </c>
      <c r="F115" s="3">
        <v>26</v>
      </c>
      <c r="G115" s="3" t="s">
        <v>20</v>
      </c>
      <c r="H115" s="3">
        <v>70</v>
      </c>
      <c r="I115" s="3">
        <v>42</v>
      </c>
      <c r="J115" s="3">
        <v>0</v>
      </c>
      <c r="K115" s="3">
        <v>2029</v>
      </c>
      <c r="L115" s="3">
        <v>338</v>
      </c>
      <c r="M115" s="3">
        <v>703</v>
      </c>
      <c r="N115" s="3">
        <v>201</v>
      </c>
      <c r="O115" s="3">
        <v>381</v>
      </c>
      <c r="P115" s="3">
        <v>137</v>
      </c>
      <c r="Q115" s="3">
        <v>322</v>
      </c>
      <c r="R115" s="3">
        <v>85</v>
      </c>
      <c r="S115" s="3">
        <v>100</v>
      </c>
      <c r="T115" s="3">
        <v>25</v>
      </c>
      <c r="U115" s="3">
        <v>154</v>
      </c>
      <c r="V115" s="3">
        <v>179</v>
      </c>
      <c r="W115" s="3">
        <v>189</v>
      </c>
      <c r="X115" s="3">
        <v>79</v>
      </c>
      <c r="Y115" s="3">
        <v>7</v>
      </c>
      <c r="Z115" s="3">
        <v>92</v>
      </c>
      <c r="AA115" s="3">
        <v>126</v>
      </c>
      <c r="AB115" s="3">
        <v>898</v>
      </c>
      <c r="AC115" s="3">
        <v>0.48099999999999998</v>
      </c>
      <c r="AD115" s="3">
        <v>0.52800000000000002</v>
      </c>
      <c r="AE115" s="3">
        <v>0.42499999999999999</v>
      </c>
      <c r="AF115" s="3">
        <v>0.85</v>
      </c>
      <c r="AG115" s="3">
        <v>0.60099999999999998</v>
      </c>
      <c r="AH115" s="3">
        <v>0.57799999999999996</v>
      </c>
      <c r="AI115" s="3" t="s">
        <v>6</v>
      </c>
    </row>
    <row r="116" spans="1:35" ht="30">
      <c r="B116" s="3" t="s">
        <v>1157</v>
      </c>
      <c r="C116" s="3">
        <v>3.8</v>
      </c>
      <c r="D116" s="3">
        <v>1867</v>
      </c>
      <c r="E116" s="3" t="s">
        <v>1884</v>
      </c>
      <c r="F116" s="3">
        <v>25</v>
      </c>
      <c r="G116" s="3" t="s">
        <v>76</v>
      </c>
      <c r="H116" s="3">
        <v>76</v>
      </c>
      <c r="I116" s="3">
        <v>14</v>
      </c>
      <c r="J116" s="3">
        <v>0</v>
      </c>
      <c r="K116" s="3">
        <v>1867</v>
      </c>
      <c r="L116" s="3">
        <v>207</v>
      </c>
      <c r="M116" s="3">
        <v>511</v>
      </c>
      <c r="N116" s="3">
        <v>109</v>
      </c>
      <c r="O116" s="3">
        <v>272</v>
      </c>
      <c r="P116" s="3">
        <v>98</v>
      </c>
      <c r="Q116" s="3">
        <v>239</v>
      </c>
      <c r="R116" s="3">
        <v>57</v>
      </c>
      <c r="S116" s="3">
        <v>66</v>
      </c>
      <c r="T116" s="3">
        <v>33</v>
      </c>
      <c r="U116" s="3">
        <v>129</v>
      </c>
      <c r="V116" s="3">
        <v>162</v>
      </c>
      <c r="W116" s="3">
        <v>337</v>
      </c>
      <c r="X116" s="3">
        <v>44</v>
      </c>
      <c r="Y116" s="3">
        <v>9</v>
      </c>
      <c r="Z116" s="3">
        <v>116</v>
      </c>
      <c r="AA116" s="3">
        <v>178</v>
      </c>
      <c r="AB116" s="3">
        <v>569</v>
      </c>
      <c r="AC116" s="3">
        <v>0.40500000000000003</v>
      </c>
      <c r="AD116" s="3">
        <v>0.40100000000000002</v>
      </c>
      <c r="AE116" s="3">
        <v>0.41</v>
      </c>
      <c r="AF116" s="3">
        <v>0.86399999999999999</v>
      </c>
      <c r="AG116" s="3">
        <v>0.52700000000000002</v>
      </c>
      <c r="AH116" s="3">
        <v>0.501</v>
      </c>
      <c r="AI116" s="3" t="s">
        <v>6</v>
      </c>
    </row>
    <row r="117" spans="1:35" ht="30">
      <c r="B117" s="3" t="s">
        <v>1158</v>
      </c>
      <c r="C117" s="3">
        <v>2.6</v>
      </c>
      <c r="D117" s="3">
        <v>1776</v>
      </c>
      <c r="E117" s="3" t="s">
        <v>1873</v>
      </c>
      <c r="F117" s="3">
        <v>23</v>
      </c>
      <c r="G117" s="3" t="s">
        <v>66</v>
      </c>
      <c r="H117" s="3">
        <v>71</v>
      </c>
      <c r="I117" s="3">
        <v>23</v>
      </c>
      <c r="J117" s="3">
        <v>0</v>
      </c>
      <c r="K117" s="3">
        <v>1776</v>
      </c>
      <c r="L117" s="3">
        <v>224</v>
      </c>
      <c r="M117" s="3">
        <v>543</v>
      </c>
      <c r="N117" s="3">
        <v>109</v>
      </c>
      <c r="O117" s="3">
        <v>256</v>
      </c>
      <c r="P117" s="3">
        <v>115</v>
      </c>
      <c r="Q117" s="3">
        <v>287</v>
      </c>
      <c r="R117" s="3">
        <v>63</v>
      </c>
      <c r="S117" s="3">
        <v>89</v>
      </c>
      <c r="T117" s="3">
        <v>53</v>
      </c>
      <c r="U117" s="3">
        <v>145</v>
      </c>
      <c r="V117" s="3">
        <v>198</v>
      </c>
      <c r="W117" s="3">
        <v>85</v>
      </c>
      <c r="X117" s="3">
        <v>57</v>
      </c>
      <c r="Y117" s="3">
        <v>26</v>
      </c>
      <c r="Z117" s="3">
        <v>66</v>
      </c>
      <c r="AA117" s="3">
        <v>141</v>
      </c>
      <c r="AB117" s="3">
        <v>626</v>
      </c>
      <c r="AC117" s="3">
        <v>0.41299999999999998</v>
      </c>
      <c r="AD117" s="3">
        <v>0.42599999999999999</v>
      </c>
      <c r="AE117" s="3">
        <v>0.40100000000000002</v>
      </c>
      <c r="AF117" s="3">
        <v>0.70799999999999996</v>
      </c>
      <c r="AG117" s="3">
        <v>0.53800000000000003</v>
      </c>
      <c r="AH117" s="3">
        <v>0.51800000000000002</v>
      </c>
      <c r="AI117" s="3" t="s">
        <v>722</v>
      </c>
    </row>
    <row r="118" spans="1:35">
      <c r="B118" s="3" t="s">
        <v>1159</v>
      </c>
      <c r="C118" s="3">
        <v>2.2999999999999998</v>
      </c>
      <c r="D118" s="3">
        <v>1137</v>
      </c>
      <c r="E118" s="3" t="s">
        <v>1893</v>
      </c>
      <c r="F118" s="3">
        <v>25</v>
      </c>
      <c r="G118" s="3" t="s">
        <v>25</v>
      </c>
      <c r="H118" s="3">
        <v>77</v>
      </c>
      <c r="I118" s="3">
        <v>0</v>
      </c>
      <c r="J118" s="3">
        <v>0</v>
      </c>
      <c r="K118" s="3">
        <v>1137</v>
      </c>
      <c r="L118" s="3">
        <v>211</v>
      </c>
      <c r="M118" s="3">
        <v>433</v>
      </c>
      <c r="N118" s="3">
        <v>150</v>
      </c>
      <c r="O118" s="3">
        <v>270</v>
      </c>
      <c r="P118" s="3">
        <v>61</v>
      </c>
      <c r="Q118" s="3">
        <v>163</v>
      </c>
      <c r="R118" s="3">
        <v>44</v>
      </c>
      <c r="S118" s="3">
        <v>58</v>
      </c>
      <c r="T118" s="3">
        <v>22</v>
      </c>
      <c r="U118" s="3">
        <v>99</v>
      </c>
      <c r="V118" s="3">
        <v>121</v>
      </c>
      <c r="W118" s="3">
        <v>90</v>
      </c>
      <c r="X118" s="3">
        <v>39</v>
      </c>
      <c r="Y118" s="3">
        <v>8</v>
      </c>
      <c r="Z118" s="3">
        <v>55</v>
      </c>
      <c r="AA118" s="3">
        <v>77</v>
      </c>
      <c r="AB118" s="3">
        <v>527</v>
      </c>
      <c r="AC118" s="3">
        <v>0.48699999999999999</v>
      </c>
      <c r="AD118" s="3">
        <v>0.55600000000000005</v>
      </c>
      <c r="AE118" s="3">
        <v>0.374</v>
      </c>
      <c r="AF118" s="3">
        <v>0.75900000000000001</v>
      </c>
      <c r="AG118" s="3">
        <v>0.57499999999999996</v>
      </c>
      <c r="AH118" s="3">
        <v>0.55800000000000005</v>
      </c>
      <c r="AI118" s="3" t="s">
        <v>6</v>
      </c>
    </row>
    <row r="119" spans="1:35">
      <c r="B119" s="3" t="s">
        <v>1160</v>
      </c>
      <c r="C119" s="3">
        <v>1.5</v>
      </c>
      <c r="D119" s="3">
        <v>1037</v>
      </c>
      <c r="E119" s="3" t="s">
        <v>1873</v>
      </c>
      <c r="F119" s="3">
        <v>32</v>
      </c>
      <c r="G119" s="3" t="s">
        <v>184</v>
      </c>
      <c r="H119" s="3">
        <v>63</v>
      </c>
      <c r="I119" s="3">
        <v>3</v>
      </c>
      <c r="J119" s="3">
        <v>0</v>
      </c>
      <c r="K119" s="3">
        <v>1037</v>
      </c>
      <c r="L119" s="3">
        <v>108</v>
      </c>
      <c r="M119" s="3">
        <v>296</v>
      </c>
      <c r="N119" s="3">
        <v>56</v>
      </c>
      <c r="O119" s="3">
        <v>123</v>
      </c>
      <c r="P119" s="3">
        <v>52</v>
      </c>
      <c r="Q119" s="3">
        <v>173</v>
      </c>
      <c r="R119" s="3">
        <v>88</v>
      </c>
      <c r="S119" s="3">
        <v>123</v>
      </c>
      <c r="T119" s="3">
        <v>58</v>
      </c>
      <c r="U119" s="3">
        <v>131</v>
      </c>
      <c r="V119" s="3">
        <v>189</v>
      </c>
      <c r="W119" s="3">
        <v>49</v>
      </c>
      <c r="X119" s="3">
        <v>18</v>
      </c>
      <c r="Y119" s="3">
        <v>14</v>
      </c>
      <c r="Z119" s="3">
        <v>49</v>
      </c>
      <c r="AA119" s="3">
        <v>132</v>
      </c>
      <c r="AB119" s="3">
        <v>356</v>
      </c>
      <c r="AC119" s="3">
        <v>0.36499999999999999</v>
      </c>
      <c r="AD119" s="3">
        <v>0.45500000000000002</v>
      </c>
      <c r="AE119" s="3">
        <v>0.30099999999999999</v>
      </c>
      <c r="AF119" s="3">
        <v>0.71499999999999997</v>
      </c>
      <c r="AG119" s="3">
        <v>0.50800000000000001</v>
      </c>
      <c r="AH119" s="3">
        <v>0.45300000000000001</v>
      </c>
      <c r="AI119" s="3" t="s">
        <v>846</v>
      </c>
    </row>
    <row r="120" spans="1:35">
      <c r="B120" s="3" t="s">
        <v>1161</v>
      </c>
      <c r="C120" s="3">
        <v>1.4</v>
      </c>
      <c r="D120" s="3">
        <v>1622</v>
      </c>
      <c r="E120" s="3" t="s">
        <v>1875</v>
      </c>
      <c r="F120" s="3">
        <v>26</v>
      </c>
      <c r="G120" s="3" t="s">
        <v>323</v>
      </c>
      <c r="H120" s="3">
        <v>79</v>
      </c>
      <c r="I120" s="3">
        <v>15</v>
      </c>
      <c r="J120" s="3">
        <v>0</v>
      </c>
      <c r="K120" s="3">
        <v>1622</v>
      </c>
      <c r="L120" s="3">
        <v>232</v>
      </c>
      <c r="M120" s="3">
        <v>575</v>
      </c>
      <c r="N120" s="3">
        <v>49</v>
      </c>
      <c r="O120" s="3">
        <v>117</v>
      </c>
      <c r="P120" s="3">
        <v>183</v>
      </c>
      <c r="Q120" s="3">
        <v>458</v>
      </c>
      <c r="R120" s="3">
        <v>56</v>
      </c>
      <c r="S120" s="3">
        <v>64</v>
      </c>
      <c r="T120" s="3">
        <v>12</v>
      </c>
      <c r="U120" s="3">
        <v>115</v>
      </c>
      <c r="V120" s="3">
        <v>127</v>
      </c>
      <c r="W120" s="3">
        <v>48</v>
      </c>
      <c r="X120" s="3">
        <v>26</v>
      </c>
      <c r="Y120" s="3">
        <v>5</v>
      </c>
      <c r="Z120" s="3">
        <v>56</v>
      </c>
      <c r="AA120" s="3">
        <v>137</v>
      </c>
      <c r="AB120" s="3">
        <v>703</v>
      </c>
      <c r="AC120" s="3">
        <v>0.40300000000000002</v>
      </c>
      <c r="AD120" s="3">
        <v>0.41899999999999998</v>
      </c>
      <c r="AE120" s="3">
        <v>0.4</v>
      </c>
      <c r="AF120" s="3">
        <v>0.875</v>
      </c>
      <c r="AG120" s="3">
        <v>0.58299999999999996</v>
      </c>
      <c r="AH120" s="3">
        <v>0.56299999999999994</v>
      </c>
      <c r="AI120" s="3" t="s">
        <v>6</v>
      </c>
    </row>
    <row r="121" spans="1:35">
      <c r="B121" s="3" t="s">
        <v>1162</v>
      </c>
      <c r="C121" s="3">
        <v>0.1</v>
      </c>
      <c r="D121" s="3">
        <v>1132</v>
      </c>
      <c r="E121" s="3" t="s">
        <v>1879</v>
      </c>
      <c r="F121" s="3">
        <v>22</v>
      </c>
      <c r="G121" s="3" t="s">
        <v>190</v>
      </c>
      <c r="H121" s="3">
        <v>75</v>
      </c>
      <c r="I121" s="3">
        <v>11</v>
      </c>
      <c r="J121" s="3">
        <v>0</v>
      </c>
      <c r="K121" s="3">
        <v>1132</v>
      </c>
      <c r="L121" s="3">
        <v>78</v>
      </c>
      <c r="M121" s="3">
        <v>253</v>
      </c>
      <c r="N121" s="3">
        <v>50</v>
      </c>
      <c r="O121" s="3">
        <v>147</v>
      </c>
      <c r="P121" s="3">
        <v>28</v>
      </c>
      <c r="Q121" s="3">
        <v>106</v>
      </c>
      <c r="R121" s="3">
        <v>29</v>
      </c>
      <c r="S121" s="3">
        <v>45</v>
      </c>
      <c r="T121" s="3">
        <v>20</v>
      </c>
      <c r="U121" s="3">
        <v>85</v>
      </c>
      <c r="V121" s="3">
        <v>105</v>
      </c>
      <c r="W121" s="3">
        <v>241</v>
      </c>
      <c r="X121" s="3">
        <v>68</v>
      </c>
      <c r="Y121" s="3">
        <v>5</v>
      </c>
      <c r="Z121" s="3">
        <v>87</v>
      </c>
      <c r="AA121" s="3">
        <v>97</v>
      </c>
      <c r="AB121" s="3">
        <v>213</v>
      </c>
      <c r="AC121" s="3">
        <v>0.308</v>
      </c>
      <c r="AD121" s="3">
        <v>0.34</v>
      </c>
      <c r="AE121" s="3">
        <v>0.26400000000000001</v>
      </c>
      <c r="AF121" s="3">
        <v>0.64400000000000002</v>
      </c>
      <c r="AG121" s="3">
        <v>0.39</v>
      </c>
      <c r="AH121" s="3">
        <v>0.36399999999999999</v>
      </c>
      <c r="AI121" s="3" t="s">
        <v>6</v>
      </c>
    </row>
    <row r="123" spans="1:35" ht="30">
      <c r="A123" s="1" t="s">
        <v>1894</v>
      </c>
    </row>
    <row r="124" spans="1:35">
      <c r="B124" s="1" t="s">
        <v>3</v>
      </c>
      <c r="C124" s="1" t="s">
        <v>14</v>
      </c>
      <c r="D124" s="1" t="s">
        <v>7</v>
      </c>
      <c r="E124" s="1" t="s">
        <v>1824</v>
      </c>
      <c r="F124" s="1" t="s">
        <v>1825</v>
      </c>
      <c r="G124" s="1" t="s">
        <v>499</v>
      </c>
      <c r="H124" s="1" t="s">
        <v>6</v>
      </c>
      <c r="I124" s="1" t="s">
        <v>1826</v>
      </c>
      <c r="J124" s="1" t="s">
        <v>1827</v>
      </c>
      <c r="K124" s="1" t="s">
        <v>7</v>
      </c>
      <c r="L124" s="1" t="s">
        <v>1828</v>
      </c>
      <c r="M124" s="1" t="s">
        <v>1829</v>
      </c>
      <c r="N124" s="1" t="s">
        <v>1830</v>
      </c>
      <c r="O124" s="1" t="s">
        <v>1831</v>
      </c>
      <c r="P124" s="1" t="s">
        <v>1832</v>
      </c>
      <c r="Q124" s="1" t="s">
        <v>1833</v>
      </c>
      <c r="R124" s="1" t="s">
        <v>1834</v>
      </c>
      <c r="S124" s="1" t="s">
        <v>1835</v>
      </c>
      <c r="T124" s="1" t="s">
        <v>1836</v>
      </c>
      <c r="U124" s="1" t="s">
        <v>1837</v>
      </c>
      <c r="V124" s="1" t="s">
        <v>9</v>
      </c>
      <c r="W124" s="1" t="s">
        <v>10</v>
      </c>
      <c r="X124" s="1" t="s">
        <v>1838</v>
      </c>
      <c r="Y124" s="1" t="s">
        <v>1839</v>
      </c>
      <c r="Z124" s="1" t="s">
        <v>1840</v>
      </c>
      <c r="AA124" s="1" t="s">
        <v>1841</v>
      </c>
      <c r="AB124" s="1" t="s">
        <v>8</v>
      </c>
      <c r="AC124" s="1" t="s">
        <v>11</v>
      </c>
      <c r="AD124" s="1" t="s">
        <v>1842</v>
      </c>
      <c r="AE124" s="1" t="s">
        <v>12</v>
      </c>
      <c r="AF124" s="1" t="s">
        <v>13</v>
      </c>
      <c r="AG124" s="1" t="s">
        <v>1843</v>
      </c>
      <c r="AH124" s="1" t="s">
        <v>1844</v>
      </c>
      <c r="AI124" s="1" t="s">
        <v>500</v>
      </c>
    </row>
    <row r="125" spans="1:35">
      <c r="B125" s="3" t="s">
        <v>1079</v>
      </c>
      <c r="C125" s="3">
        <v>7.6</v>
      </c>
      <c r="D125" s="3">
        <v>2578</v>
      </c>
      <c r="E125" s="3" t="s">
        <v>1875</v>
      </c>
      <c r="F125" s="3">
        <v>30</v>
      </c>
      <c r="G125" s="3" t="s">
        <v>193</v>
      </c>
      <c r="H125" s="3">
        <v>82</v>
      </c>
      <c r="I125" s="3">
        <v>81</v>
      </c>
      <c r="J125" s="3">
        <v>0</v>
      </c>
      <c r="K125" s="3">
        <v>2578</v>
      </c>
      <c r="L125" s="3">
        <v>335</v>
      </c>
      <c r="M125" s="3">
        <v>718</v>
      </c>
      <c r="N125" s="3">
        <v>131</v>
      </c>
      <c r="O125" s="3">
        <v>254</v>
      </c>
      <c r="P125" s="3">
        <v>204</v>
      </c>
      <c r="Q125" s="3">
        <v>464</v>
      </c>
      <c r="R125" s="3">
        <v>66</v>
      </c>
      <c r="S125" s="3">
        <v>83</v>
      </c>
      <c r="T125" s="3">
        <v>24</v>
      </c>
      <c r="U125" s="3">
        <v>320</v>
      </c>
      <c r="V125" s="3">
        <v>344</v>
      </c>
      <c r="W125" s="3">
        <v>392</v>
      </c>
      <c r="X125" s="3">
        <v>90</v>
      </c>
      <c r="Y125" s="3">
        <v>20</v>
      </c>
      <c r="Z125" s="3">
        <v>159</v>
      </c>
      <c r="AA125" s="3">
        <v>178</v>
      </c>
      <c r="AB125" s="3">
        <v>940</v>
      </c>
      <c r="AC125" s="3">
        <v>0.46700000000000003</v>
      </c>
      <c r="AD125" s="3">
        <v>0.51600000000000001</v>
      </c>
      <c r="AE125" s="3">
        <v>0.44</v>
      </c>
      <c r="AF125" s="3">
        <v>0.79500000000000004</v>
      </c>
      <c r="AG125" s="3">
        <v>0.623</v>
      </c>
      <c r="AH125" s="3">
        <v>0.60899999999999999</v>
      </c>
      <c r="AI125" s="3" t="s">
        <v>1080</v>
      </c>
    </row>
    <row r="126" spans="1:35">
      <c r="B126" s="3" t="s">
        <v>1081</v>
      </c>
      <c r="C126" s="3">
        <v>5.8</v>
      </c>
      <c r="D126" s="3">
        <v>2178</v>
      </c>
      <c r="E126" s="3" t="s">
        <v>1893</v>
      </c>
      <c r="F126" s="3">
        <v>24</v>
      </c>
      <c r="G126" s="3" t="s">
        <v>72</v>
      </c>
      <c r="H126" s="3">
        <v>73</v>
      </c>
      <c r="I126" s="3">
        <v>0</v>
      </c>
      <c r="J126" s="3">
        <v>0</v>
      </c>
      <c r="K126" s="3">
        <v>2178</v>
      </c>
      <c r="L126" s="3">
        <v>357</v>
      </c>
      <c r="M126" s="3">
        <v>824</v>
      </c>
      <c r="N126" s="3">
        <v>264</v>
      </c>
      <c r="O126" s="3">
        <v>574</v>
      </c>
      <c r="P126" s="3">
        <v>93</v>
      </c>
      <c r="Q126" s="3">
        <v>250</v>
      </c>
      <c r="R126" s="3">
        <v>195</v>
      </c>
      <c r="S126" s="3">
        <v>254</v>
      </c>
      <c r="T126" s="3">
        <v>50</v>
      </c>
      <c r="U126" s="3">
        <v>243</v>
      </c>
      <c r="V126" s="3">
        <v>293</v>
      </c>
      <c r="W126" s="3">
        <v>233</v>
      </c>
      <c r="X126" s="3">
        <v>84</v>
      </c>
      <c r="Y126" s="3">
        <v>44</v>
      </c>
      <c r="Z126" s="3">
        <v>90</v>
      </c>
      <c r="AA126" s="3">
        <v>176</v>
      </c>
      <c r="AB126" s="3">
        <v>1002</v>
      </c>
      <c r="AC126" s="3">
        <v>0.433</v>
      </c>
      <c r="AD126" s="3">
        <v>0.46</v>
      </c>
      <c r="AE126" s="3">
        <v>0.372</v>
      </c>
      <c r="AF126" s="3">
        <v>0.76800000000000002</v>
      </c>
      <c r="AG126" s="3">
        <v>0.53500000000000003</v>
      </c>
      <c r="AH126" s="3">
        <v>0.49</v>
      </c>
      <c r="AI126" s="3" t="s">
        <v>6</v>
      </c>
    </row>
    <row r="127" spans="1:35" ht="30">
      <c r="B127" s="3" t="s">
        <v>1082</v>
      </c>
      <c r="C127" s="3">
        <v>5.8</v>
      </c>
      <c r="D127" s="3">
        <v>2101</v>
      </c>
      <c r="E127" s="3" t="s">
        <v>1893</v>
      </c>
      <c r="F127" s="3">
        <v>26</v>
      </c>
      <c r="G127" s="3" t="s">
        <v>152</v>
      </c>
      <c r="H127" s="3">
        <v>77</v>
      </c>
      <c r="I127" s="3">
        <v>75</v>
      </c>
      <c r="J127" s="3">
        <v>0</v>
      </c>
      <c r="K127" s="3">
        <v>2101</v>
      </c>
      <c r="L127" s="3">
        <v>250</v>
      </c>
      <c r="M127" s="3">
        <v>500</v>
      </c>
      <c r="N127" s="3">
        <v>195</v>
      </c>
      <c r="O127" s="3">
        <v>355</v>
      </c>
      <c r="P127" s="3">
        <v>55</v>
      </c>
      <c r="Q127" s="3">
        <v>145</v>
      </c>
      <c r="R127" s="3">
        <v>134</v>
      </c>
      <c r="S127" s="3">
        <v>167</v>
      </c>
      <c r="T127" s="3">
        <v>167</v>
      </c>
      <c r="U127" s="3">
        <v>377</v>
      </c>
      <c r="V127" s="3">
        <v>544</v>
      </c>
      <c r="W127" s="3">
        <v>84</v>
      </c>
      <c r="X127" s="3">
        <v>47</v>
      </c>
      <c r="Y127" s="3">
        <v>34</v>
      </c>
      <c r="Z127" s="3">
        <v>94</v>
      </c>
      <c r="AA127" s="3">
        <v>248</v>
      </c>
      <c r="AB127" s="3">
        <v>689</v>
      </c>
      <c r="AC127" s="3">
        <v>0.5</v>
      </c>
      <c r="AD127" s="3">
        <v>0.54900000000000004</v>
      </c>
      <c r="AE127" s="3">
        <v>0.379</v>
      </c>
      <c r="AF127" s="3">
        <v>0.80200000000000005</v>
      </c>
      <c r="AG127" s="3">
        <v>0.60099999999999998</v>
      </c>
      <c r="AH127" s="3">
        <v>0.55500000000000005</v>
      </c>
      <c r="AI127" s="3" t="s">
        <v>506</v>
      </c>
    </row>
    <row r="128" spans="1:35" ht="30">
      <c r="B128" s="3" t="s">
        <v>1083</v>
      </c>
      <c r="C128" s="3">
        <v>3.4</v>
      </c>
      <c r="D128" s="3">
        <v>1745</v>
      </c>
      <c r="E128" s="3" t="s">
        <v>1895</v>
      </c>
      <c r="F128" s="3">
        <v>27</v>
      </c>
      <c r="G128" s="3" t="s">
        <v>34</v>
      </c>
      <c r="H128" s="3">
        <v>80</v>
      </c>
      <c r="I128" s="3">
        <v>4</v>
      </c>
      <c r="J128" s="3">
        <v>0</v>
      </c>
      <c r="K128" s="3">
        <v>1745</v>
      </c>
      <c r="L128" s="3">
        <v>228</v>
      </c>
      <c r="M128" s="3">
        <v>587</v>
      </c>
      <c r="N128" s="3">
        <v>93</v>
      </c>
      <c r="O128" s="3">
        <v>207</v>
      </c>
      <c r="P128" s="3">
        <v>135</v>
      </c>
      <c r="Q128" s="3">
        <v>380</v>
      </c>
      <c r="R128" s="3">
        <v>81</v>
      </c>
      <c r="S128" s="3">
        <v>96</v>
      </c>
      <c r="T128" s="3">
        <v>49</v>
      </c>
      <c r="U128" s="3">
        <v>122</v>
      </c>
      <c r="V128" s="3">
        <v>171</v>
      </c>
      <c r="W128" s="3">
        <v>85</v>
      </c>
      <c r="X128" s="3">
        <v>37</v>
      </c>
      <c r="Y128" s="3">
        <v>8</v>
      </c>
      <c r="Z128" s="3">
        <v>24</v>
      </c>
      <c r="AA128" s="3">
        <v>135</v>
      </c>
      <c r="AB128" s="3">
        <v>672</v>
      </c>
      <c r="AC128" s="3">
        <v>0.38800000000000001</v>
      </c>
      <c r="AD128" s="3">
        <v>0.44900000000000001</v>
      </c>
      <c r="AE128" s="3">
        <v>0.35499999999999998</v>
      </c>
      <c r="AF128" s="3">
        <v>0.84399999999999997</v>
      </c>
      <c r="AG128" s="3">
        <v>0.53400000000000003</v>
      </c>
      <c r="AH128" s="3">
        <v>0.503</v>
      </c>
      <c r="AI128" s="3" t="s">
        <v>6</v>
      </c>
    </row>
    <row r="129" spans="1:35">
      <c r="B129" s="3" t="s">
        <v>1084</v>
      </c>
      <c r="C129" s="3">
        <v>3.1</v>
      </c>
      <c r="D129" s="3">
        <v>1196</v>
      </c>
      <c r="E129" s="3" t="s">
        <v>1873</v>
      </c>
      <c r="F129" s="3">
        <v>23</v>
      </c>
      <c r="G129" s="3" t="s">
        <v>1896</v>
      </c>
      <c r="H129" s="3">
        <v>63</v>
      </c>
      <c r="I129" s="3">
        <v>39</v>
      </c>
      <c r="J129" s="3">
        <v>0</v>
      </c>
      <c r="K129" s="3">
        <v>1196</v>
      </c>
      <c r="L129" s="3">
        <v>157</v>
      </c>
      <c r="M129" s="3">
        <v>273</v>
      </c>
      <c r="N129" s="3">
        <v>157</v>
      </c>
      <c r="O129" s="3">
        <v>272</v>
      </c>
      <c r="P129" s="3">
        <v>0</v>
      </c>
      <c r="Q129" s="3">
        <v>1</v>
      </c>
      <c r="R129" s="3">
        <v>65</v>
      </c>
      <c r="S129" s="3">
        <v>118</v>
      </c>
      <c r="T129" s="3">
        <v>142</v>
      </c>
      <c r="U129" s="3">
        <v>226</v>
      </c>
      <c r="V129" s="3">
        <v>368</v>
      </c>
      <c r="W129" s="3">
        <v>42</v>
      </c>
      <c r="X129" s="3">
        <v>19</v>
      </c>
      <c r="Y129" s="3">
        <v>24</v>
      </c>
      <c r="Z129" s="3">
        <v>48</v>
      </c>
      <c r="AA129" s="3">
        <v>158</v>
      </c>
      <c r="AB129" s="3">
        <v>379</v>
      </c>
      <c r="AC129" s="3">
        <v>0.57499999999999996</v>
      </c>
      <c r="AD129" s="3">
        <v>0.57699999999999996</v>
      </c>
      <c r="AE129" s="3">
        <v>0</v>
      </c>
      <c r="AF129" s="3">
        <v>0.55100000000000005</v>
      </c>
      <c r="AG129" s="3">
        <v>0.58299999999999996</v>
      </c>
      <c r="AH129" s="3">
        <v>0.57499999999999996</v>
      </c>
      <c r="AI129" s="3" t="s">
        <v>846</v>
      </c>
    </row>
    <row r="130" spans="1:35">
      <c r="B130" s="3" t="s">
        <v>1085</v>
      </c>
      <c r="C130" s="3">
        <v>2.4</v>
      </c>
      <c r="D130" s="3">
        <v>1525</v>
      </c>
      <c r="E130" s="3" t="s">
        <v>1893</v>
      </c>
      <c r="F130" s="3">
        <v>26</v>
      </c>
      <c r="G130" s="3" t="s">
        <v>44</v>
      </c>
      <c r="H130" s="3">
        <v>65</v>
      </c>
      <c r="I130" s="3">
        <v>35</v>
      </c>
      <c r="J130" s="3">
        <v>0</v>
      </c>
      <c r="K130" s="3">
        <v>1525</v>
      </c>
      <c r="L130" s="3">
        <v>163</v>
      </c>
      <c r="M130" s="3">
        <v>404</v>
      </c>
      <c r="N130" s="3">
        <v>123</v>
      </c>
      <c r="O130" s="3">
        <v>276</v>
      </c>
      <c r="P130" s="3">
        <v>40</v>
      </c>
      <c r="Q130" s="3">
        <v>128</v>
      </c>
      <c r="R130" s="3">
        <v>98</v>
      </c>
      <c r="S130" s="3">
        <v>129</v>
      </c>
      <c r="T130" s="3">
        <v>34</v>
      </c>
      <c r="U130" s="3">
        <v>139</v>
      </c>
      <c r="V130" s="3">
        <v>173</v>
      </c>
      <c r="W130" s="3">
        <v>335</v>
      </c>
      <c r="X130" s="3">
        <v>56</v>
      </c>
      <c r="Y130" s="3">
        <v>6</v>
      </c>
      <c r="Z130" s="3">
        <v>101</v>
      </c>
      <c r="AA130" s="3">
        <v>133</v>
      </c>
      <c r="AB130" s="3">
        <v>464</v>
      </c>
      <c r="AC130" s="3">
        <v>0.40300000000000002</v>
      </c>
      <c r="AD130" s="3">
        <v>0.44600000000000001</v>
      </c>
      <c r="AE130" s="3">
        <v>0.313</v>
      </c>
      <c r="AF130" s="3">
        <v>0.76</v>
      </c>
      <c r="AG130" s="3">
        <v>0.504</v>
      </c>
      <c r="AH130" s="3">
        <v>0.45300000000000001</v>
      </c>
      <c r="AI130" s="3" t="s">
        <v>6</v>
      </c>
    </row>
    <row r="131" spans="1:35">
      <c r="B131" s="3" t="s">
        <v>1086</v>
      </c>
      <c r="C131" s="3">
        <v>2.2999999999999998</v>
      </c>
      <c r="D131" s="3">
        <v>805</v>
      </c>
      <c r="E131" s="3" t="s">
        <v>1875</v>
      </c>
      <c r="F131" s="3">
        <v>26</v>
      </c>
      <c r="G131" s="3" t="s">
        <v>34</v>
      </c>
      <c r="H131" s="3">
        <v>67</v>
      </c>
      <c r="I131" s="3">
        <v>3</v>
      </c>
      <c r="J131" s="3">
        <v>0</v>
      </c>
      <c r="K131" s="3">
        <v>805</v>
      </c>
      <c r="L131" s="3">
        <v>66</v>
      </c>
      <c r="M131" s="3">
        <v>122</v>
      </c>
      <c r="N131" s="3">
        <v>66</v>
      </c>
      <c r="O131" s="3">
        <v>122</v>
      </c>
      <c r="P131" s="3">
        <v>0</v>
      </c>
      <c r="Q131" s="3">
        <v>0</v>
      </c>
      <c r="R131" s="3">
        <v>11</v>
      </c>
      <c r="S131" s="3">
        <v>29</v>
      </c>
      <c r="T131" s="3">
        <v>81</v>
      </c>
      <c r="U131" s="3">
        <v>197</v>
      </c>
      <c r="V131" s="3">
        <v>278</v>
      </c>
      <c r="W131" s="3">
        <v>78</v>
      </c>
      <c r="X131" s="3">
        <v>31</v>
      </c>
      <c r="Y131" s="3">
        <v>51</v>
      </c>
      <c r="Z131" s="3">
        <v>42</v>
      </c>
      <c r="AA131" s="3">
        <v>116</v>
      </c>
      <c r="AB131" s="3">
        <v>143</v>
      </c>
      <c r="AC131" s="3">
        <v>0.54100000000000004</v>
      </c>
      <c r="AD131" s="3">
        <v>0.54100000000000004</v>
      </c>
      <c r="AE131" s="2"/>
      <c r="AF131" s="3">
        <v>0.379</v>
      </c>
      <c r="AG131" s="3">
        <v>0.53100000000000003</v>
      </c>
      <c r="AH131" s="3">
        <v>0.54100000000000004</v>
      </c>
      <c r="AI131" s="3" t="s">
        <v>1001</v>
      </c>
    </row>
    <row r="132" spans="1:35">
      <c r="B132" s="3" t="s">
        <v>1087</v>
      </c>
      <c r="C132" s="3">
        <v>1.4</v>
      </c>
      <c r="D132" s="3">
        <v>1754</v>
      </c>
      <c r="E132" s="3" t="s">
        <v>1893</v>
      </c>
      <c r="F132" s="3">
        <v>27</v>
      </c>
      <c r="G132" s="3" t="s">
        <v>47</v>
      </c>
      <c r="H132" s="3">
        <v>70</v>
      </c>
      <c r="I132" s="3">
        <v>24</v>
      </c>
      <c r="J132" s="3">
        <v>0</v>
      </c>
      <c r="K132" s="3">
        <v>1754</v>
      </c>
      <c r="L132" s="3">
        <v>305</v>
      </c>
      <c r="M132" s="3">
        <v>735</v>
      </c>
      <c r="N132" s="3">
        <v>200</v>
      </c>
      <c r="O132" s="3">
        <v>427</v>
      </c>
      <c r="P132" s="3">
        <v>105</v>
      </c>
      <c r="Q132" s="3">
        <v>308</v>
      </c>
      <c r="R132" s="3">
        <v>204</v>
      </c>
      <c r="S132" s="3">
        <v>242</v>
      </c>
      <c r="T132" s="3">
        <v>22</v>
      </c>
      <c r="U132" s="3">
        <v>258</v>
      </c>
      <c r="V132" s="3">
        <v>280</v>
      </c>
      <c r="W132" s="3">
        <v>157</v>
      </c>
      <c r="X132" s="3">
        <v>45</v>
      </c>
      <c r="Y132" s="3">
        <v>6</v>
      </c>
      <c r="Z132" s="3">
        <v>135</v>
      </c>
      <c r="AA132" s="3">
        <v>118</v>
      </c>
      <c r="AB132" s="3">
        <v>919</v>
      </c>
      <c r="AC132" s="3">
        <v>0.41499999999999998</v>
      </c>
      <c r="AD132" s="3">
        <v>0.46800000000000003</v>
      </c>
      <c r="AE132" s="3">
        <v>0.34100000000000003</v>
      </c>
      <c r="AF132" s="3">
        <v>0.84299999999999997</v>
      </c>
      <c r="AG132" s="3">
        <v>0.54600000000000004</v>
      </c>
      <c r="AH132" s="3">
        <v>0.48599999999999999</v>
      </c>
      <c r="AI132" s="3" t="s">
        <v>6</v>
      </c>
    </row>
    <row r="133" spans="1:35">
      <c r="B133" s="3" t="s">
        <v>1088</v>
      </c>
      <c r="C133" s="3">
        <v>1.3</v>
      </c>
      <c r="D133" s="3">
        <v>1047</v>
      </c>
      <c r="E133" s="3" t="s">
        <v>1873</v>
      </c>
      <c r="F133" s="3">
        <v>28</v>
      </c>
      <c r="G133" s="3" t="s">
        <v>41</v>
      </c>
      <c r="H133" s="3">
        <v>68</v>
      </c>
      <c r="I133" s="3">
        <v>2</v>
      </c>
      <c r="J133" s="3">
        <v>0</v>
      </c>
      <c r="K133" s="3">
        <v>1047</v>
      </c>
      <c r="L133" s="3">
        <v>119</v>
      </c>
      <c r="M133" s="3">
        <v>263</v>
      </c>
      <c r="N133" s="3">
        <v>50</v>
      </c>
      <c r="O133" s="3">
        <v>93</v>
      </c>
      <c r="P133" s="3">
        <v>69</v>
      </c>
      <c r="Q133" s="3">
        <v>170</v>
      </c>
      <c r="R133" s="3">
        <v>16</v>
      </c>
      <c r="S133" s="3">
        <v>23</v>
      </c>
      <c r="T133" s="3">
        <v>8</v>
      </c>
      <c r="U133" s="3">
        <v>39</v>
      </c>
      <c r="V133" s="3">
        <v>47</v>
      </c>
      <c r="W133" s="3">
        <v>53</v>
      </c>
      <c r="X133" s="3">
        <v>16</v>
      </c>
      <c r="Y133" s="3">
        <v>5</v>
      </c>
      <c r="Z133" s="3">
        <v>47</v>
      </c>
      <c r="AA133" s="3">
        <v>79</v>
      </c>
      <c r="AB133" s="3">
        <v>323</v>
      </c>
      <c r="AC133" s="3">
        <v>0.45200000000000001</v>
      </c>
      <c r="AD133" s="3">
        <v>0.53800000000000003</v>
      </c>
      <c r="AE133" s="3">
        <v>0.40600000000000003</v>
      </c>
      <c r="AF133" s="3">
        <v>0.69599999999999995</v>
      </c>
      <c r="AG133" s="3">
        <v>0.59099999999999997</v>
      </c>
      <c r="AH133" s="3">
        <v>0.58399999999999996</v>
      </c>
      <c r="AI133" s="3" t="s">
        <v>506</v>
      </c>
    </row>
    <row r="134" spans="1:35" ht="30">
      <c r="B134" s="3" t="s">
        <v>1089</v>
      </c>
      <c r="C134" s="3">
        <v>0.6</v>
      </c>
      <c r="D134" s="3">
        <v>1131</v>
      </c>
      <c r="E134" s="3" t="s">
        <v>1873</v>
      </c>
      <c r="F134" s="3">
        <v>21</v>
      </c>
      <c r="G134" s="3" t="s">
        <v>66</v>
      </c>
      <c r="H134" s="3">
        <v>74</v>
      </c>
      <c r="I134" s="3">
        <v>32</v>
      </c>
      <c r="J134" s="3">
        <v>0</v>
      </c>
      <c r="K134" s="3">
        <v>1131</v>
      </c>
      <c r="L134" s="3">
        <v>146</v>
      </c>
      <c r="M134" s="3">
        <v>346</v>
      </c>
      <c r="N134" s="3">
        <v>115</v>
      </c>
      <c r="O134" s="3">
        <v>219</v>
      </c>
      <c r="P134" s="3">
        <v>31</v>
      </c>
      <c r="Q134" s="3">
        <v>127</v>
      </c>
      <c r="R134" s="3">
        <v>63</v>
      </c>
      <c r="S134" s="3">
        <v>94</v>
      </c>
      <c r="T134" s="3">
        <v>35</v>
      </c>
      <c r="U134" s="3">
        <v>128</v>
      </c>
      <c r="V134" s="3">
        <v>163</v>
      </c>
      <c r="W134" s="3">
        <v>77</v>
      </c>
      <c r="X134" s="3">
        <v>38</v>
      </c>
      <c r="Y134" s="3">
        <v>26</v>
      </c>
      <c r="Z134" s="3">
        <v>76</v>
      </c>
      <c r="AA134" s="3">
        <v>135</v>
      </c>
      <c r="AB134" s="3">
        <v>386</v>
      </c>
      <c r="AC134" s="3">
        <v>0.42199999999999999</v>
      </c>
      <c r="AD134" s="3">
        <v>0.52500000000000002</v>
      </c>
      <c r="AE134" s="3">
        <v>0.24399999999999999</v>
      </c>
      <c r="AF134" s="3">
        <v>0.67</v>
      </c>
      <c r="AG134" s="3">
        <v>0.498</v>
      </c>
      <c r="AH134" s="3">
        <v>0.46700000000000003</v>
      </c>
      <c r="AI134" s="3" t="s">
        <v>722</v>
      </c>
    </row>
    <row r="135" spans="1:35">
      <c r="B135" s="3" t="s">
        <v>1090</v>
      </c>
      <c r="C135" s="3">
        <v>0.4</v>
      </c>
      <c r="D135" s="3">
        <v>924</v>
      </c>
      <c r="E135" s="3" t="s">
        <v>1873</v>
      </c>
      <c r="F135" s="3">
        <v>27</v>
      </c>
      <c r="G135" s="3" t="s">
        <v>193</v>
      </c>
      <c r="H135" s="3">
        <v>47</v>
      </c>
      <c r="I135" s="3">
        <v>5</v>
      </c>
      <c r="J135" s="3">
        <v>0</v>
      </c>
      <c r="K135" s="3">
        <v>924</v>
      </c>
      <c r="L135" s="3">
        <v>81</v>
      </c>
      <c r="M135" s="3">
        <v>238</v>
      </c>
      <c r="N135" s="3">
        <v>53</v>
      </c>
      <c r="O135" s="3">
        <v>148</v>
      </c>
      <c r="P135" s="3">
        <v>28</v>
      </c>
      <c r="Q135" s="3">
        <v>90</v>
      </c>
      <c r="R135" s="3">
        <v>58</v>
      </c>
      <c r="S135" s="3">
        <v>86</v>
      </c>
      <c r="T135" s="3">
        <v>28</v>
      </c>
      <c r="U135" s="3">
        <v>122</v>
      </c>
      <c r="V135" s="3">
        <v>150</v>
      </c>
      <c r="W135" s="3">
        <v>58</v>
      </c>
      <c r="X135" s="3">
        <v>56</v>
      </c>
      <c r="Y135" s="3">
        <v>16</v>
      </c>
      <c r="Z135" s="3">
        <v>67</v>
      </c>
      <c r="AA135" s="3">
        <v>124</v>
      </c>
      <c r="AB135" s="3">
        <v>248</v>
      </c>
      <c r="AC135" s="3">
        <v>0.34</v>
      </c>
      <c r="AD135" s="3">
        <v>0.35799999999999998</v>
      </c>
      <c r="AE135" s="3">
        <v>0.311</v>
      </c>
      <c r="AF135" s="3">
        <v>0.67400000000000004</v>
      </c>
      <c r="AG135" s="3">
        <v>0.45</v>
      </c>
      <c r="AH135" s="3">
        <v>0.39900000000000002</v>
      </c>
      <c r="AI135" s="3" t="s">
        <v>722</v>
      </c>
    </row>
    <row r="137" spans="1:35" ht="30">
      <c r="A137" s="1" t="s">
        <v>1897</v>
      </c>
    </row>
    <row r="138" spans="1:35">
      <c r="B138" s="1" t="s">
        <v>3</v>
      </c>
      <c r="C138" s="1" t="s">
        <v>14</v>
      </c>
      <c r="D138" s="1" t="s">
        <v>7</v>
      </c>
      <c r="E138" s="1" t="s">
        <v>1824</v>
      </c>
      <c r="F138" s="1" t="s">
        <v>1825</v>
      </c>
      <c r="G138" s="1" t="s">
        <v>499</v>
      </c>
      <c r="H138" s="1" t="s">
        <v>6</v>
      </c>
      <c r="I138" s="1" t="s">
        <v>1826</v>
      </c>
      <c r="J138" s="1" t="s">
        <v>1827</v>
      </c>
      <c r="K138" s="1" t="s">
        <v>7</v>
      </c>
      <c r="L138" s="1" t="s">
        <v>1828</v>
      </c>
      <c r="M138" s="1" t="s">
        <v>1829</v>
      </c>
      <c r="N138" s="1" t="s">
        <v>1830</v>
      </c>
      <c r="O138" s="1" t="s">
        <v>1831</v>
      </c>
      <c r="P138" s="1" t="s">
        <v>1832</v>
      </c>
      <c r="Q138" s="1" t="s">
        <v>1833</v>
      </c>
      <c r="R138" s="1" t="s">
        <v>1834</v>
      </c>
      <c r="S138" s="1" t="s">
        <v>1835</v>
      </c>
      <c r="T138" s="1" t="s">
        <v>1836</v>
      </c>
      <c r="U138" s="1" t="s">
        <v>1837</v>
      </c>
      <c r="V138" s="1" t="s">
        <v>9</v>
      </c>
      <c r="W138" s="1" t="s">
        <v>10</v>
      </c>
      <c r="X138" s="1" t="s">
        <v>1838</v>
      </c>
      <c r="Y138" s="1" t="s">
        <v>1839</v>
      </c>
      <c r="Z138" s="1" t="s">
        <v>1840</v>
      </c>
      <c r="AA138" s="1" t="s">
        <v>1841</v>
      </c>
      <c r="AB138" s="1" t="s">
        <v>8</v>
      </c>
      <c r="AC138" s="1" t="s">
        <v>11</v>
      </c>
      <c r="AD138" s="1" t="s">
        <v>1842</v>
      </c>
      <c r="AE138" s="1" t="s">
        <v>12</v>
      </c>
      <c r="AF138" s="1" t="s">
        <v>13</v>
      </c>
      <c r="AG138" s="1" t="s">
        <v>1843</v>
      </c>
      <c r="AH138" s="1" t="s">
        <v>1844</v>
      </c>
      <c r="AI138" s="1" t="s">
        <v>500</v>
      </c>
    </row>
    <row r="139" spans="1:35" ht="30">
      <c r="B139" s="3" t="s">
        <v>998</v>
      </c>
      <c r="C139" s="3">
        <v>5.0999999999999996</v>
      </c>
      <c r="D139" s="3">
        <v>1325</v>
      </c>
      <c r="E139" s="3" t="s">
        <v>1890</v>
      </c>
      <c r="F139" s="3">
        <v>24</v>
      </c>
      <c r="G139" s="3" t="s">
        <v>34</v>
      </c>
      <c r="H139" s="3">
        <v>62</v>
      </c>
      <c r="I139" s="3">
        <v>12</v>
      </c>
      <c r="J139" s="3">
        <v>0</v>
      </c>
      <c r="K139" s="3">
        <v>1325</v>
      </c>
      <c r="L139" s="3">
        <v>288</v>
      </c>
      <c r="M139" s="3">
        <v>508</v>
      </c>
      <c r="N139" s="3">
        <v>234</v>
      </c>
      <c r="O139" s="3">
        <v>368</v>
      </c>
      <c r="P139" s="3">
        <v>54</v>
      </c>
      <c r="Q139" s="3">
        <v>140</v>
      </c>
      <c r="R139" s="3">
        <v>180</v>
      </c>
      <c r="S139" s="3">
        <v>242</v>
      </c>
      <c r="T139" s="3">
        <v>104</v>
      </c>
      <c r="U139" s="3">
        <v>286</v>
      </c>
      <c r="V139" s="3">
        <v>390</v>
      </c>
      <c r="W139" s="3">
        <v>60</v>
      </c>
      <c r="X139" s="3">
        <v>34</v>
      </c>
      <c r="Y139" s="3">
        <v>54</v>
      </c>
      <c r="Z139" s="3">
        <v>84</v>
      </c>
      <c r="AA139" s="3">
        <v>98</v>
      </c>
      <c r="AB139" s="3">
        <v>810</v>
      </c>
      <c r="AC139" s="3">
        <v>0.56699999999999995</v>
      </c>
      <c r="AD139" s="3">
        <v>0.63600000000000001</v>
      </c>
      <c r="AE139" s="3">
        <v>0.38600000000000001</v>
      </c>
      <c r="AF139" s="3">
        <v>0.74399999999999999</v>
      </c>
      <c r="AG139" s="3">
        <v>0.65900000000000003</v>
      </c>
      <c r="AH139" s="3">
        <v>0.62</v>
      </c>
      <c r="AI139" s="3" t="s">
        <v>506</v>
      </c>
    </row>
    <row r="140" spans="1:35">
      <c r="B140" s="3" t="s">
        <v>999</v>
      </c>
      <c r="C140" s="3">
        <v>4.8</v>
      </c>
      <c r="D140" s="3">
        <v>1796</v>
      </c>
      <c r="E140" s="3" t="s">
        <v>1898</v>
      </c>
      <c r="F140" s="3">
        <v>28</v>
      </c>
      <c r="G140" s="3" t="s">
        <v>41</v>
      </c>
      <c r="H140" s="3">
        <v>69</v>
      </c>
      <c r="I140" s="3">
        <v>3</v>
      </c>
      <c r="J140" s="3">
        <v>0</v>
      </c>
      <c r="K140" s="3">
        <v>1796</v>
      </c>
      <c r="L140" s="3">
        <v>274</v>
      </c>
      <c r="M140" s="3">
        <v>490</v>
      </c>
      <c r="N140" s="3">
        <v>259</v>
      </c>
      <c r="O140" s="3">
        <v>442</v>
      </c>
      <c r="P140" s="3">
        <v>15</v>
      </c>
      <c r="Q140" s="3">
        <v>48</v>
      </c>
      <c r="R140" s="3">
        <v>33</v>
      </c>
      <c r="S140" s="3">
        <v>48</v>
      </c>
      <c r="T140" s="3">
        <v>55</v>
      </c>
      <c r="U140" s="3">
        <v>201</v>
      </c>
      <c r="V140" s="3">
        <v>256</v>
      </c>
      <c r="W140" s="3">
        <v>456</v>
      </c>
      <c r="X140" s="3">
        <v>128</v>
      </c>
      <c r="Y140" s="3">
        <v>23</v>
      </c>
      <c r="Z140" s="3">
        <v>135</v>
      </c>
      <c r="AA140" s="3">
        <v>113</v>
      </c>
      <c r="AB140" s="3">
        <v>596</v>
      </c>
      <c r="AC140" s="3">
        <v>0.55900000000000005</v>
      </c>
      <c r="AD140" s="3">
        <v>0.58599999999999997</v>
      </c>
      <c r="AE140" s="3">
        <v>0.313</v>
      </c>
      <c r="AF140" s="3">
        <v>0.68799999999999994</v>
      </c>
      <c r="AG140" s="3">
        <v>0.58299999999999996</v>
      </c>
      <c r="AH140" s="3">
        <v>0.57399999999999995</v>
      </c>
      <c r="AI140" s="3" t="s">
        <v>6</v>
      </c>
    </row>
    <row r="141" spans="1:35">
      <c r="B141" s="3" t="s">
        <v>1000</v>
      </c>
      <c r="C141" s="3">
        <v>3.6</v>
      </c>
      <c r="D141" s="3">
        <v>1031</v>
      </c>
      <c r="E141" s="3" t="s">
        <v>1893</v>
      </c>
      <c r="F141" s="3">
        <v>26</v>
      </c>
      <c r="G141" s="3" t="s">
        <v>72</v>
      </c>
      <c r="H141" s="3">
        <v>71</v>
      </c>
      <c r="I141" s="3">
        <v>5</v>
      </c>
      <c r="J141" s="3">
        <v>0</v>
      </c>
      <c r="K141" s="3">
        <v>1031</v>
      </c>
      <c r="L141" s="3">
        <v>162</v>
      </c>
      <c r="M141" s="3">
        <v>285</v>
      </c>
      <c r="N141" s="3">
        <v>161</v>
      </c>
      <c r="O141" s="3">
        <v>281</v>
      </c>
      <c r="P141" s="3">
        <v>1</v>
      </c>
      <c r="Q141" s="3">
        <v>4</v>
      </c>
      <c r="R141" s="3">
        <v>49</v>
      </c>
      <c r="S141" s="3">
        <v>88</v>
      </c>
      <c r="T141" s="3">
        <v>129</v>
      </c>
      <c r="U141" s="3">
        <v>203</v>
      </c>
      <c r="V141" s="3">
        <v>332</v>
      </c>
      <c r="W141" s="3">
        <v>26</v>
      </c>
      <c r="X141" s="3">
        <v>18</v>
      </c>
      <c r="Y141" s="3">
        <v>47</v>
      </c>
      <c r="Z141" s="3">
        <v>31</v>
      </c>
      <c r="AA141" s="3">
        <v>137</v>
      </c>
      <c r="AB141" s="3">
        <v>374</v>
      </c>
      <c r="AC141" s="3">
        <v>0.56799999999999995</v>
      </c>
      <c r="AD141" s="3">
        <v>0.57299999999999995</v>
      </c>
      <c r="AE141" s="3">
        <v>0.25</v>
      </c>
      <c r="AF141" s="3">
        <v>0.55700000000000005</v>
      </c>
      <c r="AG141" s="3">
        <v>0.57799999999999996</v>
      </c>
      <c r="AH141" s="3">
        <v>0.56999999999999995</v>
      </c>
      <c r="AI141" s="3" t="s">
        <v>1001</v>
      </c>
    </row>
    <row r="142" spans="1:35" ht="30">
      <c r="B142" s="3" t="s">
        <v>1002</v>
      </c>
      <c r="C142" s="3">
        <v>3.4</v>
      </c>
      <c r="D142" s="3">
        <v>1040</v>
      </c>
      <c r="E142" s="3" t="s">
        <v>1893</v>
      </c>
      <c r="F142" s="3">
        <v>24</v>
      </c>
      <c r="G142" s="3" t="s">
        <v>99</v>
      </c>
      <c r="H142" s="3">
        <v>66</v>
      </c>
      <c r="I142" s="3">
        <v>0</v>
      </c>
      <c r="J142" s="3">
        <v>0</v>
      </c>
      <c r="K142" s="3">
        <v>1040</v>
      </c>
      <c r="L142" s="3">
        <v>128</v>
      </c>
      <c r="M142" s="3">
        <v>221</v>
      </c>
      <c r="N142" s="3">
        <v>128</v>
      </c>
      <c r="O142" s="3">
        <v>221</v>
      </c>
      <c r="P142" s="3">
        <v>0</v>
      </c>
      <c r="Q142" s="3">
        <v>0</v>
      </c>
      <c r="R142" s="3">
        <v>60</v>
      </c>
      <c r="S142" s="3">
        <v>93</v>
      </c>
      <c r="T142" s="3">
        <v>124</v>
      </c>
      <c r="U142" s="3">
        <v>187</v>
      </c>
      <c r="V142" s="3">
        <v>311</v>
      </c>
      <c r="W142" s="3">
        <v>40</v>
      </c>
      <c r="X142" s="3">
        <v>25</v>
      </c>
      <c r="Y142" s="3">
        <v>17</v>
      </c>
      <c r="Z142" s="3">
        <v>33</v>
      </c>
      <c r="AA142" s="3">
        <v>110</v>
      </c>
      <c r="AB142" s="3">
        <v>316</v>
      </c>
      <c r="AC142" s="3">
        <v>0.57899999999999996</v>
      </c>
      <c r="AD142" s="3">
        <v>0.57899999999999996</v>
      </c>
      <c r="AE142" s="2"/>
      <c r="AF142" s="3">
        <v>0.64500000000000002</v>
      </c>
      <c r="AG142" s="3">
        <v>0.60299999999999998</v>
      </c>
      <c r="AH142" s="3">
        <v>0.57899999999999996</v>
      </c>
      <c r="AI142" s="3" t="s">
        <v>1001</v>
      </c>
    </row>
    <row r="143" spans="1:35">
      <c r="B143" s="3" t="s">
        <v>1003</v>
      </c>
      <c r="C143" s="3">
        <v>3</v>
      </c>
      <c r="D143" s="3">
        <v>905</v>
      </c>
      <c r="E143" s="3" t="s">
        <v>1893</v>
      </c>
      <c r="F143" s="3">
        <v>30</v>
      </c>
      <c r="G143" s="3" t="s">
        <v>20</v>
      </c>
      <c r="H143" s="3">
        <v>73</v>
      </c>
      <c r="I143" s="3">
        <v>11</v>
      </c>
      <c r="J143" s="3">
        <v>0</v>
      </c>
      <c r="K143" s="3">
        <v>905</v>
      </c>
      <c r="L143" s="3">
        <v>88</v>
      </c>
      <c r="M143" s="3">
        <v>137</v>
      </c>
      <c r="N143" s="3">
        <v>87</v>
      </c>
      <c r="O143" s="3">
        <v>134</v>
      </c>
      <c r="P143" s="3">
        <v>1</v>
      </c>
      <c r="Q143" s="3">
        <v>3</v>
      </c>
      <c r="R143" s="3">
        <v>36</v>
      </c>
      <c r="S143" s="3">
        <v>61</v>
      </c>
      <c r="T143" s="3">
        <v>97</v>
      </c>
      <c r="U143" s="3">
        <v>211</v>
      </c>
      <c r="V143" s="3">
        <v>308</v>
      </c>
      <c r="W143" s="3">
        <v>14</v>
      </c>
      <c r="X143" s="3">
        <v>32</v>
      </c>
      <c r="Y143" s="3">
        <v>61</v>
      </c>
      <c r="Z143" s="3">
        <v>40</v>
      </c>
      <c r="AA143" s="3">
        <v>152</v>
      </c>
      <c r="AB143" s="3">
        <v>213</v>
      </c>
      <c r="AC143" s="3">
        <v>0.64200000000000002</v>
      </c>
      <c r="AD143" s="3">
        <v>0.64900000000000002</v>
      </c>
      <c r="AE143" s="3">
        <v>0.33300000000000002</v>
      </c>
      <c r="AF143" s="3">
        <v>0.59</v>
      </c>
      <c r="AG143" s="3">
        <v>0.65</v>
      </c>
      <c r="AH143" s="3">
        <v>0.64600000000000002</v>
      </c>
      <c r="AI143" s="3" t="s">
        <v>570</v>
      </c>
    </row>
    <row r="144" spans="1:35" ht="30">
      <c r="B144" s="3" t="s">
        <v>1004</v>
      </c>
      <c r="C144" s="3">
        <v>2</v>
      </c>
      <c r="D144" s="3">
        <v>813</v>
      </c>
      <c r="E144" s="3" t="s">
        <v>1884</v>
      </c>
      <c r="F144" s="3">
        <v>26</v>
      </c>
      <c r="G144" s="3" t="s">
        <v>79</v>
      </c>
      <c r="H144" s="3">
        <v>55</v>
      </c>
      <c r="I144" s="3">
        <v>2</v>
      </c>
      <c r="J144" s="3">
        <v>0</v>
      </c>
      <c r="K144" s="3">
        <v>813</v>
      </c>
      <c r="L144" s="3">
        <v>122</v>
      </c>
      <c r="M144" s="3">
        <v>242</v>
      </c>
      <c r="N144" s="3">
        <v>104</v>
      </c>
      <c r="O144" s="3">
        <v>195</v>
      </c>
      <c r="P144" s="3">
        <v>18</v>
      </c>
      <c r="Q144" s="3">
        <v>47</v>
      </c>
      <c r="R144" s="3">
        <v>69</v>
      </c>
      <c r="S144" s="3">
        <v>92</v>
      </c>
      <c r="T144" s="3">
        <v>16</v>
      </c>
      <c r="U144" s="3">
        <v>80</v>
      </c>
      <c r="V144" s="3">
        <v>96</v>
      </c>
      <c r="W144" s="3">
        <v>58</v>
      </c>
      <c r="X144" s="3">
        <v>24</v>
      </c>
      <c r="Y144" s="3">
        <v>5</v>
      </c>
      <c r="Z144" s="3">
        <v>53</v>
      </c>
      <c r="AA144" s="3">
        <v>103</v>
      </c>
      <c r="AB144" s="3">
        <v>331</v>
      </c>
      <c r="AC144" s="3">
        <v>0.504</v>
      </c>
      <c r="AD144" s="3">
        <v>0.53300000000000003</v>
      </c>
      <c r="AE144" s="3">
        <v>0.38300000000000001</v>
      </c>
      <c r="AF144" s="3">
        <v>0.75</v>
      </c>
      <c r="AG144" s="3">
        <v>0.58599999999999997</v>
      </c>
      <c r="AH144" s="3">
        <v>0.54100000000000004</v>
      </c>
      <c r="AI144" s="3" t="s">
        <v>722</v>
      </c>
    </row>
    <row r="145" spans="1:35" ht="30">
      <c r="B145" s="3" t="s">
        <v>1005</v>
      </c>
      <c r="C145" s="3">
        <v>-0.1</v>
      </c>
      <c r="D145" s="3">
        <v>869</v>
      </c>
      <c r="E145" s="3" t="s">
        <v>1884</v>
      </c>
      <c r="F145" s="3">
        <v>32</v>
      </c>
      <c r="G145" s="3" t="s">
        <v>31</v>
      </c>
      <c r="H145" s="3">
        <v>53</v>
      </c>
      <c r="I145" s="3">
        <v>0</v>
      </c>
      <c r="J145" s="3">
        <v>0</v>
      </c>
      <c r="K145" s="3">
        <v>869</v>
      </c>
      <c r="L145" s="3">
        <v>97</v>
      </c>
      <c r="M145" s="3">
        <v>230</v>
      </c>
      <c r="N145" s="3">
        <v>81</v>
      </c>
      <c r="O145" s="3">
        <v>169</v>
      </c>
      <c r="P145" s="3">
        <v>16</v>
      </c>
      <c r="Q145" s="3">
        <v>61</v>
      </c>
      <c r="R145" s="3">
        <v>27</v>
      </c>
      <c r="S145" s="3">
        <v>29</v>
      </c>
      <c r="T145" s="3">
        <v>18</v>
      </c>
      <c r="U145" s="3">
        <v>72</v>
      </c>
      <c r="V145" s="3">
        <v>90</v>
      </c>
      <c r="W145" s="3">
        <v>182</v>
      </c>
      <c r="X145" s="3">
        <v>26</v>
      </c>
      <c r="Y145" s="3">
        <v>7</v>
      </c>
      <c r="Z145" s="3">
        <v>80</v>
      </c>
      <c r="AA145" s="3">
        <v>76</v>
      </c>
      <c r="AB145" s="3">
        <v>237</v>
      </c>
      <c r="AC145" s="3">
        <v>0.42199999999999999</v>
      </c>
      <c r="AD145" s="3">
        <v>0.47899999999999998</v>
      </c>
      <c r="AE145" s="3">
        <v>0.26200000000000001</v>
      </c>
      <c r="AF145" s="3">
        <v>0.93100000000000005</v>
      </c>
      <c r="AG145" s="3">
        <v>0.48799999999999999</v>
      </c>
      <c r="AH145" s="3">
        <v>0.45700000000000002</v>
      </c>
      <c r="AI145" s="3" t="s">
        <v>6</v>
      </c>
    </row>
    <row r="147" spans="1:35" ht="30">
      <c r="A147" s="1" t="s">
        <v>1899</v>
      </c>
    </row>
    <row r="148" spans="1:35">
      <c r="B148" s="1" t="s">
        <v>3</v>
      </c>
      <c r="C148" s="1" t="s">
        <v>14</v>
      </c>
      <c r="D148" s="1" t="s">
        <v>7</v>
      </c>
      <c r="E148" s="1" t="s">
        <v>1824</v>
      </c>
      <c r="F148" s="1" t="s">
        <v>1825</v>
      </c>
      <c r="G148" s="1" t="s">
        <v>499</v>
      </c>
      <c r="H148" s="1" t="s">
        <v>6</v>
      </c>
      <c r="I148" s="1" t="s">
        <v>1826</v>
      </c>
      <c r="J148" s="1" t="s">
        <v>1827</v>
      </c>
      <c r="K148" s="1" t="s">
        <v>7</v>
      </c>
      <c r="L148" s="1" t="s">
        <v>1828</v>
      </c>
      <c r="M148" s="1" t="s">
        <v>1829</v>
      </c>
      <c r="N148" s="1" t="s">
        <v>1830</v>
      </c>
      <c r="O148" s="1" t="s">
        <v>1831</v>
      </c>
      <c r="P148" s="1" t="s">
        <v>1832</v>
      </c>
      <c r="Q148" s="1" t="s">
        <v>1833</v>
      </c>
      <c r="R148" s="1" t="s">
        <v>1834</v>
      </c>
      <c r="S148" s="1" t="s">
        <v>1835</v>
      </c>
      <c r="T148" s="1" t="s">
        <v>1836</v>
      </c>
      <c r="U148" s="1" t="s">
        <v>1837</v>
      </c>
      <c r="V148" s="1" t="s">
        <v>9</v>
      </c>
      <c r="W148" s="1" t="s">
        <v>10</v>
      </c>
      <c r="X148" s="1" t="s">
        <v>1838</v>
      </c>
      <c r="Y148" s="1" t="s">
        <v>1839</v>
      </c>
      <c r="Z148" s="1" t="s">
        <v>1840</v>
      </c>
      <c r="AA148" s="1" t="s">
        <v>1841</v>
      </c>
      <c r="AB148" s="1" t="s">
        <v>8</v>
      </c>
      <c r="AC148" s="1" t="s">
        <v>11</v>
      </c>
      <c r="AD148" s="1" t="s">
        <v>1842</v>
      </c>
      <c r="AE148" s="1" t="s">
        <v>12</v>
      </c>
      <c r="AF148" s="1" t="s">
        <v>13</v>
      </c>
      <c r="AG148" s="1" t="s">
        <v>1843</v>
      </c>
      <c r="AH148" s="1" t="s">
        <v>1844</v>
      </c>
      <c r="AI148" s="1" t="s">
        <v>500</v>
      </c>
    </row>
    <row r="149" spans="1:35">
      <c r="B149" s="3" t="s">
        <v>924</v>
      </c>
      <c r="C149" s="3">
        <v>8.4</v>
      </c>
      <c r="D149" s="3">
        <v>2684</v>
      </c>
      <c r="E149" s="3" t="s">
        <v>1900</v>
      </c>
      <c r="F149" s="3">
        <v>29</v>
      </c>
      <c r="G149" s="3" t="s">
        <v>52</v>
      </c>
      <c r="H149" s="3">
        <v>73</v>
      </c>
      <c r="I149" s="3">
        <v>73</v>
      </c>
      <c r="J149" s="3">
        <v>0</v>
      </c>
      <c r="K149" s="3">
        <v>2684</v>
      </c>
      <c r="L149" s="3">
        <v>423</v>
      </c>
      <c r="M149" s="3">
        <v>1018</v>
      </c>
      <c r="N149" s="3">
        <v>196</v>
      </c>
      <c r="O149" s="3">
        <v>432</v>
      </c>
      <c r="P149" s="3">
        <v>227</v>
      </c>
      <c r="Q149" s="3">
        <v>586</v>
      </c>
      <c r="R149" s="3">
        <v>197</v>
      </c>
      <c r="S149" s="3">
        <v>229</v>
      </c>
      <c r="T149" s="3">
        <v>33</v>
      </c>
      <c r="U149" s="3">
        <v>245</v>
      </c>
      <c r="V149" s="3">
        <v>278</v>
      </c>
      <c r="W149" s="3">
        <v>589</v>
      </c>
      <c r="X149" s="3">
        <v>101</v>
      </c>
      <c r="Y149" s="3">
        <v>59</v>
      </c>
      <c r="Z149" s="3">
        <v>126</v>
      </c>
      <c r="AA149" s="3">
        <v>183</v>
      </c>
      <c r="AB149" s="3">
        <v>1270</v>
      </c>
      <c r="AC149" s="3">
        <v>0.41599999999999998</v>
      </c>
      <c r="AD149" s="3">
        <v>0.45400000000000001</v>
      </c>
      <c r="AE149" s="3">
        <v>0.38700000000000001</v>
      </c>
      <c r="AF149" s="3">
        <v>0.86</v>
      </c>
      <c r="AG149" s="3">
        <v>0.56799999999999995</v>
      </c>
      <c r="AH149" s="3">
        <v>0.52700000000000002</v>
      </c>
      <c r="AI149" s="3" t="s">
        <v>6</v>
      </c>
    </row>
    <row r="150" spans="1:35" ht="30">
      <c r="B150" s="3" t="s">
        <v>925</v>
      </c>
      <c r="C150" s="3">
        <v>6.6</v>
      </c>
      <c r="D150" s="3">
        <v>2644</v>
      </c>
      <c r="E150" s="3" t="s">
        <v>1901</v>
      </c>
      <c r="F150" s="3">
        <v>28</v>
      </c>
      <c r="G150" s="3" t="s">
        <v>20</v>
      </c>
      <c r="H150" s="3">
        <v>80</v>
      </c>
      <c r="I150" s="3">
        <v>80</v>
      </c>
      <c r="J150" s="3">
        <v>0</v>
      </c>
      <c r="K150" s="3">
        <v>2644</v>
      </c>
      <c r="L150" s="3">
        <v>326</v>
      </c>
      <c r="M150" s="3">
        <v>692</v>
      </c>
      <c r="N150" s="3">
        <v>154</v>
      </c>
      <c r="O150" s="3">
        <v>257</v>
      </c>
      <c r="P150" s="3">
        <v>172</v>
      </c>
      <c r="Q150" s="3">
        <v>435</v>
      </c>
      <c r="R150" s="3">
        <v>56</v>
      </c>
      <c r="S150" s="3">
        <v>83</v>
      </c>
      <c r="T150" s="3">
        <v>122</v>
      </c>
      <c r="U150" s="3">
        <v>253</v>
      </c>
      <c r="V150" s="3">
        <v>375</v>
      </c>
      <c r="W150" s="3">
        <v>150</v>
      </c>
      <c r="X150" s="3">
        <v>88</v>
      </c>
      <c r="Y150" s="3">
        <v>39</v>
      </c>
      <c r="Z150" s="3">
        <v>80</v>
      </c>
      <c r="AA150" s="3">
        <v>183</v>
      </c>
      <c r="AB150" s="3">
        <v>880</v>
      </c>
      <c r="AC150" s="3">
        <v>0.47099999999999997</v>
      </c>
      <c r="AD150" s="3">
        <v>0.59899999999999998</v>
      </c>
      <c r="AE150" s="3">
        <v>0.39500000000000002</v>
      </c>
      <c r="AF150" s="3">
        <v>0.67500000000000004</v>
      </c>
      <c r="AG150" s="3">
        <v>0.60399999999999998</v>
      </c>
      <c r="AH150" s="3">
        <v>0.59499999999999997</v>
      </c>
      <c r="AI150" s="3" t="s">
        <v>506</v>
      </c>
    </row>
    <row r="151" spans="1:35">
      <c r="B151" s="3" t="s">
        <v>926</v>
      </c>
      <c r="C151" s="3">
        <v>5.2</v>
      </c>
      <c r="D151" s="3">
        <v>1248</v>
      </c>
      <c r="E151" s="3" t="s">
        <v>1901</v>
      </c>
      <c r="F151" s="3">
        <v>29</v>
      </c>
      <c r="G151" s="3" t="s">
        <v>25</v>
      </c>
      <c r="H151" s="3">
        <v>71</v>
      </c>
      <c r="I151" s="3">
        <v>16</v>
      </c>
      <c r="J151" s="3">
        <v>0</v>
      </c>
      <c r="K151" s="3">
        <v>1248</v>
      </c>
      <c r="L151" s="3">
        <v>212</v>
      </c>
      <c r="M151" s="3">
        <v>344</v>
      </c>
      <c r="N151" s="3">
        <v>169</v>
      </c>
      <c r="O151" s="3">
        <v>224</v>
      </c>
      <c r="P151" s="3">
        <v>43</v>
      </c>
      <c r="Q151" s="3">
        <v>120</v>
      </c>
      <c r="R151" s="3">
        <v>35</v>
      </c>
      <c r="S151" s="3">
        <v>58</v>
      </c>
      <c r="T151" s="3">
        <v>72</v>
      </c>
      <c r="U151" s="3">
        <v>175</v>
      </c>
      <c r="V151" s="3">
        <v>247</v>
      </c>
      <c r="W151" s="3">
        <v>64</v>
      </c>
      <c r="X151" s="3">
        <v>96</v>
      </c>
      <c r="Y151" s="3">
        <v>22</v>
      </c>
      <c r="Z151" s="3">
        <v>40</v>
      </c>
      <c r="AA151" s="3">
        <v>131</v>
      </c>
      <c r="AB151" s="3">
        <v>502</v>
      </c>
      <c r="AC151" s="3">
        <v>0.61599999999999999</v>
      </c>
      <c r="AD151" s="3">
        <v>0.754</v>
      </c>
      <c r="AE151" s="3">
        <v>0.35799999999999998</v>
      </c>
      <c r="AF151" s="3">
        <v>0.60299999999999998</v>
      </c>
      <c r="AG151" s="3">
        <v>0.67900000000000005</v>
      </c>
      <c r="AH151" s="3">
        <v>0.67900000000000005</v>
      </c>
      <c r="AI151" s="3" t="s">
        <v>6</v>
      </c>
    </row>
    <row r="152" spans="1:35" ht="30">
      <c r="B152" s="3" t="s">
        <v>927</v>
      </c>
      <c r="C152" s="3">
        <v>4.5</v>
      </c>
      <c r="D152" s="3">
        <v>1770</v>
      </c>
      <c r="E152" s="3" t="s">
        <v>228</v>
      </c>
      <c r="F152" s="3">
        <v>27</v>
      </c>
      <c r="G152" s="3" t="s">
        <v>28</v>
      </c>
      <c r="H152" s="3">
        <v>73</v>
      </c>
      <c r="I152" s="3">
        <v>53</v>
      </c>
      <c r="J152" s="3">
        <v>0</v>
      </c>
      <c r="K152" s="3">
        <v>1770</v>
      </c>
      <c r="L152" s="3">
        <v>293</v>
      </c>
      <c r="M152" s="3">
        <v>556</v>
      </c>
      <c r="N152" s="3">
        <v>219</v>
      </c>
      <c r="O152" s="3">
        <v>352</v>
      </c>
      <c r="P152" s="3">
        <v>74</v>
      </c>
      <c r="Q152" s="3">
        <v>204</v>
      </c>
      <c r="R152" s="3">
        <v>81</v>
      </c>
      <c r="S152" s="3">
        <v>115</v>
      </c>
      <c r="T152" s="3">
        <v>88</v>
      </c>
      <c r="U152" s="3">
        <v>164</v>
      </c>
      <c r="V152" s="3">
        <v>252</v>
      </c>
      <c r="W152" s="3">
        <v>57</v>
      </c>
      <c r="X152" s="3">
        <v>76</v>
      </c>
      <c r="Y152" s="3">
        <v>32</v>
      </c>
      <c r="Z152" s="3">
        <v>62</v>
      </c>
      <c r="AA152" s="3">
        <v>148</v>
      </c>
      <c r="AB152" s="3">
        <v>741</v>
      </c>
      <c r="AC152" s="3">
        <v>0.52700000000000002</v>
      </c>
      <c r="AD152" s="3">
        <v>0.622</v>
      </c>
      <c r="AE152" s="3">
        <v>0.36299999999999999</v>
      </c>
      <c r="AF152" s="3">
        <v>0.70399999999999996</v>
      </c>
      <c r="AG152" s="3">
        <v>0.61099999999999999</v>
      </c>
      <c r="AH152" s="3">
        <v>0.59399999999999997</v>
      </c>
      <c r="AI152" s="3" t="s">
        <v>506</v>
      </c>
    </row>
    <row r="153" spans="1:35">
      <c r="B153" s="3" t="s">
        <v>928</v>
      </c>
      <c r="C153" s="3">
        <v>3.8</v>
      </c>
      <c r="D153" s="3">
        <v>2293</v>
      </c>
      <c r="E153" s="3" t="s">
        <v>1895</v>
      </c>
      <c r="F153" s="3">
        <v>25</v>
      </c>
      <c r="G153" s="3" t="s">
        <v>79</v>
      </c>
      <c r="H153" s="3">
        <v>82</v>
      </c>
      <c r="I153" s="3">
        <v>81</v>
      </c>
      <c r="J153" s="3">
        <v>0</v>
      </c>
      <c r="K153" s="3">
        <v>2293</v>
      </c>
      <c r="L153" s="3">
        <v>361</v>
      </c>
      <c r="M153" s="3">
        <v>791</v>
      </c>
      <c r="N153" s="3">
        <v>185</v>
      </c>
      <c r="O153" s="3">
        <v>378</v>
      </c>
      <c r="P153" s="3">
        <v>176</v>
      </c>
      <c r="Q153" s="3">
        <v>413</v>
      </c>
      <c r="R153" s="3">
        <v>69</v>
      </c>
      <c r="S153" s="3">
        <v>78</v>
      </c>
      <c r="T153" s="3">
        <v>18</v>
      </c>
      <c r="U153" s="3">
        <v>221</v>
      </c>
      <c r="V153" s="3">
        <v>239</v>
      </c>
      <c r="W153" s="3">
        <v>175</v>
      </c>
      <c r="X153" s="3">
        <v>45</v>
      </c>
      <c r="Y153" s="3">
        <v>4</v>
      </c>
      <c r="Z153" s="3">
        <v>80</v>
      </c>
      <c r="AA153" s="3">
        <v>159</v>
      </c>
      <c r="AB153" s="3">
        <v>967</v>
      </c>
      <c r="AC153" s="3">
        <v>0.45600000000000002</v>
      </c>
      <c r="AD153" s="3">
        <v>0.48899999999999999</v>
      </c>
      <c r="AE153" s="3">
        <v>0.42599999999999999</v>
      </c>
      <c r="AF153" s="3">
        <v>0.88500000000000001</v>
      </c>
      <c r="AG153" s="3">
        <v>0.58599999999999997</v>
      </c>
      <c r="AH153" s="3">
        <v>0.56799999999999995</v>
      </c>
      <c r="AI153" s="3" t="s">
        <v>6</v>
      </c>
    </row>
    <row r="154" spans="1:35" ht="30">
      <c r="B154" s="3" t="s">
        <v>929</v>
      </c>
      <c r="C154" s="3">
        <v>3.6</v>
      </c>
      <c r="D154" s="3">
        <v>1913</v>
      </c>
      <c r="E154" s="3" t="s">
        <v>1890</v>
      </c>
      <c r="F154" s="3">
        <v>26</v>
      </c>
      <c r="G154" s="3" t="s">
        <v>52</v>
      </c>
      <c r="H154" s="3">
        <v>63</v>
      </c>
      <c r="I154" s="3">
        <v>52</v>
      </c>
      <c r="J154" s="3">
        <v>0</v>
      </c>
      <c r="K154" s="3">
        <v>1913</v>
      </c>
      <c r="L154" s="3">
        <v>230</v>
      </c>
      <c r="M154" s="3">
        <v>539</v>
      </c>
      <c r="N154" s="3">
        <v>101</v>
      </c>
      <c r="O154" s="3">
        <v>184</v>
      </c>
      <c r="P154" s="3">
        <v>129</v>
      </c>
      <c r="Q154" s="3">
        <v>355</v>
      </c>
      <c r="R154" s="3">
        <v>73</v>
      </c>
      <c r="S154" s="3">
        <v>90</v>
      </c>
      <c r="T154" s="3">
        <v>57</v>
      </c>
      <c r="U154" s="3">
        <v>210</v>
      </c>
      <c r="V154" s="3">
        <v>267</v>
      </c>
      <c r="W154" s="3">
        <v>85</v>
      </c>
      <c r="X154" s="3">
        <v>67</v>
      </c>
      <c r="Y154" s="3">
        <v>34</v>
      </c>
      <c r="Z154" s="3">
        <v>54</v>
      </c>
      <c r="AA154" s="3">
        <v>132</v>
      </c>
      <c r="AB154" s="3">
        <v>662</v>
      </c>
      <c r="AC154" s="3">
        <v>0.42699999999999999</v>
      </c>
      <c r="AD154" s="3">
        <v>0.54900000000000004</v>
      </c>
      <c r="AE154" s="3">
        <v>0.36299999999999999</v>
      </c>
      <c r="AF154" s="3">
        <v>0.81100000000000005</v>
      </c>
      <c r="AG154" s="3">
        <v>0.57199999999999995</v>
      </c>
      <c r="AH154" s="3">
        <v>0.54600000000000004</v>
      </c>
      <c r="AI154" s="3" t="s">
        <v>6</v>
      </c>
    </row>
    <row r="155" spans="1:35">
      <c r="B155" s="3" t="s">
        <v>930</v>
      </c>
      <c r="C155" s="3">
        <v>3</v>
      </c>
      <c r="D155" s="3">
        <v>2282</v>
      </c>
      <c r="E155" s="3" t="s">
        <v>1875</v>
      </c>
      <c r="F155" s="3">
        <v>24</v>
      </c>
      <c r="G155" s="3" t="s">
        <v>20</v>
      </c>
      <c r="H155" s="3">
        <v>82</v>
      </c>
      <c r="I155" s="3">
        <v>21</v>
      </c>
      <c r="J155" s="3">
        <v>0</v>
      </c>
      <c r="K155" s="3">
        <v>2282</v>
      </c>
      <c r="L155" s="3">
        <v>311</v>
      </c>
      <c r="M155" s="3">
        <v>730</v>
      </c>
      <c r="N155" s="3">
        <v>177</v>
      </c>
      <c r="O155" s="3">
        <v>371</v>
      </c>
      <c r="P155" s="3">
        <v>134</v>
      </c>
      <c r="Q155" s="3">
        <v>359</v>
      </c>
      <c r="R155" s="3">
        <v>82</v>
      </c>
      <c r="S155" s="3">
        <v>103</v>
      </c>
      <c r="T155" s="3">
        <v>26</v>
      </c>
      <c r="U155" s="3">
        <v>223</v>
      </c>
      <c r="V155" s="3">
        <v>249</v>
      </c>
      <c r="W155" s="3">
        <v>201</v>
      </c>
      <c r="X155" s="3">
        <v>64</v>
      </c>
      <c r="Y155" s="3">
        <v>9</v>
      </c>
      <c r="Z155" s="3">
        <v>78</v>
      </c>
      <c r="AA155" s="3">
        <v>153</v>
      </c>
      <c r="AB155" s="3">
        <v>838</v>
      </c>
      <c r="AC155" s="3">
        <v>0.42599999999999999</v>
      </c>
      <c r="AD155" s="3">
        <v>0.47699999999999998</v>
      </c>
      <c r="AE155" s="3">
        <v>0.373</v>
      </c>
      <c r="AF155" s="3">
        <v>0.79600000000000004</v>
      </c>
      <c r="AG155" s="3">
        <v>0.54</v>
      </c>
      <c r="AH155" s="3">
        <v>0.51800000000000002</v>
      </c>
      <c r="AI155" s="3" t="s">
        <v>6</v>
      </c>
    </row>
    <row r="156" spans="1:35" ht="30">
      <c r="B156" s="3" t="s">
        <v>931</v>
      </c>
      <c r="C156" s="3">
        <v>2.9</v>
      </c>
      <c r="D156" s="3">
        <v>1966</v>
      </c>
      <c r="E156" s="3" t="s">
        <v>1893</v>
      </c>
      <c r="F156" s="3">
        <v>25</v>
      </c>
      <c r="G156" s="3" t="s">
        <v>72</v>
      </c>
      <c r="H156" s="3">
        <v>78</v>
      </c>
      <c r="I156" s="3">
        <v>65</v>
      </c>
      <c r="J156" s="3">
        <v>0</v>
      </c>
      <c r="K156" s="3">
        <v>1966</v>
      </c>
      <c r="L156" s="3">
        <v>190</v>
      </c>
      <c r="M156" s="3">
        <v>460</v>
      </c>
      <c r="N156" s="3">
        <v>117</v>
      </c>
      <c r="O156" s="3">
        <v>240</v>
      </c>
      <c r="P156" s="3">
        <v>73</v>
      </c>
      <c r="Q156" s="3">
        <v>220</v>
      </c>
      <c r="R156" s="3">
        <v>44</v>
      </c>
      <c r="S156" s="3">
        <v>71</v>
      </c>
      <c r="T156" s="3">
        <v>94</v>
      </c>
      <c r="U156" s="3">
        <v>162</v>
      </c>
      <c r="V156" s="3">
        <v>256</v>
      </c>
      <c r="W156" s="3">
        <v>124</v>
      </c>
      <c r="X156" s="3">
        <v>46</v>
      </c>
      <c r="Y156" s="3">
        <v>18</v>
      </c>
      <c r="Z156" s="3">
        <v>56</v>
      </c>
      <c r="AA156" s="3">
        <v>140</v>
      </c>
      <c r="AB156" s="3">
        <v>497</v>
      </c>
      <c r="AC156" s="3">
        <v>0.41299999999999998</v>
      </c>
      <c r="AD156" s="3">
        <v>0.48799999999999999</v>
      </c>
      <c r="AE156" s="3">
        <v>0.33200000000000002</v>
      </c>
      <c r="AF156" s="3">
        <v>0.62</v>
      </c>
      <c r="AG156" s="3">
        <v>0.50600000000000001</v>
      </c>
      <c r="AH156" s="3">
        <v>0.49199999999999999</v>
      </c>
      <c r="AI156" s="3" t="s">
        <v>6</v>
      </c>
    </row>
    <row r="157" spans="1:35">
      <c r="B157" s="3" t="s">
        <v>932</v>
      </c>
      <c r="C157" s="3">
        <v>2.4</v>
      </c>
      <c r="D157" s="3">
        <v>1646</v>
      </c>
      <c r="E157" s="3" t="s">
        <v>1875</v>
      </c>
      <c r="F157" s="3">
        <v>25</v>
      </c>
      <c r="G157" s="3" t="s">
        <v>99</v>
      </c>
      <c r="H157" s="3">
        <v>70</v>
      </c>
      <c r="I157" s="3">
        <v>21</v>
      </c>
      <c r="J157" s="3">
        <v>0</v>
      </c>
      <c r="K157" s="3">
        <v>1646</v>
      </c>
      <c r="L157" s="3">
        <v>202</v>
      </c>
      <c r="M157" s="3">
        <v>423</v>
      </c>
      <c r="N157" s="3">
        <v>184</v>
      </c>
      <c r="O157" s="3">
        <v>371</v>
      </c>
      <c r="P157" s="3">
        <v>18</v>
      </c>
      <c r="Q157" s="3">
        <v>52</v>
      </c>
      <c r="R157" s="3">
        <v>133</v>
      </c>
      <c r="S157" s="3">
        <v>203</v>
      </c>
      <c r="T157" s="3">
        <v>89</v>
      </c>
      <c r="U157" s="3">
        <v>237</v>
      </c>
      <c r="V157" s="3">
        <v>326</v>
      </c>
      <c r="W157" s="3">
        <v>104</v>
      </c>
      <c r="X157" s="3">
        <v>59</v>
      </c>
      <c r="Y157" s="3">
        <v>29</v>
      </c>
      <c r="Z157" s="3">
        <v>77</v>
      </c>
      <c r="AA157" s="3">
        <v>158</v>
      </c>
      <c r="AB157" s="3">
        <v>555</v>
      </c>
      <c r="AC157" s="3">
        <v>0.47799999999999998</v>
      </c>
      <c r="AD157" s="3">
        <v>0.496</v>
      </c>
      <c r="AE157" s="3">
        <v>0.34599999999999997</v>
      </c>
      <c r="AF157" s="3">
        <v>0.65500000000000003</v>
      </c>
      <c r="AG157" s="3">
        <v>0.54200000000000004</v>
      </c>
      <c r="AH157" s="3">
        <v>0.499</v>
      </c>
      <c r="AI157" s="3" t="s">
        <v>6</v>
      </c>
    </row>
    <row r="158" spans="1:35">
      <c r="B158" s="3" t="s">
        <v>933</v>
      </c>
      <c r="C158" s="3">
        <v>1.8</v>
      </c>
      <c r="D158" s="3">
        <v>1059</v>
      </c>
      <c r="E158" s="3" t="s">
        <v>1895</v>
      </c>
      <c r="F158" s="3">
        <v>25</v>
      </c>
      <c r="G158" s="3" t="s">
        <v>25</v>
      </c>
      <c r="H158" s="3">
        <v>74</v>
      </c>
      <c r="I158" s="3">
        <v>10</v>
      </c>
      <c r="J158" s="3">
        <v>0</v>
      </c>
      <c r="K158" s="3">
        <v>1059</v>
      </c>
      <c r="L158" s="3">
        <v>204</v>
      </c>
      <c r="M158" s="3">
        <v>439</v>
      </c>
      <c r="N158" s="3">
        <v>123</v>
      </c>
      <c r="O158" s="3">
        <v>239</v>
      </c>
      <c r="P158" s="3">
        <v>81</v>
      </c>
      <c r="Q158" s="3">
        <v>200</v>
      </c>
      <c r="R158" s="3">
        <v>20</v>
      </c>
      <c r="S158" s="3">
        <v>26</v>
      </c>
      <c r="T158" s="3">
        <v>22</v>
      </c>
      <c r="U158" s="3">
        <v>135</v>
      </c>
      <c r="V158" s="3">
        <v>157</v>
      </c>
      <c r="W158" s="3">
        <v>116</v>
      </c>
      <c r="X158" s="3">
        <v>20</v>
      </c>
      <c r="Y158" s="3">
        <v>3</v>
      </c>
      <c r="Z158" s="3">
        <v>50</v>
      </c>
      <c r="AA158" s="3">
        <v>92</v>
      </c>
      <c r="AB158" s="3">
        <v>509</v>
      </c>
      <c r="AC158" s="3">
        <v>0.46500000000000002</v>
      </c>
      <c r="AD158" s="3">
        <v>0.51500000000000001</v>
      </c>
      <c r="AE158" s="3">
        <v>0.40500000000000003</v>
      </c>
      <c r="AF158" s="3">
        <v>0.76900000000000002</v>
      </c>
      <c r="AG158" s="3">
        <v>0.56499999999999995</v>
      </c>
      <c r="AH158" s="3">
        <v>0.55700000000000005</v>
      </c>
      <c r="AI158" s="3" t="s">
        <v>6</v>
      </c>
    </row>
    <row r="159" spans="1:35" ht="30">
      <c r="B159" s="3" t="s">
        <v>934</v>
      </c>
      <c r="C159" s="3">
        <v>1.8</v>
      </c>
      <c r="D159" s="3">
        <v>1050</v>
      </c>
      <c r="E159" s="3" t="s">
        <v>1875</v>
      </c>
      <c r="F159" s="3">
        <v>24</v>
      </c>
      <c r="G159" s="3" t="s">
        <v>119</v>
      </c>
      <c r="H159" s="3">
        <v>63</v>
      </c>
      <c r="I159" s="3">
        <v>2</v>
      </c>
      <c r="J159" s="3">
        <v>0</v>
      </c>
      <c r="K159" s="3">
        <v>1050</v>
      </c>
      <c r="L159" s="3">
        <v>96</v>
      </c>
      <c r="M159" s="3">
        <v>221</v>
      </c>
      <c r="N159" s="3">
        <v>56</v>
      </c>
      <c r="O159" s="3">
        <v>124</v>
      </c>
      <c r="P159" s="3">
        <v>40</v>
      </c>
      <c r="Q159" s="3">
        <v>97</v>
      </c>
      <c r="R159" s="3">
        <v>41</v>
      </c>
      <c r="S159" s="3">
        <v>59</v>
      </c>
      <c r="T159" s="3">
        <v>42</v>
      </c>
      <c r="U159" s="3">
        <v>79</v>
      </c>
      <c r="V159" s="3">
        <v>121</v>
      </c>
      <c r="W159" s="3">
        <v>59</v>
      </c>
      <c r="X159" s="3">
        <v>33</v>
      </c>
      <c r="Y159" s="3">
        <v>2</v>
      </c>
      <c r="Z159" s="3">
        <v>27</v>
      </c>
      <c r="AA159" s="3">
        <v>109</v>
      </c>
      <c r="AB159" s="3">
        <v>273</v>
      </c>
      <c r="AC159" s="3">
        <v>0.434</v>
      </c>
      <c r="AD159" s="3">
        <v>0.45200000000000001</v>
      </c>
      <c r="AE159" s="3">
        <v>0.41199999999999998</v>
      </c>
      <c r="AF159" s="3">
        <v>0.69499999999999995</v>
      </c>
      <c r="AG159" s="3">
        <v>0.55300000000000005</v>
      </c>
      <c r="AH159" s="3">
        <v>0.52500000000000002</v>
      </c>
      <c r="AI159" s="3" t="s">
        <v>6</v>
      </c>
    </row>
    <row r="160" spans="1:35" ht="30">
      <c r="B160" s="3" t="s">
        <v>935</v>
      </c>
      <c r="C160" s="3">
        <v>1.2</v>
      </c>
      <c r="D160" s="3">
        <v>1016</v>
      </c>
      <c r="E160" s="3" t="s">
        <v>1893</v>
      </c>
      <c r="F160" s="3">
        <v>27</v>
      </c>
      <c r="G160" s="3" t="s">
        <v>50</v>
      </c>
      <c r="H160" s="3">
        <v>68</v>
      </c>
      <c r="I160" s="3">
        <v>5</v>
      </c>
      <c r="J160" s="3">
        <v>0</v>
      </c>
      <c r="K160" s="3">
        <v>1016</v>
      </c>
      <c r="L160" s="3">
        <v>158</v>
      </c>
      <c r="M160" s="3">
        <v>369</v>
      </c>
      <c r="N160" s="3">
        <v>104</v>
      </c>
      <c r="O160" s="3">
        <v>201</v>
      </c>
      <c r="P160" s="3">
        <v>54</v>
      </c>
      <c r="Q160" s="3">
        <v>168</v>
      </c>
      <c r="R160" s="3">
        <v>55</v>
      </c>
      <c r="S160" s="3">
        <v>68</v>
      </c>
      <c r="T160" s="3">
        <v>47</v>
      </c>
      <c r="U160" s="3">
        <v>79</v>
      </c>
      <c r="V160" s="3">
        <v>126</v>
      </c>
      <c r="W160" s="3">
        <v>69</v>
      </c>
      <c r="X160" s="3">
        <v>29</v>
      </c>
      <c r="Y160" s="3">
        <v>11</v>
      </c>
      <c r="Z160" s="3">
        <v>51</v>
      </c>
      <c r="AA160" s="3">
        <v>79</v>
      </c>
      <c r="AB160" s="3">
        <v>425</v>
      </c>
      <c r="AC160" s="3">
        <v>0.42799999999999999</v>
      </c>
      <c r="AD160" s="3">
        <v>0.51700000000000002</v>
      </c>
      <c r="AE160" s="3">
        <v>0.32100000000000001</v>
      </c>
      <c r="AF160" s="3">
        <v>0.80900000000000005</v>
      </c>
      <c r="AG160" s="3">
        <v>0.53300000000000003</v>
      </c>
      <c r="AH160" s="3">
        <v>0.501</v>
      </c>
      <c r="AI160" s="3" t="s">
        <v>506</v>
      </c>
    </row>
    <row r="161" spans="1:35" ht="30">
      <c r="B161" s="3" t="s">
        <v>936</v>
      </c>
      <c r="C161" s="3">
        <v>1</v>
      </c>
      <c r="D161" s="3">
        <v>1014</v>
      </c>
      <c r="E161" s="3" t="s">
        <v>1875</v>
      </c>
      <c r="F161" s="3">
        <v>28</v>
      </c>
      <c r="G161" s="3" t="s">
        <v>184</v>
      </c>
      <c r="H161" s="3">
        <v>54</v>
      </c>
      <c r="I161" s="3">
        <v>3</v>
      </c>
      <c r="J161" s="3">
        <v>0</v>
      </c>
      <c r="K161" s="3">
        <v>1014</v>
      </c>
      <c r="L161" s="3">
        <v>109</v>
      </c>
      <c r="M161" s="3">
        <v>285</v>
      </c>
      <c r="N161" s="3">
        <v>63</v>
      </c>
      <c r="O161" s="3">
        <v>161</v>
      </c>
      <c r="P161" s="3">
        <v>46</v>
      </c>
      <c r="Q161" s="3">
        <v>124</v>
      </c>
      <c r="R161" s="3">
        <v>74</v>
      </c>
      <c r="S161" s="3">
        <v>92</v>
      </c>
      <c r="T161" s="3">
        <v>9</v>
      </c>
      <c r="U161" s="3">
        <v>91</v>
      </c>
      <c r="V161" s="3">
        <v>100</v>
      </c>
      <c r="W161" s="3">
        <v>163</v>
      </c>
      <c r="X161" s="3">
        <v>35</v>
      </c>
      <c r="Y161" s="3">
        <v>6</v>
      </c>
      <c r="Z161" s="3">
        <v>66</v>
      </c>
      <c r="AA161" s="3">
        <v>82</v>
      </c>
      <c r="AB161" s="3">
        <v>338</v>
      </c>
      <c r="AC161" s="3">
        <v>0.38200000000000001</v>
      </c>
      <c r="AD161" s="3">
        <v>0.39100000000000001</v>
      </c>
      <c r="AE161" s="3">
        <v>0.371</v>
      </c>
      <c r="AF161" s="3">
        <v>0.80400000000000005</v>
      </c>
      <c r="AG161" s="3">
        <v>0.51900000000000002</v>
      </c>
      <c r="AH161" s="3">
        <v>0.46300000000000002</v>
      </c>
      <c r="AI161" s="3" t="s">
        <v>6</v>
      </c>
    </row>
    <row r="162" spans="1:35">
      <c r="B162" s="3" t="s">
        <v>937</v>
      </c>
      <c r="C162" s="3">
        <v>0.6</v>
      </c>
      <c r="D162" s="3">
        <v>1167</v>
      </c>
      <c r="E162" s="3" t="s">
        <v>1875</v>
      </c>
      <c r="F162" s="3">
        <v>23</v>
      </c>
      <c r="G162" s="3" t="s">
        <v>184</v>
      </c>
      <c r="H162" s="3">
        <v>67</v>
      </c>
      <c r="I162" s="3">
        <v>9</v>
      </c>
      <c r="J162" s="3">
        <v>0</v>
      </c>
      <c r="K162" s="3">
        <v>1167</v>
      </c>
      <c r="L162" s="3">
        <v>163</v>
      </c>
      <c r="M162" s="3">
        <v>390</v>
      </c>
      <c r="N162" s="3">
        <v>143</v>
      </c>
      <c r="O162" s="3">
        <v>310</v>
      </c>
      <c r="P162" s="3">
        <v>20</v>
      </c>
      <c r="Q162" s="3">
        <v>80</v>
      </c>
      <c r="R162" s="3">
        <v>99</v>
      </c>
      <c r="S162" s="3">
        <v>141</v>
      </c>
      <c r="T162" s="3">
        <v>22</v>
      </c>
      <c r="U162" s="3">
        <v>72</v>
      </c>
      <c r="V162" s="3">
        <v>94</v>
      </c>
      <c r="W162" s="3">
        <v>206</v>
      </c>
      <c r="X162" s="3">
        <v>34</v>
      </c>
      <c r="Y162" s="3">
        <v>10</v>
      </c>
      <c r="Z162" s="3">
        <v>84</v>
      </c>
      <c r="AA162" s="3">
        <v>116</v>
      </c>
      <c r="AB162" s="3">
        <v>445</v>
      </c>
      <c r="AC162" s="3">
        <v>0.41799999999999998</v>
      </c>
      <c r="AD162" s="3">
        <v>0.46100000000000002</v>
      </c>
      <c r="AE162" s="3">
        <v>0.25</v>
      </c>
      <c r="AF162" s="3">
        <v>0.70199999999999996</v>
      </c>
      <c r="AG162" s="3">
        <v>0.49199999999999999</v>
      </c>
      <c r="AH162" s="3">
        <v>0.44400000000000001</v>
      </c>
      <c r="AI162" s="3" t="s">
        <v>6</v>
      </c>
    </row>
    <row r="163" spans="1:35" ht="30">
      <c r="B163" s="3" t="s">
        <v>938</v>
      </c>
      <c r="C163" s="3">
        <v>0</v>
      </c>
      <c r="D163" s="3">
        <v>837</v>
      </c>
      <c r="E163" s="3" t="s">
        <v>1898</v>
      </c>
      <c r="F163" s="3">
        <v>27</v>
      </c>
      <c r="G163" s="3" t="s">
        <v>179</v>
      </c>
      <c r="H163" s="3">
        <v>41</v>
      </c>
      <c r="I163" s="3">
        <v>5</v>
      </c>
      <c r="J163" s="3">
        <v>0</v>
      </c>
      <c r="K163" s="3">
        <v>837</v>
      </c>
      <c r="L163" s="3">
        <v>92</v>
      </c>
      <c r="M163" s="3">
        <v>237</v>
      </c>
      <c r="N163" s="3">
        <v>48</v>
      </c>
      <c r="O163" s="3">
        <v>107</v>
      </c>
      <c r="P163" s="3">
        <v>44</v>
      </c>
      <c r="Q163" s="3">
        <v>130</v>
      </c>
      <c r="R163" s="3">
        <v>38</v>
      </c>
      <c r="S163" s="3">
        <v>48</v>
      </c>
      <c r="T163" s="3">
        <v>7</v>
      </c>
      <c r="U163" s="3">
        <v>75</v>
      </c>
      <c r="V163" s="3">
        <v>82</v>
      </c>
      <c r="W163" s="3">
        <v>74</v>
      </c>
      <c r="X163" s="3">
        <v>22</v>
      </c>
      <c r="Y163" s="3">
        <v>5</v>
      </c>
      <c r="Z163" s="3">
        <v>46</v>
      </c>
      <c r="AA163" s="3">
        <v>64</v>
      </c>
      <c r="AB163" s="3">
        <v>266</v>
      </c>
      <c r="AC163" s="3">
        <v>0.38800000000000001</v>
      </c>
      <c r="AD163" s="3">
        <v>0.44900000000000001</v>
      </c>
      <c r="AE163" s="3">
        <v>0.33800000000000002</v>
      </c>
      <c r="AF163" s="3">
        <v>0.79200000000000004</v>
      </c>
      <c r="AG163" s="3">
        <v>0.51500000000000001</v>
      </c>
      <c r="AH163" s="3">
        <v>0.48099999999999998</v>
      </c>
      <c r="AI163" s="3" t="s">
        <v>6</v>
      </c>
    </row>
    <row r="164" spans="1:35">
      <c r="B164" s="3" t="s">
        <v>939</v>
      </c>
      <c r="C164" s="3">
        <v>-0.1</v>
      </c>
      <c r="D164" s="3">
        <v>857</v>
      </c>
      <c r="E164" s="3" t="s">
        <v>1893</v>
      </c>
      <c r="F164" s="3">
        <v>23</v>
      </c>
      <c r="G164" s="3" t="s">
        <v>50</v>
      </c>
      <c r="H164" s="3">
        <v>52</v>
      </c>
      <c r="I164" s="3">
        <v>13</v>
      </c>
      <c r="J164" s="3">
        <v>0</v>
      </c>
      <c r="K164" s="3">
        <v>857</v>
      </c>
      <c r="L164" s="3">
        <v>82</v>
      </c>
      <c r="M164" s="3">
        <v>217</v>
      </c>
      <c r="N164" s="3">
        <v>59</v>
      </c>
      <c r="O164" s="3">
        <v>131</v>
      </c>
      <c r="P164" s="3">
        <v>23</v>
      </c>
      <c r="Q164" s="3">
        <v>86</v>
      </c>
      <c r="R164" s="3">
        <v>28</v>
      </c>
      <c r="S164" s="3">
        <v>43</v>
      </c>
      <c r="T164" s="3">
        <v>12</v>
      </c>
      <c r="U164" s="3">
        <v>86</v>
      </c>
      <c r="V164" s="3">
        <v>98</v>
      </c>
      <c r="W164" s="3">
        <v>107</v>
      </c>
      <c r="X164" s="3">
        <v>34</v>
      </c>
      <c r="Y164" s="3">
        <v>8</v>
      </c>
      <c r="Z164" s="3">
        <v>56</v>
      </c>
      <c r="AA164" s="3">
        <v>74</v>
      </c>
      <c r="AB164" s="3">
        <v>215</v>
      </c>
      <c r="AC164" s="3">
        <v>0.378</v>
      </c>
      <c r="AD164" s="3">
        <v>0.45</v>
      </c>
      <c r="AE164" s="3">
        <v>0.26700000000000002</v>
      </c>
      <c r="AF164" s="3">
        <v>0.65100000000000002</v>
      </c>
      <c r="AG164" s="3">
        <v>0.45600000000000002</v>
      </c>
      <c r="AH164" s="3">
        <v>0.43099999999999999</v>
      </c>
      <c r="AI164" s="3" t="s">
        <v>6</v>
      </c>
    </row>
    <row r="165" spans="1:35">
      <c r="B165" s="3" t="s">
        <v>940</v>
      </c>
      <c r="C165" s="3">
        <v>-0.3</v>
      </c>
      <c r="D165" s="3">
        <v>1439</v>
      </c>
      <c r="E165" s="3" t="s">
        <v>1895</v>
      </c>
      <c r="F165" s="3">
        <v>24</v>
      </c>
      <c r="G165" s="3" t="s">
        <v>1902</v>
      </c>
      <c r="H165" s="3">
        <v>75</v>
      </c>
      <c r="I165" s="3">
        <v>13</v>
      </c>
      <c r="J165" s="3">
        <v>0</v>
      </c>
      <c r="K165" s="3">
        <v>1439</v>
      </c>
      <c r="L165" s="3">
        <v>196</v>
      </c>
      <c r="M165" s="3">
        <v>483</v>
      </c>
      <c r="N165" s="3">
        <v>141</v>
      </c>
      <c r="O165" s="3">
        <v>309</v>
      </c>
      <c r="P165" s="3">
        <v>55</v>
      </c>
      <c r="Q165" s="3">
        <v>174</v>
      </c>
      <c r="R165" s="3">
        <v>67</v>
      </c>
      <c r="S165" s="3">
        <v>92</v>
      </c>
      <c r="T165" s="3">
        <v>37</v>
      </c>
      <c r="U165" s="3">
        <v>143</v>
      </c>
      <c r="V165" s="3">
        <v>180</v>
      </c>
      <c r="W165" s="3">
        <v>109</v>
      </c>
      <c r="X165" s="3">
        <v>33</v>
      </c>
      <c r="Y165" s="3">
        <v>13</v>
      </c>
      <c r="Z165" s="3">
        <v>79</v>
      </c>
      <c r="AA165" s="3">
        <v>131</v>
      </c>
      <c r="AB165" s="3">
        <v>514</v>
      </c>
      <c r="AC165" s="3">
        <v>0.40600000000000003</v>
      </c>
      <c r="AD165" s="3">
        <v>0.45600000000000002</v>
      </c>
      <c r="AE165" s="3">
        <v>0.316</v>
      </c>
      <c r="AF165" s="3">
        <v>0.72799999999999998</v>
      </c>
      <c r="AG165" s="3">
        <v>0.49099999999999999</v>
      </c>
      <c r="AH165" s="3">
        <v>0.46300000000000002</v>
      </c>
      <c r="AI165" s="3" t="s">
        <v>722</v>
      </c>
    </row>
    <row r="167" spans="1:35" ht="30">
      <c r="A167" s="1" t="s">
        <v>1903</v>
      </c>
    </row>
    <row r="168" spans="1:35">
      <c r="B168" s="1" t="s">
        <v>3</v>
      </c>
      <c r="C168" s="1" t="s">
        <v>14</v>
      </c>
      <c r="D168" s="1" t="s">
        <v>7</v>
      </c>
      <c r="E168" s="1" t="s">
        <v>1824</v>
      </c>
      <c r="F168" s="1" t="s">
        <v>1825</v>
      </c>
      <c r="G168" s="1" t="s">
        <v>499</v>
      </c>
      <c r="H168" s="1" t="s">
        <v>6</v>
      </c>
      <c r="I168" s="1" t="s">
        <v>1826</v>
      </c>
      <c r="J168" s="1" t="s">
        <v>1827</v>
      </c>
      <c r="K168" s="1" t="s">
        <v>7</v>
      </c>
      <c r="L168" s="1" t="s">
        <v>1828</v>
      </c>
      <c r="M168" s="1" t="s">
        <v>1829</v>
      </c>
      <c r="N168" s="1" t="s">
        <v>1830</v>
      </c>
      <c r="O168" s="1" t="s">
        <v>1831</v>
      </c>
      <c r="P168" s="1" t="s">
        <v>1832</v>
      </c>
      <c r="Q168" s="1" t="s">
        <v>1833</v>
      </c>
      <c r="R168" s="1" t="s">
        <v>1834</v>
      </c>
      <c r="S168" s="1" t="s">
        <v>1835</v>
      </c>
      <c r="T168" s="1" t="s">
        <v>1836</v>
      </c>
      <c r="U168" s="1" t="s">
        <v>1837</v>
      </c>
      <c r="V168" s="1" t="s">
        <v>9</v>
      </c>
      <c r="W168" s="1" t="s">
        <v>10</v>
      </c>
      <c r="X168" s="1" t="s">
        <v>1838</v>
      </c>
      <c r="Y168" s="1" t="s">
        <v>1839</v>
      </c>
      <c r="Z168" s="1" t="s">
        <v>1840</v>
      </c>
      <c r="AA168" s="1" t="s">
        <v>1841</v>
      </c>
      <c r="AB168" s="1" t="s">
        <v>8</v>
      </c>
      <c r="AC168" s="1" t="s">
        <v>11</v>
      </c>
      <c r="AD168" s="1" t="s">
        <v>1842</v>
      </c>
      <c r="AE168" s="1" t="s">
        <v>12</v>
      </c>
      <c r="AF168" s="1" t="s">
        <v>13</v>
      </c>
      <c r="AG168" s="1" t="s">
        <v>1843</v>
      </c>
      <c r="AH168" s="1" t="s">
        <v>1844</v>
      </c>
      <c r="AI168" s="1" t="s">
        <v>500</v>
      </c>
    </row>
    <row r="169" spans="1:35">
      <c r="B169" s="3" t="s">
        <v>845</v>
      </c>
      <c r="C169" s="3">
        <v>6.6</v>
      </c>
      <c r="D169" s="3">
        <v>1269</v>
      </c>
      <c r="E169" s="3" t="s">
        <v>228</v>
      </c>
      <c r="F169" s="3">
        <v>29</v>
      </c>
      <c r="G169" s="3" t="s">
        <v>190</v>
      </c>
      <c r="H169" s="3">
        <v>69</v>
      </c>
      <c r="I169" s="3">
        <v>14</v>
      </c>
      <c r="J169" s="3">
        <v>0</v>
      </c>
      <c r="K169" s="3">
        <v>1269</v>
      </c>
      <c r="L169" s="3">
        <v>172</v>
      </c>
      <c r="M169" s="3">
        <v>253</v>
      </c>
      <c r="N169" s="3">
        <v>172</v>
      </c>
      <c r="O169" s="3">
        <v>251</v>
      </c>
      <c r="P169" s="3">
        <v>0</v>
      </c>
      <c r="Q169" s="3">
        <v>2</v>
      </c>
      <c r="R169" s="3">
        <v>62</v>
      </c>
      <c r="S169" s="3">
        <v>89</v>
      </c>
      <c r="T169" s="3">
        <v>180</v>
      </c>
      <c r="U169" s="3">
        <v>190</v>
      </c>
      <c r="V169" s="3">
        <v>370</v>
      </c>
      <c r="W169" s="3">
        <v>111</v>
      </c>
      <c r="X169" s="3">
        <v>33</v>
      </c>
      <c r="Y169" s="3">
        <v>65</v>
      </c>
      <c r="Z169" s="3">
        <v>28</v>
      </c>
      <c r="AA169" s="3">
        <v>110</v>
      </c>
      <c r="AB169" s="3">
        <v>406</v>
      </c>
      <c r="AC169" s="3">
        <v>0.68</v>
      </c>
      <c r="AD169" s="3">
        <v>0.68500000000000005</v>
      </c>
      <c r="AE169" s="3">
        <v>0</v>
      </c>
      <c r="AF169" s="3">
        <v>0.69699999999999995</v>
      </c>
      <c r="AG169" s="3">
        <v>0.69499999999999995</v>
      </c>
      <c r="AH169" s="3">
        <v>0.68</v>
      </c>
      <c r="AI169" s="3" t="s">
        <v>846</v>
      </c>
    </row>
    <row r="170" spans="1:35">
      <c r="B170" s="3" t="s">
        <v>847</v>
      </c>
      <c r="C170" s="3">
        <v>6.5</v>
      </c>
      <c r="D170" s="3">
        <v>1566</v>
      </c>
      <c r="E170" s="3" t="s">
        <v>1890</v>
      </c>
      <c r="F170" s="3">
        <v>27</v>
      </c>
      <c r="G170" s="3" t="s">
        <v>190</v>
      </c>
      <c r="H170" s="3">
        <v>65</v>
      </c>
      <c r="I170" s="3">
        <v>64</v>
      </c>
      <c r="J170" s="3">
        <v>0</v>
      </c>
      <c r="K170" s="3">
        <v>1566</v>
      </c>
      <c r="L170" s="3">
        <v>241</v>
      </c>
      <c r="M170" s="3">
        <v>426</v>
      </c>
      <c r="N170" s="3">
        <v>209</v>
      </c>
      <c r="O170" s="3">
        <v>330</v>
      </c>
      <c r="P170" s="3">
        <v>32</v>
      </c>
      <c r="Q170" s="3">
        <v>96</v>
      </c>
      <c r="R170" s="3">
        <v>87</v>
      </c>
      <c r="S170" s="3">
        <v>114</v>
      </c>
      <c r="T170" s="3">
        <v>140</v>
      </c>
      <c r="U170" s="3">
        <v>286</v>
      </c>
      <c r="V170" s="3">
        <v>426</v>
      </c>
      <c r="W170" s="3">
        <v>111</v>
      </c>
      <c r="X170" s="3">
        <v>37</v>
      </c>
      <c r="Y170" s="3">
        <v>84</v>
      </c>
      <c r="Z170" s="3">
        <v>54</v>
      </c>
      <c r="AA170" s="3">
        <v>219</v>
      </c>
      <c r="AB170" s="3">
        <v>601</v>
      </c>
      <c r="AC170" s="3">
        <v>0.56599999999999995</v>
      </c>
      <c r="AD170" s="3">
        <v>0.63300000000000001</v>
      </c>
      <c r="AE170" s="3">
        <v>0.33300000000000002</v>
      </c>
      <c r="AF170" s="3">
        <v>0.76300000000000001</v>
      </c>
      <c r="AG170" s="3">
        <v>0.63100000000000001</v>
      </c>
      <c r="AH170" s="3">
        <v>0.60299999999999998</v>
      </c>
      <c r="AI170" s="3" t="s">
        <v>570</v>
      </c>
    </row>
    <row r="171" spans="1:35">
      <c r="B171" s="3" t="s">
        <v>848</v>
      </c>
      <c r="C171" s="3">
        <v>6.1</v>
      </c>
      <c r="D171" s="3">
        <v>1453</v>
      </c>
      <c r="E171" s="3" t="s">
        <v>1898</v>
      </c>
      <c r="F171" s="3">
        <v>28</v>
      </c>
      <c r="G171" s="3" t="s">
        <v>163</v>
      </c>
      <c r="H171" s="3">
        <v>60</v>
      </c>
      <c r="I171" s="3">
        <v>14</v>
      </c>
      <c r="J171" s="3">
        <v>0</v>
      </c>
      <c r="K171" s="3">
        <v>1453</v>
      </c>
      <c r="L171" s="3">
        <v>288</v>
      </c>
      <c r="M171" s="3">
        <v>560</v>
      </c>
      <c r="N171" s="3">
        <v>198</v>
      </c>
      <c r="O171" s="3">
        <v>325</v>
      </c>
      <c r="P171" s="3">
        <v>90</v>
      </c>
      <c r="Q171" s="3">
        <v>235</v>
      </c>
      <c r="R171" s="3">
        <v>152</v>
      </c>
      <c r="S171" s="3">
        <v>193</v>
      </c>
      <c r="T171" s="3">
        <v>117</v>
      </c>
      <c r="U171" s="3">
        <v>287</v>
      </c>
      <c r="V171" s="3">
        <v>404</v>
      </c>
      <c r="W171" s="3">
        <v>63</v>
      </c>
      <c r="X171" s="3">
        <v>35</v>
      </c>
      <c r="Y171" s="3">
        <v>111</v>
      </c>
      <c r="Z171" s="3">
        <v>46</v>
      </c>
      <c r="AA171" s="3">
        <v>166</v>
      </c>
      <c r="AB171" s="3">
        <v>818</v>
      </c>
      <c r="AC171" s="3">
        <v>0.51400000000000001</v>
      </c>
      <c r="AD171" s="3">
        <v>0.60899999999999999</v>
      </c>
      <c r="AE171" s="3">
        <v>0.38300000000000001</v>
      </c>
      <c r="AF171" s="3">
        <v>0.78800000000000003</v>
      </c>
      <c r="AG171" s="3">
        <v>0.63400000000000001</v>
      </c>
      <c r="AH171" s="3">
        <v>0.59499999999999997</v>
      </c>
      <c r="AI171" s="3" t="s">
        <v>506</v>
      </c>
    </row>
    <row r="172" spans="1:35" ht="30">
      <c r="B172" s="3" t="s">
        <v>849</v>
      </c>
      <c r="C172" s="3">
        <v>5.6</v>
      </c>
      <c r="D172" s="3">
        <v>2241</v>
      </c>
      <c r="E172" s="3" t="s">
        <v>1898</v>
      </c>
      <c r="F172" s="3">
        <v>27</v>
      </c>
      <c r="G172" s="3" t="s">
        <v>193</v>
      </c>
      <c r="H172" s="3">
        <v>71</v>
      </c>
      <c r="I172" s="3">
        <v>71</v>
      </c>
      <c r="J172" s="3">
        <v>0</v>
      </c>
      <c r="K172" s="3">
        <v>2241</v>
      </c>
      <c r="L172" s="3">
        <v>175</v>
      </c>
      <c r="M172" s="3">
        <v>394</v>
      </c>
      <c r="N172" s="3">
        <v>68</v>
      </c>
      <c r="O172" s="3">
        <v>116</v>
      </c>
      <c r="P172" s="3">
        <v>107</v>
      </c>
      <c r="Q172" s="3">
        <v>278</v>
      </c>
      <c r="R172" s="3">
        <v>39</v>
      </c>
      <c r="S172" s="3">
        <v>46</v>
      </c>
      <c r="T172" s="3">
        <v>88</v>
      </c>
      <c r="U172" s="3">
        <v>397</v>
      </c>
      <c r="V172" s="3">
        <v>485</v>
      </c>
      <c r="W172" s="3">
        <v>181</v>
      </c>
      <c r="X172" s="3">
        <v>57</v>
      </c>
      <c r="Y172" s="3">
        <v>32</v>
      </c>
      <c r="Z172" s="3">
        <v>83</v>
      </c>
      <c r="AA172" s="3">
        <v>182</v>
      </c>
      <c r="AB172" s="3">
        <v>496</v>
      </c>
      <c r="AC172" s="3">
        <v>0.44400000000000001</v>
      </c>
      <c r="AD172" s="3">
        <v>0.58599999999999997</v>
      </c>
      <c r="AE172" s="3">
        <v>0.38500000000000001</v>
      </c>
      <c r="AF172" s="3">
        <v>0.84799999999999998</v>
      </c>
      <c r="AG172" s="3">
        <v>0.59899999999999998</v>
      </c>
      <c r="AH172" s="3">
        <v>0.57999999999999996</v>
      </c>
      <c r="AI172" s="3" t="s">
        <v>506</v>
      </c>
    </row>
    <row r="173" spans="1:35">
      <c r="B173" s="3" t="s">
        <v>850</v>
      </c>
      <c r="C173" s="3">
        <v>4.9000000000000004</v>
      </c>
      <c r="D173" s="3">
        <v>2040</v>
      </c>
      <c r="E173" s="3" t="s">
        <v>1900</v>
      </c>
      <c r="F173" s="3">
        <v>29</v>
      </c>
      <c r="G173" s="3" t="s">
        <v>99</v>
      </c>
      <c r="H173" s="3">
        <v>71</v>
      </c>
      <c r="I173" s="3">
        <v>57</v>
      </c>
      <c r="J173" s="3">
        <v>0</v>
      </c>
      <c r="K173" s="3">
        <v>2040</v>
      </c>
      <c r="L173" s="3">
        <v>253</v>
      </c>
      <c r="M173" s="3">
        <v>541</v>
      </c>
      <c r="N173" s="3">
        <v>117</v>
      </c>
      <c r="O173" s="3">
        <v>208</v>
      </c>
      <c r="P173" s="3">
        <v>136</v>
      </c>
      <c r="Q173" s="3">
        <v>333</v>
      </c>
      <c r="R173" s="3">
        <v>73</v>
      </c>
      <c r="S173" s="3">
        <v>96</v>
      </c>
      <c r="T173" s="3">
        <v>62</v>
      </c>
      <c r="U173" s="3">
        <v>211</v>
      </c>
      <c r="V173" s="3">
        <v>273</v>
      </c>
      <c r="W173" s="3">
        <v>247</v>
      </c>
      <c r="X173" s="3">
        <v>120</v>
      </c>
      <c r="Y173" s="3">
        <v>70</v>
      </c>
      <c r="Z173" s="3">
        <v>102</v>
      </c>
      <c r="AA173" s="3">
        <v>181</v>
      </c>
      <c r="AB173" s="3">
        <v>715</v>
      </c>
      <c r="AC173" s="3">
        <v>0.46800000000000003</v>
      </c>
      <c r="AD173" s="3">
        <v>0.56299999999999994</v>
      </c>
      <c r="AE173" s="3">
        <v>0.40799999999999997</v>
      </c>
      <c r="AF173" s="3">
        <v>0.76</v>
      </c>
      <c r="AG173" s="3">
        <v>0.61299999999999999</v>
      </c>
      <c r="AH173" s="3">
        <v>0.59299999999999997</v>
      </c>
      <c r="AI173" s="3" t="s">
        <v>6</v>
      </c>
    </row>
    <row r="174" spans="1:35">
      <c r="B174" s="3" t="s">
        <v>851</v>
      </c>
      <c r="C174" s="3">
        <v>4.8</v>
      </c>
      <c r="D174" s="3">
        <v>1890</v>
      </c>
      <c r="E174" s="3" t="s">
        <v>1890</v>
      </c>
      <c r="F174" s="3">
        <v>28</v>
      </c>
      <c r="G174" s="3" t="s">
        <v>20</v>
      </c>
      <c r="H174" s="3">
        <v>74</v>
      </c>
      <c r="I174" s="3">
        <v>21</v>
      </c>
      <c r="J174" s="3">
        <v>0</v>
      </c>
      <c r="K174" s="3">
        <v>1890</v>
      </c>
      <c r="L174" s="3">
        <v>237</v>
      </c>
      <c r="M174" s="3">
        <v>514</v>
      </c>
      <c r="N174" s="3">
        <v>118</v>
      </c>
      <c r="O174" s="3">
        <v>195</v>
      </c>
      <c r="P174" s="3">
        <v>119</v>
      </c>
      <c r="Q174" s="3">
        <v>319</v>
      </c>
      <c r="R174" s="3">
        <v>79</v>
      </c>
      <c r="S174" s="3">
        <v>93</v>
      </c>
      <c r="T174" s="3">
        <v>112</v>
      </c>
      <c r="U174" s="3">
        <v>276</v>
      </c>
      <c r="V174" s="3">
        <v>388</v>
      </c>
      <c r="W174" s="3">
        <v>88</v>
      </c>
      <c r="X174" s="3">
        <v>25</v>
      </c>
      <c r="Y174" s="3">
        <v>83</v>
      </c>
      <c r="Z174" s="3">
        <v>58</v>
      </c>
      <c r="AA174" s="3">
        <v>176</v>
      </c>
      <c r="AB174" s="3">
        <v>672</v>
      </c>
      <c r="AC174" s="3">
        <v>0.46100000000000002</v>
      </c>
      <c r="AD174" s="3">
        <v>0.60499999999999998</v>
      </c>
      <c r="AE174" s="3">
        <v>0.373</v>
      </c>
      <c r="AF174" s="3">
        <v>0.84899999999999998</v>
      </c>
      <c r="AG174" s="3">
        <v>0.60499999999999998</v>
      </c>
      <c r="AH174" s="3">
        <v>0.57699999999999996</v>
      </c>
      <c r="AI174" s="3" t="s">
        <v>506</v>
      </c>
    </row>
    <row r="175" spans="1:35">
      <c r="B175" s="3" t="s">
        <v>852</v>
      </c>
      <c r="C175" s="3">
        <v>4</v>
      </c>
      <c r="D175" s="3">
        <v>1948</v>
      </c>
      <c r="E175" s="3" t="s">
        <v>1904</v>
      </c>
      <c r="F175" s="3">
        <v>32</v>
      </c>
      <c r="G175" s="3" t="s">
        <v>323</v>
      </c>
      <c r="H175" s="3">
        <v>79</v>
      </c>
      <c r="I175" s="3">
        <v>60</v>
      </c>
      <c r="J175" s="3">
        <v>0</v>
      </c>
      <c r="K175" s="3">
        <v>1948</v>
      </c>
      <c r="L175" s="3">
        <v>228</v>
      </c>
      <c r="M175" s="3">
        <v>500</v>
      </c>
      <c r="N175" s="3">
        <v>128</v>
      </c>
      <c r="O175" s="3">
        <v>247</v>
      </c>
      <c r="P175" s="3">
        <v>100</v>
      </c>
      <c r="Q175" s="3">
        <v>253</v>
      </c>
      <c r="R175" s="3">
        <v>32</v>
      </c>
      <c r="S175" s="3">
        <v>45</v>
      </c>
      <c r="T175" s="3">
        <v>145</v>
      </c>
      <c r="U175" s="3">
        <v>281</v>
      </c>
      <c r="V175" s="3">
        <v>426</v>
      </c>
      <c r="W175" s="3">
        <v>117</v>
      </c>
      <c r="X175" s="3">
        <v>50</v>
      </c>
      <c r="Y175" s="3">
        <v>62</v>
      </c>
      <c r="Z175" s="3">
        <v>73</v>
      </c>
      <c r="AA175" s="3">
        <v>179</v>
      </c>
      <c r="AB175" s="3">
        <v>588</v>
      </c>
      <c r="AC175" s="3">
        <v>0.45600000000000002</v>
      </c>
      <c r="AD175" s="3">
        <v>0.51800000000000002</v>
      </c>
      <c r="AE175" s="3">
        <v>0.39500000000000002</v>
      </c>
      <c r="AF175" s="3">
        <v>0.71099999999999997</v>
      </c>
      <c r="AG175" s="3">
        <v>0.56599999999999995</v>
      </c>
      <c r="AH175" s="3">
        <v>0.55600000000000005</v>
      </c>
      <c r="AI175" s="3" t="s">
        <v>722</v>
      </c>
    </row>
    <row r="176" spans="1:35">
      <c r="B176" s="3" t="s">
        <v>853</v>
      </c>
      <c r="C176" s="3">
        <v>3.8</v>
      </c>
      <c r="D176" s="3">
        <v>1529</v>
      </c>
      <c r="E176" s="3" t="s">
        <v>1898</v>
      </c>
      <c r="F176" s="3">
        <v>28</v>
      </c>
      <c r="G176" s="3" t="s">
        <v>1905</v>
      </c>
      <c r="H176" s="3">
        <v>67</v>
      </c>
      <c r="I176" s="3">
        <v>22</v>
      </c>
      <c r="J176" s="3">
        <v>0</v>
      </c>
      <c r="K176" s="3">
        <v>1529</v>
      </c>
      <c r="L176" s="3">
        <v>189</v>
      </c>
      <c r="M176" s="3">
        <v>380</v>
      </c>
      <c r="N176" s="3">
        <v>176</v>
      </c>
      <c r="O176" s="3">
        <v>328</v>
      </c>
      <c r="P176" s="3">
        <v>13</v>
      </c>
      <c r="Q176" s="3">
        <v>52</v>
      </c>
      <c r="R176" s="3">
        <v>91</v>
      </c>
      <c r="S176" s="3">
        <v>129</v>
      </c>
      <c r="T176" s="3">
        <v>174</v>
      </c>
      <c r="U176" s="3">
        <v>213</v>
      </c>
      <c r="V176" s="3">
        <v>387</v>
      </c>
      <c r="W176" s="3">
        <v>89</v>
      </c>
      <c r="X176" s="3">
        <v>48</v>
      </c>
      <c r="Y176" s="3">
        <v>50</v>
      </c>
      <c r="Z176" s="3">
        <v>44</v>
      </c>
      <c r="AA176" s="3">
        <v>113</v>
      </c>
      <c r="AB176" s="3">
        <v>482</v>
      </c>
      <c r="AC176" s="3">
        <v>0.497</v>
      </c>
      <c r="AD176" s="3">
        <v>0.53700000000000003</v>
      </c>
      <c r="AE176" s="3">
        <v>0.25</v>
      </c>
      <c r="AF176" s="3">
        <v>0.70499999999999996</v>
      </c>
      <c r="AG176" s="3">
        <v>0.55200000000000005</v>
      </c>
      <c r="AH176" s="3">
        <v>0.51400000000000001</v>
      </c>
      <c r="AI176" s="3" t="s">
        <v>846</v>
      </c>
    </row>
    <row r="177" spans="1:35" ht="30">
      <c r="B177" s="3" t="s">
        <v>854</v>
      </c>
      <c r="C177" s="3">
        <v>3.7</v>
      </c>
      <c r="D177" s="3">
        <v>1961</v>
      </c>
      <c r="E177" s="3" t="s">
        <v>1895</v>
      </c>
      <c r="F177" s="3">
        <v>24</v>
      </c>
      <c r="G177" s="3" t="s">
        <v>99</v>
      </c>
      <c r="H177" s="3">
        <v>81</v>
      </c>
      <c r="I177" s="3">
        <v>32</v>
      </c>
      <c r="J177" s="3">
        <v>0</v>
      </c>
      <c r="K177" s="3">
        <v>1961</v>
      </c>
      <c r="L177" s="3">
        <v>187</v>
      </c>
      <c r="M177" s="3">
        <v>418</v>
      </c>
      <c r="N177" s="3">
        <v>106</v>
      </c>
      <c r="O177" s="3">
        <v>201</v>
      </c>
      <c r="P177" s="3">
        <v>81</v>
      </c>
      <c r="Q177" s="3">
        <v>217</v>
      </c>
      <c r="R177" s="3">
        <v>89</v>
      </c>
      <c r="S177" s="3">
        <v>102</v>
      </c>
      <c r="T177" s="3">
        <v>27</v>
      </c>
      <c r="U177" s="3">
        <v>192</v>
      </c>
      <c r="V177" s="3">
        <v>219</v>
      </c>
      <c r="W177" s="3">
        <v>269</v>
      </c>
      <c r="X177" s="3">
        <v>65</v>
      </c>
      <c r="Y177" s="3">
        <v>4</v>
      </c>
      <c r="Z177" s="3">
        <v>63</v>
      </c>
      <c r="AA177" s="3">
        <v>171</v>
      </c>
      <c r="AB177" s="3">
        <v>544</v>
      </c>
      <c r="AC177" s="3">
        <v>0.44700000000000001</v>
      </c>
      <c r="AD177" s="3">
        <v>0.52700000000000002</v>
      </c>
      <c r="AE177" s="3">
        <v>0.373</v>
      </c>
      <c r="AF177" s="3">
        <v>0.873</v>
      </c>
      <c r="AG177" s="3">
        <v>0.58799999999999997</v>
      </c>
      <c r="AH177" s="3">
        <v>0.54400000000000004</v>
      </c>
      <c r="AI177" s="3" t="s">
        <v>6</v>
      </c>
    </row>
    <row r="178" spans="1:35">
      <c r="B178" s="3" t="s">
        <v>855</v>
      </c>
      <c r="C178" s="3">
        <v>2.7</v>
      </c>
      <c r="D178" s="3">
        <v>1079</v>
      </c>
      <c r="E178" s="3" t="s">
        <v>1898</v>
      </c>
      <c r="F178" s="3">
        <v>28</v>
      </c>
      <c r="G178" s="3" t="s">
        <v>25</v>
      </c>
      <c r="H178" s="3">
        <v>57</v>
      </c>
      <c r="I178" s="3">
        <v>1</v>
      </c>
      <c r="J178" s="3">
        <v>0</v>
      </c>
      <c r="K178" s="3">
        <v>1079</v>
      </c>
      <c r="L178" s="3">
        <v>128</v>
      </c>
      <c r="M178" s="3">
        <v>274</v>
      </c>
      <c r="N178" s="3">
        <v>51</v>
      </c>
      <c r="O178" s="3">
        <v>80</v>
      </c>
      <c r="P178" s="3">
        <v>77</v>
      </c>
      <c r="Q178" s="3">
        <v>194</v>
      </c>
      <c r="R178" s="3">
        <v>40</v>
      </c>
      <c r="S178" s="3">
        <v>44</v>
      </c>
      <c r="T178" s="3">
        <v>22</v>
      </c>
      <c r="U178" s="3">
        <v>158</v>
      </c>
      <c r="V178" s="3">
        <v>180</v>
      </c>
      <c r="W178" s="3">
        <v>73</v>
      </c>
      <c r="X178" s="3">
        <v>38</v>
      </c>
      <c r="Y178" s="3">
        <v>8</v>
      </c>
      <c r="Z178" s="3">
        <v>30</v>
      </c>
      <c r="AA178" s="3">
        <v>89</v>
      </c>
      <c r="AB178" s="3">
        <v>373</v>
      </c>
      <c r="AC178" s="3">
        <v>0.46700000000000003</v>
      </c>
      <c r="AD178" s="3">
        <v>0.63800000000000001</v>
      </c>
      <c r="AE178" s="3">
        <v>0.39700000000000002</v>
      </c>
      <c r="AF178" s="3">
        <v>0.90900000000000003</v>
      </c>
      <c r="AG178" s="3">
        <v>0.63600000000000001</v>
      </c>
      <c r="AH178" s="3">
        <v>0.60799999999999998</v>
      </c>
      <c r="AI178" s="3" t="s">
        <v>6</v>
      </c>
    </row>
    <row r="179" spans="1:35" ht="30">
      <c r="B179" s="3" t="s">
        <v>856</v>
      </c>
      <c r="C179" s="3">
        <v>2.1</v>
      </c>
      <c r="D179" s="3">
        <v>1003</v>
      </c>
      <c r="E179" s="3" t="s">
        <v>1895</v>
      </c>
      <c r="F179" s="3">
        <v>26</v>
      </c>
      <c r="G179" s="3" t="s">
        <v>25</v>
      </c>
      <c r="H179" s="3">
        <v>72</v>
      </c>
      <c r="I179" s="3">
        <v>5</v>
      </c>
      <c r="J179" s="3">
        <v>0</v>
      </c>
      <c r="K179" s="3">
        <v>1003</v>
      </c>
      <c r="L179" s="3">
        <v>134</v>
      </c>
      <c r="M179" s="3">
        <v>275</v>
      </c>
      <c r="N179" s="3">
        <v>92</v>
      </c>
      <c r="O179" s="3">
        <v>157</v>
      </c>
      <c r="P179" s="3">
        <v>42</v>
      </c>
      <c r="Q179" s="3">
        <v>118</v>
      </c>
      <c r="R179" s="3">
        <v>27</v>
      </c>
      <c r="S179" s="3">
        <v>48</v>
      </c>
      <c r="T179" s="3">
        <v>81</v>
      </c>
      <c r="U179" s="3">
        <v>166</v>
      </c>
      <c r="V179" s="3">
        <v>247</v>
      </c>
      <c r="W179" s="3">
        <v>31</v>
      </c>
      <c r="X179" s="3">
        <v>18</v>
      </c>
      <c r="Y179" s="3">
        <v>15</v>
      </c>
      <c r="Z179" s="3">
        <v>30</v>
      </c>
      <c r="AA179" s="3">
        <v>134</v>
      </c>
      <c r="AB179" s="3">
        <v>337</v>
      </c>
      <c r="AC179" s="3">
        <v>0.48699999999999999</v>
      </c>
      <c r="AD179" s="3">
        <v>0.58599999999999997</v>
      </c>
      <c r="AE179" s="3">
        <v>0.35599999999999998</v>
      </c>
      <c r="AF179" s="3">
        <v>0.56299999999999994</v>
      </c>
      <c r="AG179" s="3">
        <v>0.56899999999999995</v>
      </c>
      <c r="AH179" s="3">
        <v>0.56399999999999995</v>
      </c>
      <c r="AI179" s="3" t="s">
        <v>506</v>
      </c>
    </row>
    <row r="180" spans="1:35" ht="30">
      <c r="B180" s="3" t="s">
        <v>857</v>
      </c>
      <c r="C180" s="3">
        <v>1.4</v>
      </c>
      <c r="D180" s="3">
        <v>1430</v>
      </c>
      <c r="E180" s="3" t="s">
        <v>1895</v>
      </c>
      <c r="F180" s="3">
        <v>25</v>
      </c>
      <c r="G180" s="3" t="s">
        <v>99</v>
      </c>
      <c r="H180" s="3">
        <v>73</v>
      </c>
      <c r="I180" s="3">
        <v>11</v>
      </c>
      <c r="J180" s="3">
        <v>0</v>
      </c>
      <c r="K180" s="3">
        <v>1430</v>
      </c>
      <c r="L180" s="3">
        <v>184</v>
      </c>
      <c r="M180" s="3">
        <v>426</v>
      </c>
      <c r="N180" s="3">
        <v>160</v>
      </c>
      <c r="O180" s="3">
        <v>337</v>
      </c>
      <c r="P180" s="3">
        <v>24</v>
      </c>
      <c r="Q180" s="3">
        <v>89</v>
      </c>
      <c r="R180" s="3">
        <v>82</v>
      </c>
      <c r="S180" s="3">
        <v>123</v>
      </c>
      <c r="T180" s="3">
        <v>33</v>
      </c>
      <c r="U180" s="3">
        <v>189</v>
      </c>
      <c r="V180" s="3">
        <v>222</v>
      </c>
      <c r="W180" s="3">
        <v>139</v>
      </c>
      <c r="X180" s="3">
        <v>89</v>
      </c>
      <c r="Y180" s="3">
        <v>30</v>
      </c>
      <c r="Z180" s="3">
        <v>60</v>
      </c>
      <c r="AA180" s="3">
        <v>124</v>
      </c>
      <c r="AB180" s="3">
        <v>474</v>
      </c>
      <c r="AC180" s="3">
        <v>0.432</v>
      </c>
      <c r="AD180" s="3">
        <v>0.47499999999999998</v>
      </c>
      <c r="AE180" s="3">
        <v>0.27</v>
      </c>
      <c r="AF180" s="3">
        <v>0.66700000000000004</v>
      </c>
      <c r="AG180" s="3">
        <v>0.49399999999999999</v>
      </c>
      <c r="AH180" s="3">
        <v>0.46</v>
      </c>
      <c r="AI180" s="3" t="s">
        <v>6</v>
      </c>
    </row>
    <row r="181" spans="1:35">
      <c r="B181" s="3" t="s">
        <v>858</v>
      </c>
      <c r="C181" s="3">
        <v>1.4</v>
      </c>
      <c r="D181" s="3">
        <v>1134</v>
      </c>
      <c r="E181" s="3" t="s">
        <v>1875</v>
      </c>
      <c r="F181" s="3">
        <v>30</v>
      </c>
      <c r="G181" s="3" t="s">
        <v>28</v>
      </c>
      <c r="H181" s="3">
        <v>45</v>
      </c>
      <c r="I181" s="3">
        <v>36</v>
      </c>
      <c r="J181" s="3">
        <v>0</v>
      </c>
      <c r="K181" s="3">
        <v>1134</v>
      </c>
      <c r="L181" s="3">
        <v>151</v>
      </c>
      <c r="M181" s="3">
        <v>360</v>
      </c>
      <c r="N181" s="3">
        <v>63</v>
      </c>
      <c r="O181" s="3">
        <v>128</v>
      </c>
      <c r="P181" s="3">
        <v>88</v>
      </c>
      <c r="Q181" s="3">
        <v>232</v>
      </c>
      <c r="R181" s="3">
        <v>39</v>
      </c>
      <c r="S181" s="3">
        <v>46</v>
      </c>
      <c r="T181" s="3">
        <v>16</v>
      </c>
      <c r="U181" s="3">
        <v>110</v>
      </c>
      <c r="V181" s="3">
        <v>126</v>
      </c>
      <c r="W181" s="3">
        <v>209</v>
      </c>
      <c r="X181" s="3">
        <v>23</v>
      </c>
      <c r="Y181" s="3">
        <v>5</v>
      </c>
      <c r="Z181" s="3">
        <v>97</v>
      </c>
      <c r="AA181" s="3">
        <v>103</v>
      </c>
      <c r="AB181" s="3">
        <v>429</v>
      </c>
      <c r="AC181" s="3">
        <v>0.41899999999999998</v>
      </c>
      <c r="AD181" s="3">
        <v>0.49199999999999999</v>
      </c>
      <c r="AE181" s="3">
        <v>0.379</v>
      </c>
      <c r="AF181" s="3">
        <v>0.84799999999999998</v>
      </c>
      <c r="AG181" s="3">
        <v>0.56399999999999995</v>
      </c>
      <c r="AH181" s="3">
        <v>0.54200000000000004</v>
      </c>
      <c r="AI181" s="3" t="s">
        <v>6</v>
      </c>
    </row>
    <row r="182" spans="1:35">
      <c r="B182" s="3" t="s">
        <v>859</v>
      </c>
      <c r="C182" s="3">
        <v>1.1000000000000001</v>
      </c>
      <c r="D182" s="3">
        <v>1088</v>
      </c>
      <c r="E182" s="3" t="s">
        <v>1898</v>
      </c>
      <c r="F182" s="3">
        <v>24</v>
      </c>
      <c r="G182" s="3" t="s">
        <v>23</v>
      </c>
      <c r="H182" s="3">
        <v>50</v>
      </c>
      <c r="I182" s="3">
        <v>6</v>
      </c>
      <c r="J182" s="3">
        <v>0</v>
      </c>
      <c r="K182" s="3">
        <v>1088</v>
      </c>
      <c r="L182" s="3">
        <v>148</v>
      </c>
      <c r="M182" s="3">
        <v>355</v>
      </c>
      <c r="N182" s="3">
        <v>101</v>
      </c>
      <c r="O182" s="3">
        <v>206</v>
      </c>
      <c r="P182" s="3">
        <v>47</v>
      </c>
      <c r="Q182" s="3">
        <v>149</v>
      </c>
      <c r="R182" s="3">
        <v>42</v>
      </c>
      <c r="S182" s="3">
        <v>66</v>
      </c>
      <c r="T182" s="3">
        <v>35</v>
      </c>
      <c r="U182" s="3">
        <v>147</v>
      </c>
      <c r="V182" s="3">
        <v>182</v>
      </c>
      <c r="W182" s="3">
        <v>92</v>
      </c>
      <c r="X182" s="3">
        <v>31</v>
      </c>
      <c r="Y182" s="3">
        <v>22</v>
      </c>
      <c r="Z182" s="3">
        <v>46</v>
      </c>
      <c r="AA182" s="3">
        <v>86</v>
      </c>
      <c r="AB182" s="3">
        <v>385</v>
      </c>
      <c r="AC182" s="3">
        <v>0.41699999999999998</v>
      </c>
      <c r="AD182" s="3">
        <v>0.49</v>
      </c>
      <c r="AE182" s="3">
        <v>0.315</v>
      </c>
      <c r="AF182" s="3">
        <v>0.63600000000000001</v>
      </c>
      <c r="AG182" s="3">
        <v>0.501</v>
      </c>
      <c r="AH182" s="3">
        <v>0.48299999999999998</v>
      </c>
      <c r="AI182" s="3" t="s">
        <v>6</v>
      </c>
    </row>
    <row r="183" spans="1:35" ht="30">
      <c r="B183" s="3" t="s">
        <v>860</v>
      </c>
      <c r="C183" s="3">
        <v>-0.5</v>
      </c>
      <c r="D183" s="3">
        <v>829</v>
      </c>
      <c r="E183" s="3" t="s">
        <v>1895</v>
      </c>
      <c r="F183" s="3">
        <v>22</v>
      </c>
      <c r="G183" s="3" t="s">
        <v>99</v>
      </c>
      <c r="H183" s="3">
        <v>57</v>
      </c>
      <c r="I183" s="3">
        <v>3</v>
      </c>
      <c r="J183" s="3">
        <v>0</v>
      </c>
      <c r="K183" s="3">
        <v>829</v>
      </c>
      <c r="L183" s="3">
        <v>166</v>
      </c>
      <c r="M183" s="3">
        <v>396</v>
      </c>
      <c r="N183" s="3">
        <v>130</v>
      </c>
      <c r="O183" s="3">
        <v>305</v>
      </c>
      <c r="P183" s="3">
        <v>36</v>
      </c>
      <c r="Q183" s="3">
        <v>91</v>
      </c>
      <c r="R183" s="3">
        <v>50</v>
      </c>
      <c r="S183" s="3">
        <v>76</v>
      </c>
      <c r="T183" s="3">
        <v>7</v>
      </c>
      <c r="U183" s="3">
        <v>99</v>
      </c>
      <c r="V183" s="3">
        <v>106</v>
      </c>
      <c r="W183" s="3">
        <v>42</v>
      </c>
      <c r="X183" s="3">
        <v>12</v>
      </c>
      <c r="Y183" s="3">
        <v>9</v>
      </c>
      <c r="Z183" s="3">
        <v>35</v>
      </c>
      <c r="AA183" s="3">
        <v>41</v>
      </c>
      <c r="AB183" s="3">
        <v>418</v>
      </c>
      <c r="AC183" s="3">
        <v>0.41899999999999998</v>
      </c>
      <c r="AD183" s="3">
        <v>0.42599999999999999</v>
      </c>
      <c r="AE183" s="3">
        <v>0.39600000000000002</v>
      </c>
      <c r="AF183" s="3">
        <v>0.65800000000000003</v>
      </c>
      <c r="AG183" s="3">
        <v>0.48699999999999999</v>
      </c>
      <c r="AH183" s="3">
        <v>0.46500000000000002</v>
      </c>
      <c r="AI183" s="3" t="s">
        <v>6</v>
      </c>
    </row>
    <row r="185" spans="1:35" ht="30">
      <c r="A185" s="1" t="s">
        <v>1906</v>
      </c>
    </row>
    <row r="186" spans="1:35">
      <c r="B186" s="1" t="s">
        <v>3</v>
      </c>
      <c r="C186" s="1" t="s">
        <v>14</v>
      </c>
      <c r="D186" s="1" t="s">
        <v>7</v>
      </c>
      <c r="E186" s="1" t="s">
        <v>1824</v>
      </c>
      <c r="F186" s="1" t="s">
        <v>1825</v>
      </c>
      <c r="G186" s="1" t="s">
        <v>499</v>
      </c>
      <c r="H186" s="1" t="s">
        <v>6</v>
      </c>
      <c r="I186" s="1" t="s">
        <v>1826</v>
      </c>
      <c r="J186" s="1" t="s">
        <v>1827</v>
      </c>
      <c r="K186" s="1" t="s">
        <v>7</v>
      </c>
      <c r="L186" s="1" t="s">
        <v>1828</v>
      </c>
      <c r="M186" s="1" t="s">
        <v>1829</v>
      </c>
      <c r="N186" s="1" t="s">
        <v>1830</v>
      </c>
      <c r="O186" s="1" t="s">
        <v>1831</v>
      </c>
      <c r="P186" s="1" t="s">
        <v>1832</v>
      </c>
      <c r="Q186" s="1" t="s">
        <v>1833</v>
      </c>
      <c r="R186" s="1" t="s">
        <v>1834</v>
      </c>
      <c r="S186" s="1" t="s">
        <v>1835</v>
      </c>
      <c r="T186" s="1" t="s">
        <v>1836</v>
      </c>
      <c r="U186" s="1" t="s">
        <v>1837</v>
      </c>
      <c r="V186" s="1" t="s">
        <v>9</v>
      </c>
      <c r="W186" s="1" t="s">
        <v>10</v>
      </c>
      <c r="X186" s="1" t="s">
        <v>1838</v>
      </c>
      <c r="Y186" s="1" t="s">
        <v>1839</v>
      </c>
      <c r="Z186" s="1" t="s">
        <v>1840</v>
      </c>
      <c r="AA186" s="1" t="s">
        <v>1841</v>
      </c>
      <c r="AB186" s="1" t="s">
        <v>8</v>
      </c>
      <c r="AC186" s="1" t="s">
        <v>11</v>
      </c>
      <c r="AD186" s="1" t="s">
        <v>1842</v>
      </c>
      <c r="AE186" s="1" t="s">
        <v>12</v>
      </c>
      <c r="AF186" s="1" t="s">
        <v>13</v>
      </c>
      <c r="AG186" s="1" t="s">
        <v>1843</v>
      </c>
      <c r="AH186" s="1" t="s">
        <v>1844</v>
      </c>
      <c r="AI186" s="1" t="s">
        <v>500</v>
      </c>
    </row>
    <row r="187" spans="1:35" ht="30">
      <c r="B187" s="3" t="s">
        <v>782</v>
      </c>
      <c r="C187" s="3">
        <v>5.3</v>
      </c>
      <c r="D187" s="3">
        <v>2166</v>
      </c>
      <c r="E187" s="3" t="s">
        <v>1890</v>
      </c>
      <c r="F187" s="3">
        <v>25</v>
      </c>
      <c r="G187" s="3" t="s">
        <v>72</v>
      </c>
      <c r="H187" s="3">
        <v>73</v>
      </c>
      <c r="I187" s="3">
        <v>68</v>
      </c>
      <c r="J187" s="3">
        <v>0</v>
      </c>
      <c r="K187" s="3">
        <v>2166</v>
      </c>
      <c r="L187" s="3">
        <v>323</v>
      </c>
      <c r="M187" s="3">
        <v>687</v>
      </c>
      <c r="N187" s="3">
        <v>53</v>
      </c>
      <c r="O187" s="3">
        <v>81</v>
      </c>
      <c r="P187" s="3">
        <v>270</v>
      </c>
      <c r="Q187" s="3">
        <v>606</v>
      </c>
      <c r="R187" s="3">
        <v>67</v>
      </c>
      <c r="S187" s="3">
        <v>72</v>
      </c>
      <c r="T187" s="3">
        <v>10</v>
      </c>
      <c r="U187" s="3">
        <v>222</v>
      </c>
      <c r="V187" s="3">
        <v>232</v>
      </c>
      <c r="W187" s="3">
        <v>102</v>
      </c>
      <c r="X187" s="3">
        <v>35</v>
      </c>
      <c r="Y187" s="3">
        <v>19</v>
      </c>
      <c r="Z187" s="3">
        <v>70</v>
      </c>
      <c r="AA187" s="3">
        <v>193</v>
      </c>
      <c r="AB187" s="3">
        <v>983</v>
      </c>
      <c r="AC187" s="3">
        <v>0.47</v>
      </c>
      <c r="AD187" s="3">
        <v>0.65400000000000003</v>
      </c>
      <c r="AE187" s="3">
        <v>0.44600000000000001</v>
      </c>
      <c r="AF187" s="3">
        <v>0.93100000000000005</v>
      </c>
      <c r="AG187" s="3">
        <v>0.68400000000000005</v>
      </c>
      <c r="AH187" s="3">
        <v>0.66700000000000004</v>
      </c>
      <c r="AI187" s="3" t="s">
        <v>722</v>
      </c>
    </row>
    <row r="188" spans="1:35">
      <c r="B188" s="3" t="s">
        <v>783</v>
      </c>
      <c r="C188" s="3">
        <v>4.4000000000000004</v>
      </c>
      <c r="D188" s="3">
        <v>1584</v>
      </c>
      <c r="E188" s="3" t="s">
        <v>1904</v>
      </c>
      <c r="F188" s="3">
        <v>25</v>
      </c>
      <c r="G188" s="3" t="s">
        <v>124</v>
      </c>
      <c r="H188" s="3">
        <v>78</v>
      </c>
      <c r="I188" s="3">
        <v>28</v>
      </c>
      <c r="J188" s="3">
        <v>0</v>
      </c>
      <c r="K188" s="3">
        <v>1584</v>
      </c>
      <c r="L188" s="3">
        <v>214</v>
      </c>
      <c r="M188" s="3">
        <v>334</v>
      </c>
      <c r="N188" s="3">
        <v>207</v>
      </c>
      <c r="O188" s="3">
        <v>316</v>
      </c>
      <c r="P188" s="3">
        <v>7</v>
      </c>
      <c r="Q188" s="3">
        <v>18</v>
      </c>
      <c r="R188" s="3">
        <v>83</v>
      </c>
      <c r="S188" s="3">
        <v>125</v>
      </c>
      <c r="T188" s="3">
        <v>132</v>
      </c>
      <c r="U188" s="3">
        <v>286</v>
      </c>
      <c r="V188" s="3">
        <v>418</v>
      </c>
      <c r="W188" s="3">
        <v>103</v>
      </c>
      <c r="X188" s="3">
        <v>40</v>
      </c>
      <c r="Y188" s="3">
        <v>102</v>
      </c>
      <c r="Z188" s="3">
        <v>67</v>
      </c>
      <c r="AA188" s="3">
        <v>169</v>
      </c>
      <c r="AB188" s="3">
        <v>518</v>
      </c>
      <c r="AC188" s="3">
        <v>0.64100000000000001</v>
      </c>
      <c r="AD188" s="3">
        <v>0.65500000000000003</v>
      </c>
      <c r="AE188" s="3">
        <v>0.38900000000000001</v>
      </c>
      <c r="AF188" s="3">
        <v>0.66400000000000003</v>
      </c>
      <c r="AG188" s="3">
        <v>0.66600000000000004</v>
      </c>
      <c r="AH188" s="3">
        <v>0.65100000000000002</v>
      </c>
      <c r="AI188" s="3" t="s">
        <v>506</v>
      </c>
    </row>
    <row r="189" spans="1:35" ht="30">
      <c r="B189" s="3" t="s">
        <v>784</v>
      </c>
      <c r="C189" s="3">
        <v>3.5</v>
      </c>
      <c r="D189" s="3">
        <v>1369</v>
      </c>
      <c r="E189" s="3" t="s">
        <v>1890</v>
      </c>
      <c r="F189" s="3">
        <v>30</v>
      </c>
      <c r="G189" s="3" t="s">
        <v>190</v>
      </c>
      <c r="H189" s="3">
        <v>71</v>
      </c>
      <c r="I189" s="3">
        <v>1</v>
      </c>
      <c r="J189" s="3">
        <v>0</v>
      </c>
      <c r="K189" s="3">
        <v>1369</v>
      </c>
      <c r="L189" s="3">
        <v>162</v>
      </c>
      <c r="M189" s="3">
        <v>362</v>
      </c>
      <c r="N189" s="3">
        <v>125</v>
      </c>
      <c r="O189" s="3">
        <v>260</v>
      </c>
      <c r="P189" s="3">
        <v>37</v>
      </c>
      <c r="Q189" s="3">
        <v>102</v>
      </c>
      <c r="R189" s="3">
        <v>126</v>
      </c>
      <c r="S189" s="3">
        <v>136</v>
      </c>
      <c r="T189" s="3">
        <v>22</v>
      </c>
      <c r="U189" s="3">
        <v>122</v>
      </c>
      <c r="V189" s="3">
        <v>144</v>
      </c>
      <c r="W189" s="3">
        <v>179</v>
      </c>
      <c r="X189" s="3">
        <v>61</v>
      </c>
      <c r="Y189" s="3">
        <v>14</v>
      </c>
      <c r="Z189" s="3">
        <v>76</v>
      </c>
      <c r="AA189" s="3">
        <v>133</v>
      </c>
      <c r="AB189" s="3">
        <v>487</v>
      </c>
      <c r="AC189" s="3">
        <v>0.44800000000000001</v>
      </c>
      <c r="AD189" s="3">
        <v>0.48099999999999998</v>
      </c>
      <c r="AE189" s="3">
        <v>0.36299999999999999</v>
      </c>
      <c r="AF189" s="3">
        <v>0.92600000000000005</v>
      </c>
      <c r="AG189" s="3">
        <v>0.57699999999999996</v>
      </c>
      <c r="AH189" s="3">
        <v>0.499</v>
      </c>
      <c r="AI189" s="3" t="s">
        <v>6</v>
      </c>
    </row>
    <row r="190" spans="1:35" ht="30">
      <c r="B190" s="3" t="s">
        <v>785</v>
      </c>
      <c r="C190" s="3">
        <v>3.3</v>
      </c>
      <c r="D190" s="3">
        <v>1206</v>
      </c>
      <c r="E190" s="3" t="s">
        <v>1904</v>
      </c>
      <c r="F190" s="3">
        <v>28</v>
      </c>
      <c r="G190" s="3" t="s">
        <v>82</v>
      </c>
      <c r="H190" s="3">
        <v>53</v>
      </c>
      <c r="I190" s="3">
        <v>10</v>
      </c>
      <c r="J190" s="3">
        <v>0</v>
      </c>
      <c r="K190" s="3">
        <v>1206</v>
      </c>
      <c r="L190" s="3">
        <v>179</v>
      </c>
      <c r="M190" s="3">
        <v>346</v>
      </c>
      <c r="N190" s="3">
        <v>129</v>
      </c>
      <c r="O190" s="3">
        <v>212</v>
      </c>
      <c r="P190" s="3">
        <v>50</v>
      </c>
      <c r="Q190" s="3">
        <v>134</v>
      </c>
      <c r="R190" s="3">
        <v>17</v>
      </c>
      <c r="S190" s="3">
        <v>39</v>
      </c>
      <c r="T190" s="3">
        <v>97</v>
      </c>
      <c r="U190" s="3">
        <v>164</v>
      </c>
      <c r="V190" s="3">
        <v>261</v>
      </c>
      <c r="W190" s="3">
        <v>105</v>
      </c>
      <c r="X190" s="3">
        <v>45</v>
      </c>
      <c r="Y190" s="3">
        <v>14</v>
      </c>
      <c r="Z190" s="3">
        <v>32</v>
      </c>
      <c r="AA190" s="3">
        <v>112</v>
      </c>
      <c r="AB190" s="3">
        <v>425</v>
      </c>
      <c r="AC190" s="3">
        <v>0.51700000000000002</v>
      </c>
      <c r="AD190" s="3">
        <v>0.60799999999999998</v>
      </c>
      <c r="AE190" s="3">
        <v>0.373</v>
      </c>
      <c r="AF190" s="3">
        <v>0.436</v>
      </c>
      <c r="AG190" s="3">
        <v>0.58499999999999996</v>
      </c>
      <c r="AH190" s="3">
        <v>0.59</v>
      </c>
      <c r="AI190" s="3" t="s">
        <v>722</v>
      </c>
    </row>
    <row r="191" spans="1:35" ht="30">
      <c r="B191" s="3" t="s">
        <v>786</v>
      </c>
      <c r="C191" s="3">
        <v>3.1</v>
      </c>
      <c r="D191" s="3">
        <v>1722</v>
      </c>
      <c r="E191" s="3" t="s">
        <v>228</v>
      </c>
      <c r="F191" s="3">
        <v>28</v>
      </c>
      <c r="G191" s="3" t="s">
        <v>72</v>
      </c>
      <c r="H191" s="3">
        <v>70</v>
      </c>
      <c r="I191" s="3">
        <v>40</v>
      </c>
      <c r="J191" s="3">
        <v>0</v>
      </c>
      <c r="K191" s="3">
        <v>1722</v>
      </c>
      <c r="L191" s="3">
        <v>165</v>
      </c>
      <c r="M191" s="3">
        <v>358</v>
      </c>
      <c r="N191" s="3">
        <v>84</v>
      </c>
      <c r="O191" s="3">
        <v>147</v>
      </c>
      <c r="P191" s="3">
        <v>81</v>
      </c>
      <c r="Q191" s="3">
        <v>211</v>
      </c>
      <c r="R191" s="3">
        <v>31</v>
      </c>
      <c r="S191" s="3">
        <v>43</v>
      </c>
      <c r="T191" s="3">
        <v>64</v>
      </c>
      <c r="U191" s="3">
        <v>169</v>
      </c>
      <c r="V191" s="3">
        <v>233</v>
      </c>
      <c r="W191" s="3">
        <v>104</v>
      </c>
      <c r="X191" s="3">
        <v>68</v>
      </c>
      <c r="Y191" s="3">
        <v>37</v>
      </c>
      <c r="Z191" s="3">
        <v>52</v>
      </c>
      <c r="AA191" s="3">
        <v>158</v>
      </c>
      <c r="AB191" s="3">
        <v>442</v>
      </c>
      <c r="AC191" s="3">
        <v>0.46100000000000002</v>
      </c>
      <c r="AD191" s="3">
        <v>0.57099999999999995</v>
      </c>
      <c r="AE191" s="3">
        <v>0.38400000000000001</v>
      </c>
      <c r="AF191" s="3">
        <v>0.72099999999999997</v>
      </c>
      <c r="AG191" s="3">
        <v>0.58599999999999997</v>
      </c>
      <c r="AH191" s="3">
        <v>0.57399999999999995</v>
      </c>
      <c r="AI191" s="3" t="s">
        <v>506</v>
      </c>
    </row>
    <row r="192" spans="1:35" ht="30">
      <c r="B192" s="3" t="s">
        <v>787</v>
      </c>
      <c r="C192" s="3">
        <v>2.1</v>
      </c>
      <c r="D192" s="3">
        <v>928</v>
      </c>
      <c r="E192" s="3" t="s">
        <v>1904</v>
      </c>
      <c r="F192" s="3">
        <v>28</v>
      </c>
      <c r="G192" s="3" t="s">
        <v>47</v>
      </c>
      <c r="H192" s="3">
        <v>58</v>
      </c>
      <c r="I192" s="3">
        <v>1</v>
      </c>
      <c r="J192" s="3">
        <v>0</v>
      </c>
      <c r="K192" s="3">
        <v>928</v>
      </c>
      <c r="L192" s="3">
        <v>114</v>
      </c>
      <c r="M192" s="3">
        <v>232</v>
      </c>
      <c r="N192" s="3">
        <v>54</v>
      </c>
      <c r="O192" s="3">
        <v>97</v>
      </c>
      <c r="P192" s="3">
        <v>60</v>
      </c>
      <c r="Q192" s="3">
        <v>135</v>
      </c>
      <c r="R192" s="3">
        <v>34</v>
      </c>
      <c r="S192" s="3">
        <v>47</v>
      </c>
      <c r="T192" s="3">
        <v>30</v>
      </c>
      <c r="U192" s="3">
        <v>111</v>
      </c>
      <c r="V192" s="3">
        <v>141</v>
      </c>
      <c r="W192" s="3">
        <v>48</v>
      </c>
      <c r="X192" s="3">
        <v>25</v>
      </c>
      <c r="Y192" s="3">
        <v>17</v>
      </c>
      <c r="Z192" s="3">
        <v>22</v>
      </c>
      <c r="AA192" s="3">
        <v>80</v>
      </c>
      <c r="AB192" s="3">
        <v>322</v>
      </c>
      <c r="AC192" s="3">
        <v>0.49099999999999999</v>
      </c>
      <c r="AD192" s="3">
        <v>0.55700000000000005</v>
      </c>
      <c r="AE192" s="3">
        <v>0.44400000000000001</v>
      </c>
      <c r="AF192" s="3">
        <v>0.72299999999999998</v>
      </c>
      <c r="AG192" s="3">
        <v>0.63700000000000001</v>
      </c>
      <c r="AH192" s="3">
        <v>0.621</v>
      </c>
      <c r="AI192" s="3" t="s">
        <v>506</v>
      </c>
    </row>
    <row r="193" spans="1:35">
      <c r="B193" s="3" t="s">
        <v>788</v>
      </c>
      <c r="C193" s="3">
        <v>0.9</v>
      </c>
      <c r="D193" s="3">
        <v>1459</v>
      </c>
      <c r="E193" s="3" t="s">
        <v>1895</v>
      </c>
      <c r="F193" s="3">
        <v>23</v>
      </c>
      <c r="G193" s="3" t="s">
        <v>50</v>
      </c>
      <c r="H193" s="3">
        <v>64</v>
      </c>
      <c r="I193" s="3">
        <v>3</v>
      </c>
      <c r="J193" s="3">
        <v>0</v>
      </c>
      <c r="K193" s="3">
        <v>1459</v>
      </c>
      <c r="L193" s="3">
        <v>232</v>
      </c>
      <c r="M193" s="3">
        <v>518</v>
      </c>
      <c r="N193" s="3">
        <v>180</v>
      </c>
      <c r="O193" s="3">
        <v>386</v>
      </c>
      <c r="P193" s="3">
        <v>52</v>
      </c>
      <c r="Q193" s="3">
        <v>132</v>
      </c>
      <c r="R193" s="3">
        <v>179</v>
      </c>
      <c r="S193" s="3">
        <v>223</v>
      </c>
      <c r="T193" s="3">
        <v>31</v>
      </c>
      <c r="U193" s="3">
        <v>166</v>
      </c>
      <c r="V193" s="3">
        <v>197</v>
      </c>
      <c r="W193" s="3">
        <v>119</v>
      </c>
      <c r="X193" s="3">
        <v>28</v>
      </c>
      <c r="Y193" s="3">
        <v>14</v>
      </c>
      <c r="Z193" s="3">
        <v>116</v>
      </c>
      <c r="AA193" s="3">
        <v>117</v>
      </c>
      <c r="AB193" s="3">
        <v>695</v>
      </c>
      <c r="AC193" s="3">
        <v>0.44800000000000001</v>
      </c>
      <c r="AD193" s="3">
        <v>0.46600000000000003</v>
      </c>
      <c r="AE193" s="3">
        <v>0.39400000000000002</v>
      </c>
      <c r="AF193" s="3">
        <v>0.80300000000000005</v>
      </c>
      <c r="AG193" s="3">
        <v>0.56399999999999995</v>
      </c>
      <c r="AH193" s="3">
        <v>0.498</v>
      </c>
      <c r="AI193" s="3" t="s">
        <v>6</v>
      </c>
    </row>
    <row r="195" spans="1:35" ht="30">
      <c r="A195" s="1" t="s">
        <v>1907</v>
      </c>
    </row>
    <row r="196" spans="1:35">
      <c r="B196" s="1" t="s">
        <v>3</v>
      </c>
      <c r="C196" s="1" t="s">
        <v>14</v>
      </c>
      <c r="D196" s="1" t="s">
        <v>7</v>
      </c>
      <c r="E196" s="1" t="s">
        <v>1824</v>
      </c>
      <c r="F196" s="1" t="s">
        <v>1825</v>
      </c>
      <c r="G196" s="1" t="s">
        <v>499</v>
      </c>
      <c r="H196" s="1" t="s">
        <v>6</v>
      </c>
      <c r="I196" s="1" t="s">
        <v>1826</v>
      </c>
      <c r="J196" s="1" t="s">
        <v>1827</v>
      </c>
      <c r="K196" s="1" t="s">
        <v>7</v>
      </c>
      <c r="L196" s="1" t="s">
        <v>1828</v>
      </c>
      <c r="M196" s="1" t="s">
        <v>1829</v>
      </c>
      <c r="N196" s="1" t="s">
        <v>1830</v>
      </c>
      <c r="O196" s="1" t="s">
        <v>1831</v>
      </c>
      <c r="P196" s="1" t="s">
        <v>1832</v>
      </c>
      <c r="Q196" s="1" t="s">
        <v>1833</v>
      </c>
      <c r="R196" s="1" t="s">
        <v>1834</v>
      </c>
      <c r="S196" s="1" t="s">
        <v>1835</v>
      </c>
      <c r="T196" s="1" t="s">
        <v>1836</v>
      </c>
      <c r="U196" s="1" t="s">
        <v>1837</v>
      </c>
      <c r="V196" s="1" t="s">
        <v>9</v>
      </c>
      <c r="W196" s="1" t="s">
        <v>10</v>
      </c>
      <c r="X196" s="1" t="s">
        <v>1838</v>
      </c>
      <c r="Y196" s="1" t="s">
        <v>1839</v>
      </c>
      <c r="Z196" s="1" t="s">
        <v>1840</v>
      </c>
      <c r="AA196" s="1" t="s">
        <v>1841</v>
      </c>
      <c r="AB196" s="1" t="s">
        <v>8</v>
      </c>
      <c r="AC196" s="1" t="s">
        <v>11</v>
      </c>
      <c r="AD196" s="1" t="s">
        <v>1842</v>
      </c>
      <c r="AE196" s="1" t="s">
        <v>12</v>
      </c>
      <c r="AF196" s="1" t="s">
        <v>13</v>
      </c>
      <c r="AG196" s="1" t="s">
        <v>1843</v>
      </c>
      <c r="AH196" s="1" t="s">
        <v>1844</v>
      </c>
      <c r="AI196" s="1" t="s">
        <v>500</v>
      </c>
    </row>
    <row r="197" spans="1:35">
      <c r="B197" s="3" t="s">
        <v>704</v>
      </c>
      <c r="C197" s="3">
        <v>5.4</v>
      </c>
      <c r="D197" s="3">
        <v>2043</v>
      </c>
      <c r="E197" s="3" t="s">
        <v>228</v>
      </c>
      <c r="F197" s="3">
        <v>25</v>
      </c>
      <c r="G197" s="3" t="s">
        <v>82</v>
      </c>
      <c r="H197" s="3">
        <v>70</v>
      </c>
      <c r="I197" s="3">
        <v>70</v>
      </c>
      <c r="J197" s="3">
        <v>0</v>
      </c>
      <c r="K197" s="3">
        <v>2043</v>
      </c>
      <c r="L197" s="3">
        <v>252</v>
      </c>
      <c r="M197" s="3">
        <v>582</v>
      </c>
      <c r="N197" s="3">
        <v>87</v>
      </c>
      <c r="O197" s="3">
        <v>177</v>
      </c>
      <c r="P197" s="3">
        <v>165</v>
      </c>
      <c r="Q197" s="3">
        <v>405</v>
      </c>
      <c r="R197" s="3">
        <v>33</v>
      </c>
      <c r="S197" s="3">
        <v>44</v>
      </c>
      <c r="T197" s="3">
        <v>88</v>
      </c>
      <c r="U197" s="3">
        <v>202</v>
      </c>
      <c r="V197" s="3">
        <v>290</v>
      </c>
      <c r="W197" s="3">
        <v>113</v>
      </c>
      <c r="X197" s="3">
        <v>77</v>
      </c>
      <c r="Y197" s="3">
        <v>39</v>
      </c>
      <c r="Z197" s="3">
        <v>51</v>
      </c>
      <c r="AA197" s="3">
        <v>205</v>
      </c>
      <c r="AB197" s="3">
        <v>702</v>
      </c>
      <c r="AC197" s="3">
        <v>0.433</v>
      </c>
      <c r="AD197" s="3">
        <v>0.49199999999999999</v>
      </c>
      <c r="AE197" s="3">
        <v>0.40699999999999997</v>
      </c>
      <c r="AF197" s="3">
        <v>0.75</v>
      </c>
      <c r="AG197" s="3">
        <v>0.58399999999999996</v>
      </c>
      <c r="AH197" s="3">
        <v>0.57499999999999996</v>
      </c>
      <c r="AI197" s="3" t="s">
        <v>6</v>
      </c>
    </row>
    <row r="198" spans="1:35">
      <c r="B198" s="3" t="s">
        <v>705</v>
      </c>
      <c r="C198" s="3">
        <v>5.4</v>
      </c>
      <c r="D198" s="3">
        <v>2099</v>
      </c>
      <c r="E198" s="3" t="s">
        <v>228</v>
      </c>
      <c r="F198" s="3">
        <v>25</v>
      </c>
      <c r="G198" s="3" t="s">
        <v>135</v>
      </c>
      <c r="H198" s="3">
        <v>76</v>
      </c>
      <c r="I198" s="3">
        <v>17</v>
      </c>
      <c r="J198" s="3">
        <v>0</v>
      </c>
      <c r="K198" s="3">
        <v>2099</v>
      </c>
      <c r="L198" s="3">
        <v>407</v>
      </c>
      <c r="M198" s="3">
        <v>882</v>
      </c>
      <c r="N198" s="3">
        <v>237</v>
      </c>
      <c r="O198" s="3">
        <v>438</v>
      </c>
      <c r="P198" s="3">
        <v>170</v>
      </c>
      <c r="Q198" s="3">
        <v>444</v>
      </c>
      <c r="R198" s="3">
        <v>105</v>
      </c>
      <c r="S198" s="3">
        <v>137</v>
      </c>
      <c r="T198" s="3">
        <v>83</v>
      </c>
      <c r="U198" s="3">
        <v>374</v>
      </c>
      <c r="V198" s="3">
        <v>457</v>
      </c>
      <c r="W198" s="3">
        <v>173</v>
      </c>
      <c r="X198" s="3">
        <v>57</v>
      </c>
      <c r="Y198" s="3">
        <v>71</v>
      </c>
      <c r="Z198" s="3">
        <v>105</v>
      </c>
      <c r="AA198" s="3">
        <v>181</v>
      </c>
      <c r="AB198" s="3">
        <v>1089</v>
      </c>
      <c r="AC198" s="3">
        <v>0.46100000000000002</v>
      </c>
      <c r="AD198" s="3">
        <v>0.54100000000000004</v>
      </c>
      <c r="AE198" s="3">
        <v>0.38300000000000001</v>
      </c>
      <c r="AF198" s="3">
        <v>0.76600000000000001</v>
      </c>
      <c r="AG198" s="3">
        <v>0.57799999999999996</v>
      </c>
      <c r="AH198" s="3">
        <v>0.55800000000000005</v>
      </c>
      <c r="AI198" s="3" t="s">
        <v>506</v>
      </c>
    </row>
    <row r="199" spans="1:35">
      <c r="B199" s="3" t="s">
        <v>706</v>
      </c>
      <c r="C199" s="3">
        <v>4.4000000000000004</v>
      </c>
      <c r="D199" s="3">
        <v>1519</v>
      </c>
      <c r="E199" s="3" t="s">
        <v>1901</v>
      </c>
      <c r="F199" s="3">
        <v>28</v>
      </c>
      <c r="G199" s="3" t="s">
        <v>99</v>
      </c>
      <c r="H199" s="3">
        <v>65</v>
      </c>
      <c r="I199" s="3">
        <v>45</v>
      </c>
      <c r="J199" s="3">
        <v>0</v>
      </c>
      <c r="K199" s="3">
        <v>1519</v>
      </c>
      <c r="L199" s="3">
        <v>176</v>
      </c>
      <c r="M199" s="3">
        <v>325</v>
      </c>
      <c r="N199" s="3">
        <v>140</v>
      </c>
      <c r="O199" s="3">
        <v>224</v>
      </c>
      <c r="P199" s="3">
        <v>36</v>
      </c>
      <c r="Q199" s="3">
        <v>101</v>
      </c>
      <c r="R199" s="3">
        <v>80</v>
      </c>
      <c r="S199" s="3">
        <v>96</v>
      </c>
      <c r="T199" s="3">
        <v>91</v>
      </c>
      <c r="U199" s="3">
        <v>185</v>
      </c>
      <c r="V199" s="3">
        <v>276</v>
      </c>
      <c r="W199" s="3">
        <v>60</v>
      </c>
      <c r="X199" s="3">
        <v>67</v>
      </c>
      <c r="Y199" s="3">
        <v>32</v>
      </c>
      <c r="Z199" s="3">
        <v>30</v>
      </c>
      <c r="AA199" s="3">
        <v>132</v>
      </c>
      <c r="AB199" s="3">
        <v>468</v>
      </c>
      <c r="AC199" s="3">
        <v>0.54200000000000004</v>
      </c>
      <c r="AD199" s="3">
        <v>0.625</v>
      </c>
      <c r="AE199" s="3">
        <v>0.35599999999999998</v>
      </c>
      <c r="AF199" s="3">
        <v>0.83299999999999996</v>
      </c>
      <c r="AG199" s="3">
        <v>0.63700000000000001</v>
      </c>
      <c r="AH199" s="3">
        <v>0.59699999999999998</v>
      </c>
      <c r="AI199" s="3" t="s">
        <v>506</v>
      </c>
    </row>
    <row r="200" spans="1:35">
      <c r="B200" s="3" t="s">
        <v>707</v>
      </c>
      <c r="C200" s="3">
        <v>4.2</v>
      </c>
      <c r="D200" s="3">
        <v>1292</v>
      </c>
      <c r="E200" s="3" t="s">
        <v>1901</v>
      </c>
      <c r="F200" s="3">
        <v>25</v>
      </c>
      <c r="G200" s="3" t="s">
        <v>152</v>
      </c>
      <c r="H200" s="3">
        <v>72</v>
      </c>
      <c r="I200" s="3">
        <v>7</v>
      </c>
      <c r="J200" s="3">
        <v>0</v>
      </c>
      <c r="K200" s="3">
        <v>1292</v>
      </c>
      <c r="L200" s="3">
        <v>135</v>
      </c>
      <c r="M200" s="3">
        <v>262</v>
      </c>
      <c r="N200" s="3">
        <v>83</v>
      </c>
      <c r="O200" s="3">
        <v>136</v>
      </c>
      <c r="P200" s="3">
        <v>52</v>
      </c>
      <c r="Q200" s="3">
        <v>126</v>
      </c>
      <c r="R200" s="3">
        <v>27</v>
      </c>
      <c r="S200" s="3">
        <v>49</v>
      </c>
      <c r="T200" s="3">
        <v>87</v>
      </c>
      <c r="U200" s="3">
        <v>242</v>
      </c>
      <c r="V200" s="3">
        <v>329</v>
      </c>
      <c r="W200" s="3">
        <v>109</v>
      </c>
      <c r="X200" s="3">
        <v>45</v>
      </c>
      <c r="Y200" s="3">
        <v>22</v>
      </c>
      <c r="Z200" s="3">
        <v>29</v>
      </c>
      <c r="AA200" s="3">
        <v>90</v>
      </c>
      <c r="AB200" s="3">
        <v>349</v>
      </c>
      <c r="AC200" s="3">
        <v>0.51500000000000001</v>
      </c>
      <c r="AD200" s="3">
        <v>0.61</v>
      </c>
      <c r="AE200" s="3">
        <v>0.41299999999999998</v>
      </c>
      <c r="AF200" s="3">
        <v>0.55100000000000005</v>
      </c>
      <c r="AG200" s="3">
        <v>0.61499999999999999</v>
      </c>
      <c r="AH200" s="3">
        <v>0.61499999999999999</v>
      </c>
      <c r="AI200" s="3" t="s">
        <v>6</v>
      </c>
    </row>
    <row r="201" spans="1:35">
      <c r="B201" s="3" t="s">
        <v>708</v>
      </c>
      <c r="C201" s="3">
        <v>4.0999999999999996</v>
      </c>
      <c r="D201" s="3">
        <v>1744</v>
      </c>
      <c r="E201" s="3" t="s">
        <v>228</v>
      </c>
      <c r="F201" s="3">
        <v>27</v>
      </c>
      <c r="G201" s="3" t="s">
        <v>28</v>
      </c>
      <c r="H201" s="3">
        <v>71</v>
      </c>
      <c r="I201" s="3">
        <v>13</v>
      </c>
      <c r="J201" s="3">
        <v>0</v>
      </c>
      <c r="K201" s="3">
        <v>1744</v>
      </c>
      <c r="L201" s="3">
        <v>240</v>
      </c>
      <c r="M201" s="3">
        <v>510</v>
      </c>
      <c r="N201" s="3">
        <v>139</v>
      </c>
      <c r="O201" s="3">
        <v>263</v>
      </c>
      <c r="P201" s="3">
        <v>101</v>
      </c>
      <c r="Q201" s="3">
        <v>247</v>
      </c>
      <c r="R201" s="3">
        <v>115</v>
      </c>
      <c r="S201" s="3">
        <v>129</v>
      </c>
      <c r="T201" s="3">
        <v>32</v>
      </c>
      <c r="U201" s="3">
        <v>128</v>
      </c>
      <c r="V201" s="3">
        <v>160</v>
      </c>
      <c r="W201" s="3">
        <v>77</v>
      </c>
      <c r="X201" s="3">
        <v>40</v>
      </c>
      <c r="Y201" s="3">
        <v>7</v>
      </c>
      <c r="Z201" s="3">
        <v>44</v>
      </c>
      <c r="AA201" s="3">
        <v>119</v>
      </c>
      <c r="AB201" s="3">
        <v>696</v>
      </c>
      <c r="AC201" s="3">
        <v>0.47099999999999997</v>
      </c>
      <c r="AD201" s="3">
        <v>0.52900000000000003</v>
      </c>
      <c r="AE201" s="3">
        <v>0.40899999999999997</v>
      </c>
      <c r="AF201" s="3">
        <v>0.89100000000000001</v>
      </c>
      <c r="AG201" s="3">
        <v>0.61399999999999999</v>
      </c>
      <c r="AH201" s="3">
        <v>0.56999999999999995</v>
      </c>
      <c r="AI201" s="3" t="s">
        <v>6</v>
      </c>
    </row>
    <row r="202" spans="1:35">
      <c r="B202" s="3" t="s">
        <v>709</v>
      </c>
      <c r="C202" s="3">
        <v>4</v>
      </c>
      <c r="D202" s="3">
        <v>1372</v>
      </c>
      <c r="E202" s="3" t="s">
        <v>1901</v>
      </c>
      <c r="F202" s="3">
        <v>26</v>
      </c>
      <c r="G202" s="3" t="s">
        <v>72</v>
      </c>
      <c r="H202" s="3">
        <v>60</v>
      </c>
      <c r="I202" s="3">
        <v>12</v>
      </c>
      <c r="J202" s="3">
        <v>0</v>
      </c>
      <c r="K202" s="3">
        <v>1372</v>
      </c>
      <c r="L202" s="3">
        <v>208</v>
      </c>
      <c r="M202" s="3">
        <v>410</v>
      </c>
      <c r="N202" s="3">
        <v>144</v>
      </c>
      <c r="O202" s="3">
        <v>255</v>
      </c>
      <c r="P202" s="3">
        <v>64</v>
      </c>
      <c r="Q202" s="3">
        <v>155</v>
      </c>
      <c r="R202" s="3">
        <v>71</v>
      </c>
      <c r="S202" s="3">
        <v>93</v>
      </c>
      <c r="T202" s="3">
        <v>70</v>
      </c>
      <c r="U202" s="3">
        <v>160</v>
      </c>
      <c r="V202" s="3">
        <v>230</v>
      </c>
      <c r="W202" s="3">
        <v>64</v>
      </c>
      <c r="X202" s="3">
        <v>58</v>
      </c>
      <c r="Y202" s="3">
        <v>30</v>
      </c>
      <c r="Z202" s="3">
        <v>52</v>
      </c>
      <c r="AA202" s="3">
        <v>104</v>
      </c>
      <c r="AB202" s="3">
        <v>551</v>
      </c>
      <c r="AC202" s="3">
        <v>0.50700000000000001</v>
      </c>
      <c r="AD202" s="3">
        <v>0.56499999999999995</v>
      </c>
      <c r="AE202" s="3">
        <v>0.41299999999999998</v>
      </c>
      <c r="AF202" s="3">
        <v>0.76300000000000001</v>
      </c>
      <c r="AG202" s="3">
        <v>0.61099999999999999</v>
      </c>
      <c r="AH202" s="3">
        <v>0.58499999999999996</v>
      </c>
      <c r="AI202" s="3" t="s">
        <v>506</v>
      </c>
    </row>
    <row r="203" spans="1:35">
      <c r="B203" s="3" t="s">
        <v>710</v>
      </c>
      <c r="C203" s="3">
        <v>3.9</v>
      </c>
      <c r="D203" s="3">
        <v>2239</v>
      </c>
      <c r="E203" s="3" t="s">
        <v>1900</v>
      </c>
      <c r="F203" s="3">
        <v>27</v>
      </c>
      <c r="G203" s="3" t="s">
        <v>76</v>
      </c>
      <c r="H203" s="3">
        <v>70</v>
      </c>
      <c r="I203" s="3">
        <v>70</v>
      </c>
      <c r="J203" s="3">
        <v>0</v>
      </c>
      <c r="K203" s="3">
        <v>2239</v>
      </c>
      <c r="L203" s="3">
        <v>304</v>
      </c>
      <c r="M203" s="3">
        <v>728</v>
      </c>
      <c r="N203" s="3">
        <v>136</v>
      </c>
      <c r="O203" s="3">
        <v>249</v>
      </c>
      <c r="P203" s="3">
        <v>168</v>
      </c>
      <c r="Q203" s="3">
        <v>479</v>
      </c>
      <c r="R203" s="3">
        <v>77</v>
      </c>
      <c r="S203" s="3">
        <v>97</v>
      </c>
      <c r="T203" s="3">
        <v>66</v>
      </c>
      <c r="U203" s="3">
        <v>272</v>
      </c>
      <c r="V203" s="3">
        <v>338</v>
      </c>
      <c r="W203" s="3">
        <v>283</v>
      </c>
      <c r="X203" s="3">
        <v>64</v>
      </c>
      <c r="Y203" s="3">
        <v>29</v>
      </c>
      <c r="Z203" s="3">
        <v>112</v>
      </c>
      <c r="AA203" s="3">
        <v>170</v>
      </c>
      <c r="AB203" s="3">
        <v>853</v>
      </c>
      <c r="AC203" s="3">
        <v>0.41799999999999998</v>
      </c>
      <c r="AD203" s="3">
        <v>0.54600000000000004</v>
      </c>
      <c r="AE203" s="3">
        <v>0.35099999999999998</v>
      </c>
      <c r="AF203" s="3">
        <v>0.79400000000000004</v>
      </c>
      <c r="AG203" s="3">
        <v>0.55300000000000005</v>
      </c>
      <c r="AH203" s="3">
        <v>0.53300000000000003</v>
      </c>
      <c r="AI203" s="3" t="s">
        <v>6</v>
      </c>
    </row>
    <row r="204" spans="1:35">
      <c r="B204" s="3" t="s">
        <v>711</v>
      </c>
      <c r="C204" s="3">
        <v>3.1</v>
      </c>
      <c r="D204" s="3">
        <v>1209</v>
      </c>
      <c r="E204" s="3" t="s">
        <v>1890</v>
      </c>
      <c r="F204" s="3">
        <v>22</v>
      </c>
      <c r="G204" s="3" t="s">
        <v>163</v>
      </c>
      <c r="H204" s="3">
        <v>72</v>
      </c>
      <c r="I204" s="3">
        <v>4</v>
      </c>
      <c r="J204" s="3">
        <v>0</v>
      </c>
      <c r="K204" s="3">
        <v>1209</v>
      </c>
      <c r="L204" s="3">
        <v>199</v>
      </c>
      <c r="M204" s="3">
        <v>436</v>
      </c>
      <c r="N204" s="3">
        <v>105</v>
      </c>
      <c r="O204" s="3">
        <v>194</v>
      </c>
      <c r="P204" s="3">
        <v>94</v>
      </c>
      <c r="Q204" s="3">
        <v>242</v>
      </c>
      <c r="R204" s="3">
        <v>51</v>
      </c>
      <c r="S204" s="3">
        <v>59</v>
      </c>
      <c r="T204" s="3">
        <v>50</v>
      </c>
      <c r="U204" s="3">
        <v>187</v>
      </c>
      <c r="V204" s="3">
        <v>237</v>
      </c>
      <c r="W204" s="3">
        <v>115</v>
      </c>
      <c r="X204" s="3">
        <v>39</v>
      </c>
      <c r="Y204" s="3">
        <v>14</v>
      </c>
      <c r="Z204" s="3">
        <v>76</v>
      </c>
      <c r="AA204" s="3">
        <v>124</v>
      </c>
      <c r="AB204" s="3">
        <v>543</v>
      </c>
      <c r="AC204" s="3">
        <v>0.45600000000000002</v>
      </c>
      <c r="AD204" s="3">
        <v>0.54100000000000004</v>
      </c>
      <c r="AE204" s="3">
        <v>0.38800000000000001</v>
      </c>
      <c r="AF204" s="3">
        <v>0.86399999999999999</v>
      </c>
      <c r="AG204" s="3">
        <v>0.58799999999999997</v>
      </c>
      <c r="AH204" s="3">
        <v>0.56399999999999995</v>
      </c>
      <c r="AI204" s="3" t="s">
        <v>6</v>
      </c>
    </row>
    <row r="205" spans="1:35" ht="30">
      <c r="B205" s="3" t="s">
        <v>712</v>
      </c>
      <c r="C205" s="3">
        <v>3</v>
      </c>
      <c r="D205" s="3">
        <v>1107</v>
      </c>
      <c r="E205" s="3" t="s">
        <v>1898</v>
      </c>
      <c r="F205" s="3">
        <v>27</v>
      </c>
      <c r="G205" s="3" t="s">
        <v>25</v>
      </c>
      <c r="H205" s="3">
        <v>53</v>
      </c>
      <c r="I205" s="3">
        <v>16</v>
      </c>
      <c r="J205" s="3">
        <v>0</v>
      </c>
      <c r="K205" s="3">
        <v>1107</v>
      </c>
      <c r="L205" s="3">
        <v>121</v>
      </c>
      <c r="M205" s="3">
        <v>209</v>
      </c>
      <c r="N205" s="3">
        <v>84</v>
      </c>
      <c r="O205" s="3">
        <v>117</v>
      </c>
      <c r="P205" s="3">
        <v>37</v>
      </c>
      <c r="Q205" s="3">
        <v>92</v>
      </c>
      <c r="R205" s="3">
        <v>22</v>
      </c>
      <c r="S205" s="3">
        <v>31</v>
      </c>
      <c r="T205" s="3">
        <v>29</v>
      </c>
      <c r="U205" s="3">
        <v>205</v>
      </c>
      <c r="V205" s="3">
        <v>234</v>
      </c>
      <c r="W205" s="3">
        <v>150</v>
      </c>
      <c r="X205" s="3">
        <v>41</v>
      </c>
      <c r="Y205" s="3">
        <v>26</v>
      </c>
      <c r="Z205" s="3">
        <v>61</v>
      </c>
      <c r="AA205" s="3">
        <v>111</v>
      </c>
      <c r="AB205" s="3">
        <v>301</v>
      </c>
      <c r="AC205" s="3">
        <v>0.57899999999999996</v>
      </c>
      <c r="AD205" s="3">
        <v>0.71799999999999997</v>
      </c>
      <c r="AE205" s="3">
        <v>0.40200000000000002</v>
      </c>
      <c r="AF205" s="3">
        <v>0.71</v>
      </c>
      <c r="AG205" s="3">
        <v>0.67600000000000005</v>
      </c>
      <c r="AH205" s="3">
        <v>0.66700000000000004</v>
      </c>
      <c r="AI205" s="3" t="s">
        <v>506</v>
      </c>
    </row>
    <row r="206" spans="1:35">
      <c r="B206" s="3" t="s">
        <v>713</v>
      </c>
      <c r="C206" s="3">
        <v>2.9</v>
      </c>
      <c r="D206" s="3">
        <v>1650</v>
      </c>
      <c r="E206" s="3" t="s">
        <v>1898</v>
      </c>
      <c r="F206" s="3">
        <v>25</v>
      </c>
      <c r="G206" s="3" t="s">
        <v>72</v>
      </c>
      <c r="H206" s="3">
        <v>56</v>
      </c>
      <c r="I206" s="3">
        <v>44</v>
      </c>
      <c r="J206" s="3">
        <v>0</v>
      </c>
      <c r="K206" s="3">
        <v>1650</v>
      </c>
      <c r="L206" s="3">
        <v>319</v>
      </c>
      <c r="M206" s="3">
        <v>658</v>
      </c>
      <c r="N206" s="3">
        <v>197</v>
      </c>
      <c r="O206" s="3">
        <v>338</v>
      </c>
      <c r="P206" s="3">
        <v>122</v>
      </c>
      <c r="Q206" s="3">
        <v>320</v>
      </c>
      <c r="R206" s="3">
        <v>56</v>
      </c>
      <c r="S206" s="3">
        <v>60</v>
      </c>
      <c r="T206" s="3">
        <v>21</v>
      </c>
      <c r="U206" s="3">
        <v>158</v>
      </c>
      <c r="V206" s="3">
        <v>179</v>
      </c>
      <c r="W206" s="3">
        <v>148</v>
      </c>
      <c r="X206" s="3">
        <v>52</v>
      </c>
      <c r="Y206" s="3">
        <v>14</v>
      </c>
      <c r="Z206" s="3">
        <v>80</v>
      </c>
      <c r="AA206" s="3">
        <v>108</v>
      </c>
      <c r="AB206" s="3">
        <v>816</v>
      </c>
      <c r="AC206" s="3">
        <v>0.48499999999999999</v>
      </c>
      <c r="AD206" s="3">
        <v>0.58299999999999996</v>
      </c>
      <c r="AE206" s="3">
        <v>0.38100000000000001</v>
      </c>
      <c r="AF206" s="3">
        <v>0.93300000000000005</v>
      </c>
      <c r="AG206" s="3">
        <v>0.59599999999999997</v>
      </c>
      <c r="AH206" s="3">
        <v>0.57799999999999996</v>
      </c>
      <c r="AI206" s="3" t="s">
        <v>6</v>
      </c>
    </row>
    <row r="207" spans="1:35" ht="30">
      <c r="B207" s="3" t="s">
        <v>714</v>
      </c>
      <c r="C207" s="3">
        <v>2.8</v>
      </c>
      <c r="D207" s="3">
        <v>1024</v>
      </c>
      <c r="E207" s="3" t="s">
        <v>1904</v>
      </c>
      <c r="F207" s="3">
        <v>25</v>
      </c>
      <c r="G207" s="3" t="s">
        <v>31</v>
      </c>
      <c r="H207" s="3">
        <v>68</v>
      </c>
      <c r="I207" s="3">
        <v>2</v>
      </c>
      <c r="J207" s="3">
        <v>0</v>
      </c>
      <c r="K207" s="3">
        <v>1024</v>
      </c>
      <c r="L207" s="3">
        <v>155</v>
      </c>
      <c r="M207" s="3">
        <v>260</v>
      </c>
      <c r="N207" s="3">
        <v>145</v>
      </c>
      <c r="O207" s="3">
        <v>224</v>
      </c>
      <c r="P207" s="3">
        <v>10</v>
      </c>
      <c r="Q207" s="3">
        <v>36</v>
      </c>
      <c r="R207" s="3">
        <v>52</v>
      </c>
      <c r="S207" s="3">
        <v>84</v>
      </c>
      <c r="T207" s="3">
        <v>116</v>
      </c>
      <c r="U207" s="3">
        <v>170</v>
      </c>
      <c r="V207" s="3">
        <v>286</v>
      </c>
      <c r="W207" s="3">
        <v>36</v>
      </c>
      <c r="X207" s="3">
        <v>26</v>
      </c>
      <c r="Y207" s="3">
        <v>35</v>
      </c>
      <c r="Z207" s="3">
        <v>46</v>
      </c>
      <c r="AA207" s="3">
        <v>144</v>
      </c>
      <c r="AB207" s="3">
        <v>372</v>
      </c>
      <c r="AC207" s="3">
        <v>0.59599999999999997</v>
      </c>
      <c r="AD207" s="3">
        <v>0.64700000000000002</v>
      </c>
      <c r="AE207" s="3">
        <v>0.27800000000000002</v>
      </c>
      <c r="AF207" s="3">
        <v>0.61899999999999999</v>
      </c>
      <c r="AG207" s="3">
        <v>0.626</v>
      </c>
      <c r="AH207" s="3">
        <v>0.61499999999999999</v>
      </c>
      <c r="AI207" s="3" t="s">
        <v>506</v>
      </c>
    </row>
    <row r="208" spans="1:35">
      <c r="B208" s="3" t="s">
        <v>715</v>
      </c>
      <c r="C208" s="3">
        <v>2.8</v>
      </c>
      <c r="D208" s="3">
        <v>1176</v>
      </c>
      <c r="E208" s="3" t="s">
        <v>228</v>
      </c>
      <c r="F208" s="3">
        <v>28</v>
      </c>
      <c r="G208" s="3" t="s">
        <v>76</v>
      </c>
      <c r="H208" s="3">
        <v>56</v>
      </c>
      <c r="I208" s="3">
        <v>28</v>
      </c>
      <c r="J208" s="3">
        <v>0</v>
      </c>
      <c r="K208" s="3">
        <v>1176</v>
      </c>
      <c r="L208" s="3">
        <v>106</v>
      </c>
      <c r="M208" s="3">
        <v>257</v>
      </c>
      <c r="N208" s="3">
        <v>31</v>
      </c>
      <c r="O208" s="3">
        <v>45</v>
      </c>
      <c r="P208" s="3">
        <v>75</v>
      </c>
      <c r="Q208" s="3">
        <v>212</v>
      </c>
      <c r="R208" s="3">
        <v>15</v>
      </c>
      <c r="S208" s="3">
        <v>28</v>
      </c>
      <c r="T208" s="3">
        <v>51</v>
      </c>
      <c r="U208" s="3">
        <v>189</v>
      </c>
      <c r="V208" s="3">
        <v>240</v>
      </c>
      <c r="W208" s="3">
        <v>71</v>
      </c>
      <c r="X208" s="3">
        <v>39</v>
      </c>
      <c r="Y208" s="3">
        <v>20</v>
      </c>
      <c r="Z208" s="3">
        <v>20</v>
      </c>
      <c r="AA208" s="3">
        <v>95</v>
      </c>
      <c r="AB208" s="3">
        <v>302</v>
      </c>
      <c r="AC208" s="3">
        <v>0.41199999999999998</v>
      </c>
      <c r="AD208" s="3">
        <v>0.68899999999999995</v>
      </c>
      <c r="AE208" s="3">
        <v>0.35399999999999998</v>
      </c>
      <c r="AF208" s="3">
        <v>0.53600000000000003</v>
      </c>
      <c r="AG208" s="3">
        <v>0.56100000000000005</v>
      </c>
      <c r="AH208" s="3">
        <v>0.55800000000000005</v>
      </c>
      <c r="AI208" s="3" t="s">
        <v>506</v>
      </c>
    </row>
    <row r="209" spans="1:35" ht="30">
      <c r="B209" s="3" t="s">
        <v>716</v>
      </c>
      <c r="C209" s="3">
        <v>2.8</v>
      </c>
      <c r="D209" s="3">
        <v>1712</v>
      </c>
      <c r="E209" s="3" t="s">
        <v>1901</v>
      </c>
      <c r="F209" s="3">
        <v>25</v>
      </c>
      <c r="G209" s="3" t="s">
        <v>52</v>
      </c>
      <c r="H209" s="3">
        <v>65</v>
      </c>
      <c r="I209" s="3">
        <v>33</v>
      </c>
      <c r="J209" s="3">
        <v>0</v>
      </c>
      <c r="K209" s="3">
        <v>1712</v>
      </c>
      <c r="L209" s="3">
        <v>184</v>
      </c>
      <c r="M209" s="3">
        <v>461</v>
      </c>
      <c r="N209" s="3">
        <v>45</v>
      </c>
      <c r="O209" s="3">
        <v>75</v>
      </c>
      <c r="P209" s="3">
        <v>139</v>
      </c>
      <c r="Q209" s="3">
        <v>386</v>
      </c>
      <c r="R209" s="3">
        <v>143</v>
      </c>
      <c r="S209" s="3">
        <v>180</v>
      </c>
      <c r="T209" s="3">
        <v>32</v>
      </c>
      <c r="U209" s="3">
        <v>158</v>
      </c>
      <c r="V209" s="3">
        <v>190</v>
      </c>
      <c r="W209" s="3">
        <v>64</v>
      </c>
      <c r="X209" s="3">
        <v>57</v>
      </c>
      <c r="Y209" s="3">
        <v>24</v>
      </c>
      <c r="Z209" s="3">
        <v>41</v>
      </c>
      <c r="AA209" s="3">
        <v>168</v>
      </c>
      <c r="AB209" s="3">
        <v>650</v>
      </c>
      <c r="AC209" s="3">
        <v>0.39900000000000002</v>
      </c>
      <c r="AD209" s="3">
        <v>0.6</v>
      </c>
      <c r="AE209" s="3">
        <v>0.36</v>
      </c>
      <c r="AF209" s="3">
        <v>0.79400000000000004</v>
      </c>
      <c r="AG209" s="3">
        <v>0.60199999999999998</v>
      </c>
      <c r="AH209" s="3">
        <v>0.55000000000000004</v>
      </c>
      <c r="AI209" s="3" t="s">
        <v>6</v>
      </c>
    </row>
    <row r="210" spans="1:35">
      <c r="B210" s="3" t="s">
        <v>717</v>
      </c>
      <c r="C210" s="3">
        <v>2.6</v>
      </c>
      <c r="D210" s="3">
        <v>920</v>
      </c>
      <c r="E210" s="3" t="s">
        <v>1898</v>
      </c>
      <c r="F210" s="3">
        <v>21</v>
      </c>
      <c r="G210" s="3" t="s">
        <v>82</v>
      </c>
      <c r="H210" s="3">
        <v>43</v>
      </c>
      <c r="I210" s="3">
        <v>32</v>
      </c>
      <c r="J210" s="3">
        <v>0</v>
      </c>
      <c r="K210" s="3">
        <v>920</v>
      </c>
      <c r="L210" s="3">
        <v>146</v>
      </c>
      <c r="M210" s="3">
        <v>268</v>
      </c>
      <c r="N210" s="3">
        <v>146</v>
      </c>
      <c r="O210" s="3">
        <v>268</v>
      </c>
      <c r="P210" s="3">
        <v>0</v>
      </c>
      <c r="Q210" s="3">
        <v>0</v>
      </c>
      <c r="R210" s="3">
        <v>78</v>
      </c>
      <c r="S210" s="3">
        <v>126</v>
      </c>
      <c r="T210" s="3">
        <v>154</v>
      </c>
      <c r="U210" s="3">
        <v>229</v>
      </c>
      <c r="V210" s="3">
        <v>383</v>
      </c>
      <c r="W210" s="3">
        <v>10</v>
      </c>
      <c r="X210" s="3">
        <v>31</v>
      </c>
      <c r="Y210" s="3">
        <v>47</v>
      </c>
      <c r="Z210" s="3">
        <v>43</v>
      </c>
      <c r="AA210" s="3">
        <v>93</v>
      </c>
      <c r="AB210" s="3">
        <v>370</v>
      </c>
      <c r="AC210" s="3">
        <v>0.54500000000000004</v>
      </c>
      <c r="AD210" s="3">
        <v>0.54500000000000004</v>
      </c>
      <c r="AE210" s="2"/>
      <c r="AF210" s="3">
        <v>0.61899999999999999</v>
      </c>
      <c r="AG210" s="3">
        <v>0.57199999999999995</v>
      </c>
      <c r="AH210" s="3">
        <v>0.54500000000000004</v>
      </c>
      <c r="AI210" s="3" t="s">
        <v>570</v>
      </c>
    </row>
    <row r="211" spans="1:35">
      <c r="B211" s="3" t="s">
        <v>718</v>
      </c>
      <c r="C211" s="3">
        <v>2.5</v>
      </c>
      <c r="D211" s="3">
        <v>1589</v>
      </c>
      <c r="E211" s="3" t="s">
        <v>1901</v>
      </c>
      <c r="F211" s="3">
        <v>25</v>
      </c>
      <c r="G211" s="3" t="s">
        <v>72</v>
      </c>
      <c r="H211" s="3">
        <v>68</v>
      </c>
      <c r="I211" s="3">
        <v>27</v>
      </c>
      <c r="J211" s="3">
        <v>0</v>
      </c>
      <c r="K211" s="3">
        <v>1589</v>
      </c>
      <c r="L211" s="3">
        <v>214</v>
      </c>
      <c r="M211" s="3">
        <v>513</v>
      </c>
      <c r="N211" s="3">
        <v>95</v>
      </c>
      <c r="O211" s="3">
        <v>190</v>
      </c>
      <c r="P211" s="3">
        <v>119</v>
      </c>
      <c r="Q211" s="3">
        <v>323</v>
      </c>
      <c r="R211" s="3">
        <v>44</v>
      </c>
      <c r="S211" s="3">
        <v>54</v>
      </c>
      <c r="T211" s="3">
        <v>22</v>
      </c>
      <c r="U211" s="3">
        <v>104</v>
      </c>
      <c r="V211" s="3">
        <v>126</v>
      </c>
      <c r="W211" s="3">
        <v>210</v>
      </c>
      <c r="X211" s="3">
        <v>62</v>
      </c>
      <c r="Y211" s="3">
        <v>12</v>
      </c>
      <c r="Z211" s="3">
        <v>98</v>
      </c>
      <c r="AA211" s="3">
        <v>158</v>
      </c>
      <c r="AB211" s="3">
        <v>591</v>
      </c>
      <c r="AC211" s="3">
        <v>0.41699999999999998</v>
      </c>
      <c r="AD211" s="3">
        <v>0.5</v>
      </c>
      <c r="AE211" s="3">
        <v>0.36799999999999999</v>
      </c>
      <c r="AF211" s="3">
        <v>0.81499999999999995</v>
      </c>
      <c r="AG211" s="3">
        <v>0.55100000000000005</v>
      </c>
      <c r="AH211" s="3">
        <v>0.53300000000000003</v>
      </c>
      <c r="AI211" s="3" t="s">
        <v>6</v>
      </c>
    </row>
    <row r="212" spans="1:35" ht="30">
      <c r="B212" s="3" t="s">
        <v>719</v>
      </c>
      <c r="C212" s="3">
        <v>2.2999999999999998</v>
      </c>
      <c r="D212" s="3">
        <v>902</v>
      </c>
      <c r="E212" s="3" t="s">
        <v>1901</v>
      </c>
      <c r="F212" s="3">
        <v>25</v>
      </c>
      <c r="G212" s="3" t="s">
        <v>135</v>
      </c>
      <c r="H212" s="3">
        <v>62</v>
      </c>
      <c r="I212" s="3">
        <v>3</v>
      </c>
      <c r="J212" s="3">
        <v>0</v>
      </c>
      <c r="K212" s="3">
        <v>902</v>
      </c>
      <c r="L212" s="3">
        <v>88</v>
      </c>
      <c r="M212" s="3">
        <v>200</v>
      </c>
      <c r="N212" s="3">
        <v>61</v>
      </c>
      <c r="O212" s="3">
        <v>115</v>
      </c>
      <c r="P212" s="3">
        <v>27</v>
      </c>
      <c r="Q212" s="3">
        <v>85</v>
      </c>
      <c r="R212" s="3">
        <v>30</v>
      </c>
      <c r="S212" s="3">
        <v>40</v>
      </c>
      <c r="T212" s="3">
        <v>22</v>
      </c>
      <c r="U212" s="3">
        <v>72</v>
      </c>
      <c r="V212" s="3">
        <v>94</v>
      </c>
      <c r="W212" s="3">
        <v>180</v>
      </c>
      <c r="X212" s="3">
        <v>57</v>
      </c>
      <c r="Y212" s="3">
        <v>10</v>
      </c>
      <c r="Z212" s="3">
        <v>38</v>
      </c>
      <c r="AA212" s="3">
        <v>54</v>
      </c>
      <c r="AB212" s="3">
        <v>233</v>
      </c>
      <c r="AC212" s="3">
        <v>0.44</v>
      </c>
      <c r="AD212" s="3">
        <v>0.53</v>
      </c>
      <c r="AE212" s="3">
        <v>0.318</v>
      </c>
      <c r="AF212" s="3">
        <v>0.75</v>
      </c>
      <c r="AG212" s="3">
        <v>0.53500000000000003</v>
      </c>
      <c r="AH212" s="3">
        <v>0.50800000000000001</v>
      </c>
      <c r="AI212" s="3" t="s">
        <v>6</v>
      </c>
    </row>
    <row r="213" spans="1:35">
      <c r="B213" s="3" t="s">
        <v>720</v>
      </c>
      <c r="C213" s="3">
        <v>2.2000000000000002</v>
      </c>
      <c r="D213" s="3">
        <v>1564</v>
      </c>
      <c r="E213" s="3" t="s">
        <v>1901</v>
      </c>
      <c r="F213" s="3">
        <v>23</v>
      </c>
      <c r="G213" s="3" t="s">
        <v>41</v>
      </c>
      <c r="H213" s="3">
        <v>67</v>
      </c>
      <c r="I213" s="3">
        <v>25</v>
      </c>
      <c r="J213" s="3">
        <v>0</v>
      </c>
      <c r="K213" s="3">
        <v>1564</v>
      </c>
      <c r="L213" s="3">
        <v>208</v>
      </c>
      <c r="M213" s="3">
        <v>506</v>
      </c>
      <c r="N213" s="3">
        <v>125</v>
      </c>
      <c r="O213" s="3">
        <v>269</v>
      </c>
      <c r="P213" s="3">
        <v>83</v>
      </c>
      <c r="Q213" s="3">
        <v>237</v>
      </c>
      <c r="R213" s="3">
        <v>114</v>
      </c>
      <c r="S213" s="3">
        <v>164</v>
      </c>
      <c r="T213" s="3">
        <v>108</v>
      </c>
      <c r="U213" s="3">
        <v>250</v>
      </c>
      <c r="V213" s="3">
        <v>358</v>
      </c>
      <c r="W213" s="3">
        <v>72</v>
      </c>
      <c r="X213" s="3">
        <v>44</v>
      </c>
      <c r="Y213" s="3">
        <v>29</v>
      </c>
      <c r="Z213" s="3">
        <v>54</v>
      </c>
      <c r="AA213" s="3">
        <v>116</v>
      </c>
      <c r="AB213" s="3">
        <v>613</v>
      </c>
      <c r="AC213" s="3">
        <v>0.41099999999999998</v>
      </c>
      <c r="AD213" s="3">
        <v>0.46500000000000002</v>
      </c>
      <c r="AE213" s="3">
        <v>0.35</v>
      </c>
      <c r="AF213" s="3">
        <v>0.69499999999999995</v>
      </c>
      <c r="AG213" s="3">
        <v>0.53</v>
      </c>
      <c r="AH213" s="3">
        <v>0.49299999999999999</v>
      </c>
      <c r="AI213" s="3" t="s">
        <v>506</v>
      </c>
    </row>
    <row r="214" spans="1:35" ht="30">
      <c r="B214" s="3" t="s">
        <v>721</v>
      </c>
      <c r="C214" s="3">
        <v>0.7</v>
      </c>
      <c r="D214" s="3">
        <v>954</v>
      </c>
      <c r="E214" s="3" t="s">
        <v>228</v>
      </c>
      <c r="F214" s="3">
        <v>27</v>
      </c>
      <c r="G214" s="3" t="s">
        <v>119</v>
      </c>
      <c r="H214" s="3">
        <v>43</v>
      </c>
      <c r="I214" s="3">
        <v>16</v>
      </c>
      <c r="J214" s="3">
        <v>0</v>
      </c>
      <c r="K214" s="3">
        <v>954</v>
      </c>
      <c r="L214" s="3">
        <v>106</v>
      </c>
      <c r="M214" s="3">
        <v>259</v>
      </c>
      <c r="N214" s="3">
        <v>56</v>
      </c>
      <c r="O214" s="3">
        <v>115</v>
      </c>
      <c r="P214" s="3">
        <v>50</v>
      </c>
      <c r="Q214" s="3">
        <v>144</v>
      </c>
      <c r="R214" s="3">
        <v>24</v>
      </c>
      <c r="S214" s="3">
        <v>29</v>
      </c>
      <c r="T214" s="3">
        <v>33</v>
      </c>
      <c r="U214" s="3">
        <v>86</v>
      </c>
      <c r="V214" s="3">
        <v>119</v>
      </c>
      <c r="W214" s="3">
        <v>49</v>
      </c>
      <c r="X214" s="3">
        <v>24</v>
      </c>
      <c r="Y214" s="3">
        <v>23</v>
      </c>
      <c r="Z214" s="3">
        <v>32</v>
      </c>
      <c r="AA214" s="3">
        <v>95</v>
      </c>
      <c r="AB214" s="3">
        <v>286</v>
      </c>
      <c r="AC214" s="3">
        <v>0.40899999999999997</v>
      </c>
      <c r="AD214" s="3">
        <v>0.48699999999999999</v>
      </c>
      <c r="AE214" s="3">
        <v>0.34699999999999998</v>
      </c>
      <c r="AF214" s="3">
        <v>0.82799999999999996</v>
      </c>
      <c r="AG214" s="3">
        <v>0.52600000000000002</v>
      </c>
      <c r="AH214" s="3">
        <v>0.50600000000000001</v>
      </c>
      <c r="AI214" s="3" t="s">
        <v>722</v>
      </c>
    </row>
    <row r="216" spans="1:35" ht="30">
      <c r="A216" s="1" t="s">
        <v>1908</v>
      </c>
    </row>
    <row r="217" spans="1:35">
      <c r="B217" s="1" t="s">
        <v>3</v>
      </c>
      <c r="C217" s="1" t="s">
        <v>14</v>
      </c>
      <c r="D217" s="1" t="s">
        <v>7</v>
      </c>
      <c r="E217" s="1" t="s">
        <v>1824</v>
      </c>
      <c r="F217" s="1" t="s">
        <v>1825</v>
      </c>
      <c r="G217" s="1" t="s">
        <v>499</v>
      </c>
      <c r="H217" s="1" t="s">
        <v>6</v>
      </c>
      <c r="I217" s="1" t="s">
        <v>1826</v>
      </c>
      <c r="J217" s="1" t="s">
        <v>1827</v>
      </c>
      <c r="K217" s="1" t="s">
        <v>7</v>
      </c>
      <c r="L217" s="1" t="s">
        <v>1828</v>
      </c>
      <c r="M217" s="1" t="s">
        <v>1829</v>
      </c>
      <c r="N217" s="1" t="s">
        <v>1830</v>
      </c>
      <c r="O217" s="1" t="s">
        <v>1831</v>
      </c>
      <c r="P217" s="1" t="s">
        <v>1832</v>
      </c>
      <c r="Q217" s="1" t="s">
        <v>1833</v>
      </c>
      <c r="R217" s="1" t="s">
        <v>1834</v>
      </c>
      <c r="S217" s="1" t="s">
        <v>1835</v>
      </c>
      <c r="T217" s="1" t="s">
        <v>1836</v>
      </c>
      <c r="U217" s="1" t="s">
        <v>1837</v>
      </c>
      <c r="V217" s="1" t="s">
        <v>9</v>
      </c>
      <c r="W217" s="1" t="s">
        <v>10</v>
      </c>
      <c r="X217" s="1" t="s">
        <v>1838</v>
      </c>
      <c r="Y217" s="1" t="s">
        <v>1839</v>
      </c>
      <c r="Z217" s="1" t="s">
        <v>1840</v>
      </c>
      <c r="AA217" s="1" t="s">
        <v>1841</v>
      </c>
      <c r="AB217" s="1" t="s">
        <v>8</v>
      </c>
      <c r="AC217" s="1" t="s">
        <v>11</v>
      </c>
      <c r="AD217" s="1" t="s">
        <v>1842</v>
      </c>
      <c r="AE217" s="1" t="s">
        <v>12</v>
      </c>
      <c r="AF217" s="1" t="s">
        <v>13</v>
      </c>
      <c r="AG217" s="1" t="s">
        <v>1843</v>
      </c>
      <c r="AH217" s="1" t="s">
        <v>1844</v>
      </c>
      <c r="AI217" s="1" t="s">
        <v>500</v>
      </c>
    </row>
    <row r="218" spans="1:35">
      <c r="B218" s="3" t="s">
        <v>638</v>
      </c>
      <c r="C218" s="3">
        <v>3.8</v>
      </c>
      <c r="D218" s="3">
        <v>2043</v>
      </c>
      <c r="E218" s="3" t="s">
        <v>1898</v>
      </c>
      <c r="F218" s="3">
        <v>25</v>
      </c>
      <c r="G218" s="3" t="s">
        <v>52</v>
      </c>
      <c r="H218" s="3">
        <v>70</v>
      </c>
      <c r="I218" s="3">
        <v>58</v>
      </c>
      <c r="J218" s="3">
        <v>0</v>
      </c>
      <c r="K218" s="3">
        <v>2043</v>
      </c>
      <c r="L218" s="3">
        <v>316</v>
      </c>
      <c r="M218" s="3">
        <v>625</v>
      </c>
      <c r="N218" s="3">
        <v>256</v>
      </c>
      <c r="O218" s="3">
        <v>430</v>
      </c>
      <c r="P218" s="3">
        <v>60</v>
      </c>
      <c r="Q218" s="3">
        <v>195</v>
      </c>
      <c r="R218" s="3">
        <v>102</v>
      </c>
      <c r="S218" s="3">
        <v>147</v>
      </c>
      <c r="T218" s="3">
        <v>132</v>
      </c>
      <c r="U218" s="3">
        <v>242</v>
      </c>
      <c r="V218" s="3">
        <v>374</v>
      </c>
      <c r="W218" s="3">
        <v>178</v>
      </c>
      <c r="X218" s="3">
        <v>85</v>
      </c>
      <c r="Y218" s="3">
        <v>36</v>
      </c>
      <c r="Z218" s="3">
        <v>98</v>
      </c>
      <c r="AA218" s="3">
        <v>222</v>
      </c>
      <c r="AB218" s="3">
        <v>794</v>
      </c>
      <c r="AC218" s="3">
        <v>0.50600000000000001</v>
      </c>
      <c r="AD218" s="3">
        <v>0.59499999999999997</v>
      </c>
      <c r="AE218" s="3">
        <v>0.308</v>
      </c>
      <c r="AF218" s="3">
        <v>0.69399999999999995</v>
      </c>
      <c r="AG218" s="3">
        <v>0.57599999999999996</v>
      </c>
      <c r="AH218" s="3">
        <v>0.55400000000000005</v>
      </c>
      <c r="AI218" s="3" t="s">
        <v>506</v>
      </c>
    </row>
    <row r="219" spans="1:35">
      <c r="B219" s="3" t="s">
        <v>639</v>
      </c>
      <c r="C219" s="3">
        <v>3.4</v>
      </c>
      <c r="D219" s="3">
        <v>1827</v>
      </c>
      <c r="E219" s="3" t="s">
        <v>228</v>
      </c>
      <c r="F219" s="3">
        <v>27</v>
      </c>
      <c r="G219" s="3" t="s">
        <v>20</v>
      </c>
      <c r="H219" s="3">
        <v>66</v>
      </c>
      <c r="I219" s="3">
        <v>28</v>
      </c>
      <c r="J219" s="3">
        <v>0</v>
      </c>
      <c r="K219" s="3">
        <v>1827</v>
      </c>
      <c r="L219" s="3">
        <v>345</v>
      </c>
      <c r="M219" s="3">
        <v>678</v>
      </c>
      <c r="N219" s="3">
        <v>289</v>
      </c>
      <c r="O219" s="3">
        <v>471</v>
      </c>
      <c r="P219" s="3">
        <v>56</v>
      </c>
      <c r="Q219" s="3">
        <v>207</v>
      </c>
      <c r="R219" s="3">
        <v>127</v>
      </c>
      <c r="S219" s="3">
        <v>156</v>
      </c>
      <c r="T219" s="3">
        <v>74</v>
      </c>
      <c r="U219" s="3">
        <v>245</v>
      </c>
      <c r="V219" s="3">
        <v>319</v>
      </c>
      <c r="W219" s="3">
        <v>193</v>
      </c>
      <c r="X219" s="3">
        <v>68</v>
      </c>
      <c r="Y219" s="3">
        <v>11</v>
      </c>
      <c r="Z219" s="3">
        <v>104</v>
      </c>
      <c r="AA219" s="3">
        <v>105</v>
      </c>
      <c r="AB219" s="3">
        <v>873</v>
      </c>
      <c r="AC219" s="3">
        <v>0.50900000000000001</v>
      </c>
      <c r="AD219" s="3">
        <v>0.61399999999999999</v>
      </c>
      <c r="AE219" s="3">
        <v>0.27100000000000002</v>
      </c>
      <c r="AF219" s="3">
        <v>0.81399999999999995</v>
      </c>
      <c r="AG219" s="3">
        <v>0.58499999999999996</v>
      </c>
      <c r="AH219" s="3">
        <v>0.55000000000000004</v>
      </c>
      <c r="AI219" s="3" t="s">
        <v>506</v>
      </c>
    </row>
    <row r="220" spans="1:35" ht="30">
      <c r="B220" s="3" t="s">
        <v>640</v>
      </c>
      <c r="C220" s="3">
        <v>3.1</v>
      </c>
      <c r="D220" s="3">
        <v>1425</v>
      </c>
      <c r="E220" s="3" t="s">
        <v>1898</v>
      </c>
      <c r="F220" s="3">
        <v>29</v>
      </c>
      <c r="G220" s="3" t="s">
        <v>23</v>
      </c>
      <c r="H220" s="3">
        <v>65</v>
      </c>
      <c r="I220" s="3">
        <v>19</v>
      </c>
      <c r="J220" s="3">
        <v>0</v>
      </c>
      <c r="K220" s="3">
        <v>1425</v>
      </c>
      <c r="L220" s="3">
        <v>120</v>
      </c>
      <c r="M220" s="3">
        <v>315</v>
      </c>
      <c r="N220" s="3">
        <v>44</v>
      </c>
      <c r="O220" s="3">
        <v>99</v>
      </c>
      <c r="P220" s="3">
        <v>76</v>
      </c>
      <c r="Q220" s="3">
        <v>216</v>
      </c>
      <c r="R220" s="3">
        <v>80</v>
      </c>
      <c r="S220" s="3">
        <v>91</v>
      </c>
      <c r="T220" s="3">
        <v>22</v>
      </c>
      <c r="U220" s="3">
        <v>112</v>
      </c>
      <c r="V220" s="3">
        <v>134</v>
      </c>
      <c r="W220" s="3">
        <v>232</v>
      </c>
      <c r="X220" s="3">
        <v>79</v>
      </c>
      <c r="Y220" s="3">
        <v>14</v>
      </c>
      <c r="Z220" s="3">
        <v>73</v>
      </c>
      <c r="AA220" s="3">
        <v>132</v>
      </c>
      <c r="AB220" s="3">
        <v>396</v>
      </c>
      <c r="AC220" s="3">
        <v>0.38100000000000001</v>
      </c>
      <c r="AD220" s="3">
        <v>0.44400000000000001</v>
      </c>
      <c r="AE220" s="3">
        <v>0.35199999999999998</v>
      </c>
      <c r="AF220" s="3">
        <v>0.879</v>
      </c>
      <c r="AG220" s="3">
        <v>0.55800000000000005</v>
      </c>
      <c r="AH220" s="3">
        <v>0.502</v>
      </c>
      <c r="AI220" s="3" t="s">
        <v>6</v>
      </c>
    </row>
    <row r="221" spans="1:35">
      <c r="B221" s="3" t="s">
        <v>641</v>
      </c>
      <c r="C221" s="3">
        <v>2.4</v>
      </c>
      <c r="D221" s="3">
        <v>1195</v>
      </c>
      <c r="E221" s="3" t="s">
        <v>1904</v>
      </c>
      <c r="F221" s="3">
        <v>25</v>
      </c>
      <c r="G221" s="3" t="s">
        <v>25</v>
      </c>
      <c r="H221" s="3">
        <v>62</v>
      </c>
      <c r="I221" s="3">
        <v>4</v>
      </c>
      <c r="J221" s="3">
        <v>0</v>
      </c>
      <c r="K221" s="3">
        <v>1195</v>
      </c>
      <c r="L221" s="3">
        <v>148</v>
      </c>
      <c r="M221" s="3">
        <v>314</v>
      </c>
      <c r="N221" s="3">
        <v>75</v>
      </c>
      <c r="O221" s="3">
        <v>115</v>
      </c>
      <c r="P221" s="3">
        <v>73</v>
      </c>
      <c r="Q221" s="3">
        <v>199</v>
      </c>
      <c r="R221" s="3">
        <v>46</v>
      </c>
      <c r="S221" s="3">
        <v>60</v>
      </c>
      <c r="T221" s="3">
        <v>56</v>
      </c>
      <c r="U221" s="3">
        <v>159</v>
      </c>
      <c r="V221" s="3">
        <v>215</v>
      </c>
      <c r="W221" s="3">
        <v>96</v>
      </c>
      <c r="X221" s="3">
        <v>28</v>
      </c>
      <c r="Y221" s="3">
        <v>20</v>
      </c>
      <c r="Z221" s="3">
        <v>54</v>
      </c>
      <c r="AA221" s="3">
        <v>134</v>
      </c>
      <c r="AB221" s="3">
        <v>415</v>
      </c>
      <c r="AC221" s="3">
        <v>0.47099999999999997</v>
      </c>
      <c r="AD221" s="3">
        <v>0.65200000000000002</v>
      </c>
      <c r="AE221" s="3">
        <v>0.36699999999999999</v>
      </c>
      <c r="AF221" s="3">
        <v>0.76700000000000002</v>
      </c>
      <c r="AG221" s="3">
        <v>0.61</v>
      </c>
      <c r="AH221" s="3">
        <v>0.58799999999999997</v>
      </c>
      <c r="AI221" s="3" t="s">
        <v>506</v>
      </c>
    </row>
    <row r="223" spans="1:35" ht="30">
      <c r="A223" s="1" t="s">
        <v>1909</v>
      </c>
    </row>
    <row r="224" spans="1:35">
      <c r="B224" s="1" t="s">
        <v>3</v>
      </c>
      <c r="C224" s="1" t="s">
        <v>14</v>
      </c>
      <c r="D224" s="1" t="s">
        <v>7</v>
      </c>
      <c r="E224" s="1" t="s">
        <v>1824</v>
      </c>
      <c r="F224" s="1" t="s">
        <v>1825</v>
      </c>
      <c r="G224" s="1" t="s">
        <v>499</v>
      </c>
      <c r="H224" s="1" t="s">
        <v>6</v>
      </c>
      <c r="I224" s="1" t="s">
        <v>1826</v>
      </c>
      <c r="J224" s="1" t="s">
        <v>1827</v>
      </c>
      <c r="K224" s="1" t="s">
        <v>7</v>
      </c>
      <c r="L224" s="1" t="s">
        <v>1828</v>
      </c>
      <c r="M224" s="1" t="s">
        <v>1829</v>
      </c>
      <c r="N224" s="1" t="s">
        <v>1830</v>
      </c>
      <c r="O224" s="1" t="s">
        <v>1831</v>
      </c>
      <c r="P224" s="1" t="s">
        <v>1832</v>
      </c>
      <c r="Q224" s="1" t="s">
        <v>1833</v>
      </c>
      <c r="R224" s="1" t="s">
        <v>1834</v>
      </c>
      <c r="S224" s="1" t="s">
        <v>1835</v>
      </c>
      <c r="T224" s="1" t="s">
        <v>1836</v>
      </c>
      <c r="U224" s="1" t="s">
        <v>1837</v>
      </c>
      <c r="V224" s="1" t="s">
        <v>9</v>
      </c>
      <c r="W224" s="1" t="s">
        <v>10</v>
      </c>
      <c r="X224" s="1" t="s">
        <v>1838</v>
      </c>
      <c r="Y224" s="1" t="s">
        <v>1839</v>
      </c>
      <c r="Z224" s="1" t="s">
        <v>1840</v>
      </c>
      <c r="AA224" s="1" t="s">
        <v>1841</v>
      </c>
      <c r="AB224" s="1" t="s">
        <v>8</v>
      </c>
      <c r="AC224" s="1" t="s">
        <v>11</v>
      </c>
      <c r="AD224" s="1" t="s">
        <v>1842</v>
      </c>
      <c r="AE224" s="1" t="s">
        <v>12</v>
      </c>
      <c r="AF224" s="1" t="s">
        <v>13</v>
      </c>
      <c r="AG224" s="1" t="s">
        <v>1843</v>
      </c>
      <c r="AH224" s="1" t="s">
        <v>1844</v>
      </c>
      <c r="AI224" s="1" t="s">
        <v>500</v>
      </c>
    </row>
    <row r="225" spans="1:35">
      <c r="B225" s="3" t="s">
        <v>567</v>
      </c>
      <c r="C225" s="3">
        <v>7.4</v>
      </c>
      <c r="D225" s="3">
        <v>2440</v>
      </c>
      <c r="E225" s="3" t="s">
        <v>228</v>
      </c>
      <c r="F225" s="3">
        <v>26</v>
      </c>
      <c r="G225" s="3" t="s">
        <v>31</v>
      </c>
      <c r="H225" s="3">
        <v>70</v>
      </c>
      <c r="I225" s="3">
        <v>70</v>
      </c>
      <c r="J225" s="3">
        <v>0</v>
      </c>
      <c r="K225" s="3">
        <v>2440</v>
      </c>
      <c r="L225" s="3">
        <v>458</v>
      </c>
      <c r="M225" s="3">
        <v>1000</v>
      </c>
      <c r="N225" s="3">
        <v>266</v>
      </c>
      <c r="O225" s="3">
        <v>487</v>
      </c>
      <c r="P225" s="3">
        <v>192</v>
      </c>
      <c r="Q225" s="3">
        <v>513</v>
      </c>
      <c r="R225" s="3">
        <v>309</v>
      </c>
      <c r="S225" s="3">
        <v>350</v>
      </c>
      <c r="T225" s="3">
        <v>58</v>
      </c>
      <c r="U225" s="3">
        <v>255</v>
      </c>
      <c r="V225" s="3">
        <v>313</v>
      </c>
      <c r="W225" s="3">
        <v>406</v>
      </c>
      <c r="X225" s="3">
        <v>78</v>
      </c>
      <c r="Y225" s="3">
        <v>22</v>
      </c>
      <c r="Z225" s="3">
        <v>166</v>
      </c>
      <c r="AA225" s="3">
        <v>142</v>
      </c>
      <c r="AB225" s="3">
        <v>1417</v>
      </c>
      <c r="AC225" s="3">
        <v>0.45800000000000002</v>
      </c>
      <c r="AD225" s="3">
        <v>0.54600000000000004</v>
      </c>
      <c r="AE225" s="3">
        <v>0.374</v>
      </c>
      <c r="AF225" s="3">
        <v>0.88300000000000001</v>
      </c>
      <c r="AG225" s="3">
        <v>0.61399999999999999</v>
      </c>
      <c r="AH225" s="3">
        <v>0.55400000000000005</v>
      </c>
      <c r="AI225" s="3" t="s">
        <v>6</v>
      </c>
    </row>
    <row r="226" spans="1:35">
      <c r="B226" s="3" t="s">
        <v>568</v>
      </c>
      <c r="C226" s="3">
        <v>4.9000000000000004</v>
      </c>
      <c r="D226" s="3">
        <v>1741</v>
      </c>
      <c r="E226" s="3" t="s">
        <v>1900</v>
      </c>
      <c r="F226" s="3">
        <v>26</v>
      </c>
      <c r="G226" s="3" t="s">
        <v>190</v>
      </c>
      <c r="H226" s="3">
        <v>79</v>
      </c>
      <c r="I226" s="3">
        <v>13</v>
      </c>
      <c r="J226" s="3">
        <v>0</v>
      </c>
      <c r="K226" s="3">
        <v>1741</v>
      </c>
      <c r="L226" s="3">
        <v>249</v>
      </c>
      <c r="M226" s="3">
        <v>558</v>
      </c>
      <c r="N226" s="3">
        <v>52</v>
      </c>
      <c r="O226" s="3">
        <v>93</v>
      </c>
      <c r="P226" s="3">
        <v>197</v>
      </c>
      <c r="Q226" s="3">
        <v>465</v>
      </c>
      <c r="R226" s="3">
        <v>17</v>
      </c>
      <c r="S226" s="3">
        <v>19</v>
      </c>
      <c r="T226" s="3">
        <v>45</v>
      </c>
      <c r="U226" s="3">
        <v>231</v>
      </c>
      <c r="V226" s="3">
        <v>276</v>
      </c>
      <c r="W226" s="3">
        <v>82</v>
      </c>
      <c r="X226" s="3">
        <v>40</v>
      </c>
      <c r="Y226" s="3">
        <v>25</v>
      </c>
      <c r="Z226" s="3">
        <v>32</v>
      </c>
      <c r="AA226" s="3">
        <v>99</v>
      </c>
      <c r="AB226" s="3">
        <v>712</v>
      </c>
      <c r="AC226" s="3">
        <v>0.44600000000000001</v>
      </c>
      <c r="AD226" s="3">
        <v>0.55900000000000005</v>
      </c>
      <c r="AE226" s="3">
        <v>0.42399999999999999</v>
      </c>
      <c r="AF226" s="3">
        <v>0.89500000000000002</v>
      </c>
      <c r="AG226" s="3">
        <v>0.629</v>
      </c>
      <c r="AH226" s="3">
        <v>0.623</v>
      </c>
      <c r="AI226" s="3" t="s">
        <v>506</v>
      </c>
    </row>
    <row r="227" spans="1:35">
      <c r="B227" s="3" t="s">
        <v>569</v>
      </c>
      <c r="C227" s="3">
        <v>2.7</v>
      </c>
      <c r="D227" s="3">
        <v>979</v>
      </c>
      <c r="E227" s="3" t="s">
        <v>1904</v>
      </c>
      <c r="F227" s="3">
        <v>27</v>
      </c>
      <c r="G227" s="3" t="s">
        <v>323</v>
      </c>
      <c r="H227" s="3">
        <v>69</v>
      </c>
      <c r="I227" s="3">
        <v>4</v>
      </c>
      <c r="J227" s="3">
        <v>0</v>
      </c>
      <c r="K227" s="3">
        <v>979</v>
      </c>
      <c r="L227" s="3">
        <v>178</v>
      </c>
      <c r="M227" s="3">
        <v>337</v>
      </c>
      <c r="N227" s="3">
        <v>157</v>
      </c>
      <c r="O227" s="3">
        <v>253</v>
      </c>
      <c r="P227" s="3">
        <v>21</v>
      </c>
      <c r="Q227" s="3">
        <v>84</v>
      </c>
      <c r="R227" s="3">
        <v>79</v>
      </c>
      <c r="S227" s="3">
        <v>105</v>
      </c>
      <c r="T227" s="3">
        <v>119</v>
      </c>
      <c r="U227" s="3">
        <v>161</v>
      </c>
      <c r="V227" s="3">
        <v>280</v>
      </c>
      <c r="W227" s="3">
        <v>68</v>
      </c>
      <c r="X227" s="3">
        <v>16</v>
      </c>
      <c r="Y227" s="3">
        <v>30</v>
      </c>
      <c r="Z227" s="3">
        <v>59</v>
      </c>
      <c r="AA227" s="3">
        <v>126</v>
      </c>
      <c r="AB227" s="3">
        <v>456</v>
      </c>
      <c r="AC227" s="3">
        <v>0.52800000000000002</v>
      </c>
      <c r="AD227" s="3">
        <v>0.621</v>
      </c>
      <c r="AE227" s="3">
        <v>0.25</v>
      </c>
      <c r="AF227" s="3">
        <v>0.752</v>
      </c>
      <c r="AG227" s="3">
        <v>0.59499999999999997</v>
      </c>
      <c r="AH227" s="3">
        <v>0.55900000000000005</v>
      </c>
      <c r="AI227" s="3" t="s">
        <v>570</v>
      </c>
    </row>
    <row r="228" spans="1:35" ht="30">
      <c r="B228" s="3" t="s">
        <v>571</v>
      </c>
      <c r="C228" s="3">
        <v>2.2999999999999998</v>
      </c>
      <c r="D228" s="3">
        <v>1190</v>
      </c>
      <c r="E228" s="3" t="s">
        <v>228</v>
      </c>
      <c r="F228" s="3">
        <v>23</v>
      </c>
      <c r="G228" s="3" t="s">
        <v>69</v>
      </c>
      <c r="H228" s="3">
        <v>58</v>
      </c>
      <c r="I228" s="3">
        <v>27</v>
      </c>
      <c r="J228" s="3">
        <v>0</v>
      </c>
      <c r="K228" s="3">
        <v>1190</v>
      </c>
      <c r="L228" s="3">
        <v>177</v>
      </c>
      <c r="M228" s="3">
        <v>355</v>
      </c>
      <c r="N228" s="3">
        <v>115</v>
      </c>
      <c r="O228" s="3">
        <v>188</v>
      </c>
      <c r="P228" s="3">
        <v>62</v>
      </c>
      <c r="Q228" s="3">
        <v>167</v>
      </c>
      <c r="R228" s="3">
        <v>45</v>
      </c>
      <c r="S228" s="3">
        <v>65</v>
      </c>
      <c r="T228" s="3">
        <v>98</v>
      </c>
      <c r="U228" s="3">
        <v>210</v>
      </c>
      <c r="V228" s="3">
        <v>308</v>
      </c>
      <c r="W228" s="3">
        <v>56</v>
      </c>
      <c r="X228" s="3">
        <v>59</v>
      </c>
      <c r="Y228" s="3">
        <v>35</v>
      </c>
      <c r="Z228" s="3">
        <v>48</v>
      </c>
      <c r="AA228" s="3">
        <v>99</v>
      </c>
      <c r="AB228" s="3">
        <v>461</v>
      </c>
      <c r="AC228" s="3">
        <v>0.499</v>
      </c>
      <c r="AD228" s="3">
        <v>0.61199999999999999</v>
      </c>
      <c r="AE228" s="3">
        <v>0.371</v>
      </c>
      <c r="AF228" s="3">
        <v>0.69199999999999995</v>
      </c>
      <c r="AG228" s="3">
        <v>0.60099999999999998</v>
      </c>
      <c r="AH228" s="3">
        <v>0.58599999999999997</v>
      </c>
      <c r="AI228" s="3" t="s">
        <v>506</v>
      </c>
    </row>
    <row r="229" spans="1:35" ht="30">
      <c r="B229" s="3" t="s">
        <v>572</v>
      </c>
      <c r="C229" s="3">
        <v>2.2000000000000002</v>
      </c>
      <c r="D229" s="3">
        <v>1106</v>
      </c>
      <c r="E229" s="3" t="s">
        <v>1904</v>
      </c>
      <c r="F229" s="3">
        <v>24</v>
      </c>
      <c r="G229" s="3" t="s">
        <v>69</v>
      </c>
      <c r="H229" s="3">
        <v>62</v>
      </c>
      <c r="I229" s="3">
        <v>7</v>
      </c>
      <c r="J229" s="3">
        <v>0</v>
      </c>
      <c r="K229" s="3">
        <v>1106</v>
      </c>
      <c r="L229" s="3">
        <v>158</v>
      </c>
      <c r="M229" s="3">
        <v>353</v>
      </c>
      <c r="N229" s="3">
        <v>120</v>
      </c>
      <c r="O229" s="3">
        <v>235</v>
      </c>
      <c r="P229" s="3">
        <v>38</v>
      </c>
      <c r="Q229" s="3">
        <v>118</v>
      </c>
      <c r="R229" s="3">
        <v>53</v>
      </c>
      <c r="S229" s="3">
        <v>69</v>
      </c>
      <c r="T229" s="3">
        <v>57</v>
      </c>
      <c r="U229" s="3">
        <v>148</v>
      </c>
      <c r="V229" s="3">
        <v>205</v>
      </c>
      <c r="W229" s="3">
        <v>168</v>
      </c>
      <c r="X229" s="3">
        <v>58</v>
      </c>
      <c r="Y229" s="3">
        <v>26</v>
      </c>
      <c r="Z229" s="3">
        <v>57</v>
      </c>
      <c r="AA229" s="3">
        <v>95</v>
      </c>
      <c r="AB229" s="3">
        <v>407</v>
      </c>
      <c r="AC229" s="3">
        <v>0.44800000000000001</v>
      </c>
      <c r="AD229" s="3">
        <v>0.51100000000000001</v>
      </c>
      <c r="AE229" s="3">
        <v>0.32200000000000001</v>
      </c>
      <c r="AF229" s="3">
        <v>0.76800000000000002</v>
      </c>
      <c r="AG229" s="3">
        <v>0.53100000000000003</v>
      </c>
      <c r="AH229" s="3">
        <v>0.501</v>
      </c>
      <c r="AI229" s="3" t="s">
        <v>6</v>
      </c>
    </row>
    <row r="230" spans="1:35">
      <c r="B230" s="3" t="s">
        <v>573</v>
      </c>
      <c r="C230" s="3">
        <v>2.1</v>
      </c>
      <c r="D230" s="3">
        <v>834</v>
      </c>
      <c r="E230" s="3" t="s">
        <v>1901</v>
      </c>
      <c r="F230" s="3">
        <v>23</v>
      </c>
      <c r="G230" s="3" t="s">
        <v>44</v>
      </c>
      <c r="H230" s="3">
        <v>54</v>
      </c>
      <c r="I230" s="3">
        <v>1</v>
      </c>
      <c r="J230" s="3">
        <v>0</v>
      </c>
      <c r="K230" s="3">
        <v>834</v>
      </c>
      <c r="L230" s="3">
        <v>131</v>
      </c>
      <c r="M230" s="3">
        <v>294</v>
      </c>
      <c r="N230" s="3">
        <v>99</v>
      </c>
      <c r="O230" s="3">
        <v>184</v>
      </c>
      <c r="P230" s="3">
        <v>32</v>
      </c>
      <c r="Q230" s="3">
        <v>110</v>
      </c>
      <c r="R230" s="3">
        <v>36</v>
      </c>
      <c r="S230" s="3">
        <v>53</v>
      </c>
      <c r="T230" s="3">
        <v>25</v>
      </c>
      <c r="U230" s="3">
        <v>75</v>
      </c>
      <c r="V230" s="3">
        <v>100</v>
      </c>
      <c r="W230" s="3">
        <v>152</v>
      </c>
      <c r="X230" s="3">
        <v>71</v>
      </c>
      <c r="Y230" s="3">
        <v>7</v>
      </c>
      <c r="Z230" s="3">
        <v>40</v>
      </c>
      <c r="AA230" s="3">
        <v>73</v>
      </c>
      <c r="AB230" s="3">
        <v>330</v>
      </c>
      <c r="AC230" s="3">
        <v>0.44600000000000001</v>
      </c>
      <c r="AD230" s="3">
        <v>0.53800000000000003</v>
      </c>
      <c r="AE230" s="3">
        <v>0.29099999999999998</v>
      </c>
      <c r="AF230" s="3">
        <v>0.67900000000000005</v>
      </c>
      <c r="AG230" s="3">
        <v>0.52</v>
      </c>
      <c r="AH230" s="3">
        <v>0.5</v>
      </c>
      <c r="AI230" s="3" t="s">
        <v>6</v>
      </c>
    </row>
    <row r="231" spans="1:35" ht="30">
      <c r="B231" s="3" t="s">
        <v>574</v>
      </c>
      <c r="C231" s="3">
        <v>2.1</v>
      </c>
      <c r="D231" s="3">
        <v>1182</v>
      </c>
      <c r="E231" s="3" t="s">
        <v>1904</v>
      </c>
      <c r="F231" s="3">
        <v>22</v>
      </c>
      <c r="G231" s="3" t="s">
        <v>124</v>
      </c>
      <c r="H231" s="3">
        <v>62</v>
      </c>
      <c r="I231" s="3">
        <v>12</v>
      </c>
      <c r="J231" s="3">
        <v>0</v>
      </c>
      <c r="K231" s="3">
        <v>1182</v>
      </c>
      <c r="L231" s="3">
        <v>181</v>
      </c>
      <c r="M231" s="3">
        <v>323</v>
      </c>
      <c r="N231" s="3">
        <v>156</v>
      </c>
      <c r="O231" s="3">
        <v>259</v>
      </c>
      <c r="P231" s="3">
        <v>25</v>
      </c>
      <c r="Q231" s="3">
        <v>64</v>
      </c>
      <c r="R231" s="3">
        <v>72</v>
      </c>
      <c r="S231" s="3">
        <v>100</v>
      </c>
      <c r="T231" s="3">
        <v>42</v>
      </c>
      <c r="U231" s="3">
        <v>196</v>
      </c>
      <c r="V231" s="3">
        <v>238</v>
      </c>
      <c r="W231" s="3">
        <v>130</v>
      </c>
      <c r="X231" s="3">
        <v>32</v>
      </c>
      <c r="Y231" s="3">
        <v>12</v>
      </c>
      <c r="Z231" s="3">
        <v>71</v>
      </c>
      <c r="AA231" s="3">
        <v>118</v>
      </c>
      <c r="AB231" s="3">
        <v>459</v>
      </c>
      <c r="AC231" s="3">
        <v>0.56000000000000005</v>
      </c>
      <c r="AD231" s="3">
        <v>0.60199999999999998</v>
      </c>
      <c r="AE231" s="3">
        <v>0.39100000000000001</v>
      </c>
      <c r="AF231" s="3">
        <v>0.72</v>
      </c>
      <c r="AG231" s="3">
        <v>0.625</v>
      </c>
      <c r="AH231" s="3">
        <v>0.59899999999999998</v>
      </c>
      <c r="AI231" s="3" t="s">
        <v>506</v>
      </c>
    </row>
    <row r="232" spans="1:35">
      <c r="B232" s="3" t="s">
        <v>575</v>
      </c>
      <c r="C232" s="3">
        <v>1.7</v>
      </c>
      <c r="D232" s="3">
        <v>915</v>
      </c>
      <c r="E232" s="3" t="s">
        <v>1904</v>
      </c>
      <c r="F232" s="3">
        <v>28</v>
      </c>
      <c r="G232" s="3" t="s">
        <v>323</v>
      </c>
      <c r="H232" s="3">
        <v>60</v>
      </c>
      <c r="I232" s="3">
        <v>2</v>
      </c>
      <c r="J232" s="3">
        <v>0</v>
      </c>
      <c r="K232" s="3">
        <v>915</v>
      </c>
      <c r="L232" s="3">
        <v>84</v>
      </c>
      <c r="M232" s="3">
        <v>227</v>
      </c>
      <c r="N232" s="3">
        <v>27</v>
      </c>
      <c r="O232" s="3">
        <v>54</v>
      </c>
      <c r="P232" s="3">
        <v>57</v>
      </c>
      <c r="Q232" s="3">
        <v>173</v>
      </c>
      <c r="R232" s="3">
        <v>26</v>
      </c>
      <c r="S232" s="3">
        <v>31</v>
      </c>
      <c r="T232" s="3">
        <v>45</v>
      </c>
      <c r="U232" s="3">
        <v>94</v>
      </c>
      <c r="V232" s="3">
        <v>139</v>
      </c>
      <c r="W232" s="3">
        <v>53</v>
      </c>
      <c r="X232" s="3">
        <v>38</v>
      </c>
      <c r="Y232" s="3">
        <v>22</v>
      </c>
      <c r="Z232" s="3">
        <v>22</v>
      </c>
      <c r="AA232" s="3">
        <v>117</v>
      </c>
      <c r="AB232" s="3">
        <v>251</v>
      </c>
      <c r="AC232" s="3">
        <v>0.37</v>
      </c>
      <c r="AD232" s="3">
        <v>0.5</v>
      </c>
      <c r="AE232" s="3">
        <v>0.32900000000000001</v>
      </c>
      <c r="AF232" s="3">
        <v>0.83899999999999997</v>
      </c>
      <c r="AG232" s="3">
        <v>0.52200000000000002</v>
      </c>
      <c r="AH232" s="3">
        <v>0.496</v>
      </c>
      <c r="AI232" s="3" t="s">
        <v>506</v>
      </c>
    </row>
    <row r="233" spans="1:35" ht="30">
      <c r="B233" s="3" t="s">
        <v>576</v>
      </c>
      <c r="C233" s="3">
        <v>0</v>
      </c>
      <c r="D233" s="3">
        <v>968</v>
      </c>
      <c r="E233" s="3" t="s">
        <v>1901</v>
      </c>
      <c r="F233" s="3">
        <v>21</v>
      </c>
      <c r="G233" s="3" t="s">
        <v>41</v>
      </c>
      <c r="H233" s="3">
        <v>48</v>
      </c>
      <c r="I233" s="3">
        <v>7</v>
      </c>
      <c r="J233" s="3">
        <v>0</v>
      </c>
      <c r="K233" s="3">
        <v>968</v>
      </c>
      <c r="L233" s="3">
        <v>173</v>
      </c>
      <c r="M233" s="3">
        <v>427</v>
      </c>
      <c r="N233" s="3">
        <v>92</v>
      </c>
      <c r="O233" s="3">
        <v>212</v>
      </c>
      <c r="P233" s="3">
        <v>81</v>
      </c>
      <c r="Q233" s="3">
        <v>215</v>
      </c>
      <c r="R233" s="3">
        <v>46</v>
      </c>
      <c r="S233" s="3">
        <v>61</v>
      </c>
      <c r="T233" s="3">
        <v>4</v>
      </c>
      <c r="U233" s="3">
        <v>79</v>
      </c>
      <c r="V233" s="3">
        <v>83</v>
      </c>
      <c r="W233" s="3">
        <v>85</v>
      </c>
      <c r="X233" s="3">
        <v>26</v>
      </c>
      <c r="Y233" s="3">
        <v>3</v>
      </c>
      <c r="Z233" s="3">
        <v>57</v>
      </c>
      <c r="AA233" s="3">
        <v>66</v>
      </c>
      <c r="AB233" s="3">
        <v>473</v>
      </c>
      <c r="AC233" s="3">
        <v>0.40500000000000003</v>
      </c>
      <c r="AD233" s="3">
        <v>0.434</v>
      </c>
      <c r="AE233" s="3">
        <v>0.377</v>
      </c>
      <c r="AF233" s="3">
        <v>0.754</v>
      </c>
      <c r="AG233" s="3">
        <v>0.52100000000000002</v>
      </c>
      <c r="AH233" s="3">
        <v>0.5</v>
      </c>
      <c r="AI233" s="3" t="s">
        <v>6</v>
      </c>
    </row>
    <row r="234" spans="1:35">
      <c r="B234" s="3" t="s">
        <v>577</v>
      </c>
      <c r="C234" s="3">
        <v>-1.2</v>
      </c>
      <c r="D234" s="3">
        <v>914</v>
      </c>
      <c r="E234" s="3" t="s">
        <v>1904</v>
      </c>
      <c r="F234" s="3">
        <v>20</v>
      </c>
      <c r="G234" s="3" t="s">
        <v>52</v>
      </c>
      <c r="H234" s="3">
        <v>57</v>
      </c>
      <c r="I234" s="3">
        <v>7</v>
      </c>
      <c r="J234" s="3">
        <v>0</v>
      </c>
      <c r="K234" s="3">
        <v>914</v>
      </c>
      <c r="L234" s="3">
        <v>81</v>
      </c>
      <c r="M234" s="3">
        <v>237</v>
      </c>
      <c r="N234" s="3">
        <v>41</v>
      </c>
      <c r="O234" s="3">
        <v>97</v>
      </c>
      <c r="P234" s="3">
        <v>40</v>
      </c>
      <c r="Q234" s="3">
        <v>140</v>
      </c>
      <c r="R234" s="3">
        <v>24</v>
      </c>
      <c r="S234" s="3">
        <v>36</v>
      </c>
      <c r="T234" s="3">
        <v>18</v>
      </c>
      <c r="U234" s="3">
        <v>80</v>
      </c>
      <c r="V234" s="3">
        <v>98</v>
      </c>
      <c r="W234" s="3">
        <v>132</v>
      </c>
      <c r="X234" s="3">
        <v>31</v>
      </c>
      <c r="Y234" s="3">
        <v>7</v>
      </c>
      <c r="Z234" s="3">
        <v>86</v>
      </c>
      <c r="AA234" s="3">
        <v>59</v>
      </c>
      <c r="AB234" s="3">
        <v>226</v>
      </c>
      <c r="AC234" s="3">
        <v>0.34200000000000003</v>
      </c>
      <c r="AD234" s="3">
        <v>0.42299999999999999</v>
      </c>
      <c r="AE234" s="3">
        <v>0.28599999999999998</v>
      </c>
      <c r="AF234" s="3">
        <v>0.66700000000000004</v>
      </c>
      <c r="AG234" s="3">
        <v>0.44700000000000001</v>
      </c>
      <c r="AH234" s="3">
        <v>0.42599999999999999</v>
      </c>
      <c r="AI234" s="3" t="s">
        <v>6</v>
      </c>
    </row>
    <row r="236" spans="1:35" ht="30">
      <c r="A236" s="1" t="s">
        <v>1910</v>
      </c>
    </row>
    <row r="237" spans="1:35">
      <c r="B237" s="1" t="s">
        <v>3</v>
      </c>
      <c r="C237" s="1" t="s">
        <v>14</v>
      </c>
      <c r="D237" s="1" t="s">
        <v>7</v>
      </c>
      <c r="E237" s="1" t="s">
        <v>1824</v>
      </c>
      <c r="F237" s="1" t="s">
        <v>1825</v>
      </c>
      <c r="G237" s="1" t="s">
        <v>499</v>
      </c>
      <c r="H237" s="1" t="s">
        <v>6</v>
      </c>
      <c r="I237" s="1" t="s">
        <v>1826</v>
      </c>
      <c r="J237" s="1" t="s">
        <v>1827</v>
      </c>
      <c r="K237" s="1" t="s">
        <v>7</v>
      </c>
      <c r="L237" s="1" t="s">
        <v>1828</v>
      </c>
      <c r="M237" s="1" t="s">
        <v>1829</v>
      </c>
      <c r="N237" s="1" t="s">
        <v>1830</v>
      </c>
      <c r="O237" s="1" t="s">
        <v>1831</v>
      </c>
      <c r="P237" s="1" t="s">
        <v>1832</v>
      </c>
      <c r="Q237" s="1" t="s">
        <v>1833</v>
      </c>
      <c r="R237" s="1" t="s">
        <v>1834</v>
      </c>
      <c r="S237" s="1" t="s">
        <v>1835</v>
      </c>
      <c r="T237" s="1" t="s">
        <v>1836</v>
      </c>
      <c r="U237" s="1" t="s">
        <v>1837</v>
      </c>
      <c r="V237" s="1" t="s">
        <v>9</v>
      </c>
      <c r="W237" s="1" t="s">
        <v>10</v>
      </c>
      <c r="X237" s="1" t="s">
        <v>1838</v>
      </c>
      <c r="Y237" s="1" t="s">
        <v>1839</v>
      </c>
      <c r="Z237" s="1" t="s">
        <v>1840</v>
      </c>
      <c r="AA237" s="1" t="s">
        <v>1841</v>
      </c>
      <c r="AB237" s="1" t="s">
        <v>8</v>
      </c>
      <c r="AC237" s="1" t="s">
        <v>11</v>
      </c>
      <c r="AD237" s="1" t="s">
        <v>1842</v>
      </c>
      <c r="AE237" s="1" t="s">
        <v>12</v>
      </c>
      <c r="AF237" s="1" t="s">
        <v>13</v>
      </c>
      <c r="AG237" s="1" t="s">
        <v>1843</v>
      </c>
      <c r="AH237" s="1" t="s">
        <v>1844</v>
      </c>
      <c r="AI237" s="1" t="s">
        <v>500</v>
      </c>
    </row>
    <row r="238" spans="1:35">
      <c r="B238" s="3" t="s">
        <v>504</v>
      </c>
      <c r="C238" s="3">
        <v>4.5999999999999996</v>
      </c>
      <c r="D238" s="3">
        <v>1818</v>
      </c>
      <c r="E238" s="3" t="s">
        <v>228</v>
      </c>
      <c r="F238" s="3">
        <v>25</v>
      </c>
      <c r="G238" s="3" t="s">
        <v>36</v>
      </c>
      <c r="H238" s="3">
        <v>76</v>
      </c>
      <c r="I238" s="3">
        <v>24</v>
      </c>
      <c r="J238" s="3">
        <v>0</v>
      </c>
      <c r="K238" s="3">
        <v>1818</v>
      </c>
      <c r="L238" s="3">
        <v>214</v>
      </c>
      <c r="M238" s="3">
        <v>440</v>
      </c>
      <c r="N238" s="3">
        <v>83</v>
      </c>
      <c r="O238" s="3">
        <v>138</v>
      </c>
      <c r="P238" s="3">
        <v>131</v>
      </c>
      <c r="Q238" s="3">
        <v>302</v>
      </c>
      <c r="R238" s="3">
        <v>71</v>
      </c>
      <c r="S238" s="3">
        <v>84</v>
      </c>
      <c r="T238" s="3">
        <v>57</v>
      </c>
      <c r="U238" s="3">
        <v>140</v>
      </c>
      <c r="V238" s="3">
        <v>197</v>
      </c>
      <c r="W238" s="3">
        <v>114</v>
      </c>
      <c r="X238" s="3">
        <v>116</v>
      </c>
      <c r="Y238" s="3">
        <v>58</v>
      </c>
      <c r="Z238" s="3">
        <v>68</v>
      </c>
      <c r="AA238" s="3">
        <v>165</v>
      </c>
      <c r="AB238" s="3">
        <v>630</v>
      </c>
      <c r="AC238" s="3">
        <v>0.48599999999999999</v>
      </c>
      <c r="AD238" s="3">
        <v>0.60099999999999998</v>
      </c>
      <c r="AE238" s="3">
        <v>0.434</v>
      </c>
      <c r="AF238" s="3">
        <v>0.84499999999999997</v>
      </c>
      <c r="AG238" s="3">
        <v>0.66</v>
      </c>
      <c r="AH238" s="3">
        <v>0.63500000000000001</v>
      </c>
      <c r="AI238" s="3" t="s">
        <v>6</v>
      </c>
    </row>
    <row r="239" spans="1:35" ht="30">
      <c r="B239" s="3" t="s">
        <v>502</v>
      </c>
      <c r="C239" s="3">
        <v>4.4000000000000004</v>
      </c>
      <c r="D239" s="3">
        <v>1596</v>
      </c>
      <c r="E239" s="3" t="s">
        <v>228</v>
      </c>
      <c r="F239" s="3">
        <v>24</v>
      </c>
      <c r="G239" s="3" t="s">
        <v>152</v>
      </c>
      <c r="H239" s="3">
        <v>76</v>
      </c>
      <c r="I239" s="3">
        <v>21</v>
      </c>
      <c r="J239" s="3">
        <v>0</v>
      </c>
      <c r="K239" s="3">
        <v>1596</v>
      </c>
      <c r="L239" s="3">
        <v>273</v>
      </c>
      <c r="M239" s="3">
        <v>567</v>
      </c>
      <c r="N239" s="3">
        <v>190</v>
      </c>
      <c r="O239" s="3">
        <v>356</v>
      </c>
      <c r="P239" s="3">
        <v>83</v>
      </c>
      <c r="Q239" s="3">
        <v>211</v>
      </c>
      <c r="R239" s="3">
        <v>113</v>
      </c>
      <c r="S239" s="3">
        <v>157</v>
      </c>
      <c r="T239" s="3">
        <v>61</v>
      </c>
      <c r="U239" s="3">
        <v>193</v>
      </c>
      <c r="V239" s="3">
        <v>254</v>
      </c>
      <c r="W239" s="3">
        <v>334</v>
      </c>
      <c r="X239" s="3">
        <v>101</v>
      </c>
      <c r="Y239" s="3">
        <v>29</v>
      </c>
      <c r="Z239" s="3">
        <v>135</v>
      </c>
      <c r="AA239" s="3">
        <v>194</v>
      </c>
      <c r="AB239" s="3">
        <v>742</v>
      </c>
      <c r="AC239" s="3">
        <v>0.48099999999999998</v>
      </c>
      <c r="AD239" s="3">
        <v>0.53400000000000003</v>
      </c>
      <c r="AE239" s="3">
        <v>0.39300000000000002</v>
      </c>
      <c r="AF239" s="3">
        <v>0.72</v>
      </c>
      <c r="AG239" s="3">
        <v>0.58299999999999996</v>
      </c>
      <c r="AH239" s="3">
        <v>0.55500000000000005</v>
      </c>
      <c r="AI239" s="3" t="s">
        <v>6</v>
      </c>
    </row>
    <row r="240" spans="1:35">
      <c r="B240" s="3" t="s">
        <v>503</v>
      </c>
      <c r="C240" s="3">
        <v>2.6</v>
      </c>
      <c r="D240" s="3">
        <v>1573</v>
      </c>
      <c r="E240" s="3" t="s">
        <v>228</v>
      </c>
      <c r="F240" s="3">
        <v>25</v>
      </c>
      <c r="G240" s="3" t="s">
        <v>57</v>
      </c>
      <c r="H240" s="3">
        <v>69</v>
      </c>
      <c r="I240" s="3">
        <v>6</v>
      </c>
      <c r="J240" s="3">
        <v>0</v>
      </c>
      <c r="K240" s="3">
        <v>1573</v>
      </c>
      <c r="L240" s="3">
        <v>173</v>
      </c>
      <c r="M240" s="3">
        <v>404</v>
      </c>
      <c r="N240" s="3">
        <v>27</v>
      </c>
      <c r="O240" s="3">
        <v>60</v>
      </c>
      <c r="P240" s="3">
        <v>146</v>
      </c>
      <c r="Q240" s="3">
        <v>344</v>
      </c>
      <c r="R240" s="3">
        <v>22</v>
      </c>
      <c r="S240" s="3">
        <v>27</v>
      </c>
      <c r="T240" s="3">
        <v>17</v>
      </c>
      <c r="U240" s="3">
        <v>141</v>
      </c>
      <c r="V240" s="3">
        <v>158</v>
      </c>
      <c r="W240" s="3">
        <v>100</v>
      </c>
      <c r="X240" s="3">
        <v>36</v>
      </c>
      <c r="Y240" s="3">
        <v>6</v>
      </c>
      <c r="Z240" s="3">
        <v>38</v>
      </c>
      <c r="AA240" s="3">
        <v>151</v>
      </c>
      <c r="AB240" s="3">
        <v>514</v>
      </c>
      <c r="AC240" s="3">
        <v>0.42799999999999999</v>
      </c>
      <c r="AD240" s="3">
        <v>0.45</v>
      </c>
      <c r="AE240" s="3">
        <v>0.42399999999999999</v>
      </c>
      <c r="AF240" s="3">
        <v>0.81499999999999995</v>
      </c>
      <c r="AG240" s="3">
        <v>0.61799999999999999</v>
      </c>
      <c r="AH240" s="3">
        <v>0.60899999999999999</v>
      </c>
      <c r="AI240" s="3" t="s">
        <v>6</v>
      </c>
    </row>
    <row r="241" spans="1:35">
      <c r="B241" s="3" t="s">
        <v>504</v>
      </c>
      <c r="C241" s="3">
        <v>2.2999999999999998</v>
      </c>
      <c r="D241" s="3">
        <v>978</v>
      </c>
      <c r="E241" s="3" t="s">
        <v>1900</v>
      </c>
      <c r="F241" s="3">
        <v>24</v>
      </c>
      <c r="G241" s="3" t="s">
        <v>36</v>
      </c>
      <c r="H241" s="3">
        <v>57</v>
      </c>
      <c r="I241" s="3">
        <v>21</v>
      </c>
      <c r="J241" s="3">
        <v>0</v>
      </c>
      <c r="K241" s="3">
        <v>978</v>
      </c>
      <c r="L241" s="3">
        <v>107</v>
      </c>
      <c r="M241" s="3">
        <v>232</v>
      </c>
      <c r="N241" s="3">
        <v>37</v>
      </c>
      <c r="O241" s="3">
        <v>64</v>
      </c>
      <c r="P241" s="3">
        <v>70</v>
      </c>
      <c r="Q241" s="3">
        <v>168</v>
      </c>
      <c r="R241" s="3">
        <v>26</v>
      </c>
      <c r="S241" s="3">
        <v>35</v>
      </c>
      <c r="T241" s="3">
        <v>32</v>
      </c>
      <c r="U241" s="3">
        <v>92</v>
      </c>
      <c r="V241" s="3">
        <v>124</v>
      </c>
      <c r="W241" s="3">
        <v>85</v>
      </c>
      <c r="X241" s="3">
        <v>51</v>
      </c>
      <c r="Y241" s="3">
        <v>29</v>
      </c>
      <c r="Z241" s="3">
        <v>37</v>
      </c>
      <c r="AA241" s="3">
        <v>112</v>
      </c>
      <c r="AB241" s="3">
        <v>310</v>
      </c>
      <c r="AC241" s="3">
        <v>0.46100000000000002</v>
      </c>
      <c r="AD241" s="3">
        <v>0.57799999999999996</v>
      </c>
      <c r="AE241" s="3">
        <v>0.41699999999999998</v>
      </c>
      <c r="AF241" s="3">
        <v>0.74299999999999999</v>
      </c>
      <c r="AG241" s="3">
        <v>0.627</v>
      </c>
      <c r="AH241" s="3">
        <v>0.61199999999999999</v>
      </c>
      <c r="AI241" s="3" t="s">
        <v>6</v>
      </c>
    </row>
    <row r="242" spans="1:35" ht="30">
      <c r="B242" s="3" t="s">
        <v>505</v>
      </c>
      <c r="C242" s="3">
        <v>2.2999999999999998</v>
      </c>
      <c r="D242" s="3">
        <v>1817</v>
      </c>
      <c r="E242" s="3" t="s">
        <v>228</v>
      </c>
      <c r="F242" s="3">
        <v>23</v>
      </c>
      <c r="G242" s="3" t="s">
        <v>79</v>
      </c>
      <c r="H242" s="3">
        <v>78</v>
      </c>
      <c r="I242" s="3">
        <v>27</v>
      </c>
      <c r="J242" s="3">
        <v>0</v>
      </c>
      <c r="K242" s="3">
        <v>1817</v>
      </c>
      <c r="L242" s="3">
        <v>257</v>
      </c>
      <c r="M242" s="3">
        <v>622</v>
      </c>
      <c r="N242" s="3">
        <v>94</v>
      </c>
      <c r="O242" s="3">
        <v>171</v>
      </c>
      <c r="P242" s="3">
        <v>163</v>
      </c>
      <c r="Q242" s="3">
        <v>451</v>
      </c>
      <c r="R242" s="3">
        <v>81</v>
      </c>
      <c r="S242" s="3">
        <v>90</v>
      </c>
      <c r="T242" s="3">
        <v>66</v>
      </c>
      <c r="U242" s="3">
        <v>234</v>
      </c>
      <c r="V242" s="3">
        <v>300</v>
      </c>
      <c r="W242" s="3">
        <v>104</v>
      </c>
      <c r="X242" s="3">
        <v>60</v>
      </c>
      <c r="Y242" s="3">
        <v>32</v>
      </c>
      <c r="Z242" s="3">
        <v>71</v>
      </c>
      <c r="AA242" s="3">
        <v>109</v>
      </c>
      <c r="AB242" s="3">
        <v>758</v>
      </c>
      <c r="AC242" s="3">
        <v>0.41299999999999998</v>
      </c>
      <c r="AD242" s="3">
        <v>0.55000000000000004</v>
      </c>
      <c r="AE242" s="3">
        <v>0.36099999999999999</v>
      </c>
      <c r="AF242" s="3">
        <v>0.9</v>
      </c>
      <c r="AG242" s="3">
        <v>0.57299999999999995</v>
      </c>
      <c r="AH242" s="3">
        <v>0.54400000000000004</v>
      </c>
      <c r="AI242" s="3" t="s">
        <v>506</v>
      </c>
    </row>
    <row r="243" spans="1:35" ht="30">
      <c r="B243" s="3" t="s">
        <v>508</v>
      </c>
      <c r="C243" s="3">
        <v>2.1</v>
      </c>
      <c r="D243" s="3">
        <v>1644</v>
      </c>
      <c r="E243" s="3" t="s">
        <v>1900</v>
      </c>
      <c r="F243" s="3">
        <v>28</v>
      </c>
      <c r="G243" s="3" t="s">
        <v>507</v>
      </c>
      <c r="H243" s="3">
        <v>66</v>
      </c>
      <c r="I243" s="3">
        <v>43</v>
      </c>
      <c r="J243" s="3">
        <v>0</v>
      </c>
      <c r="K243" s="3">
        <v>1644</v>
      </c>
      <c r="L243" s="3">
        <v>252</v>
      </c>
      <c r="M243" s="3">
        <v>548</v>
      </c>
      <c r="N243" s="3">
        <v>118</v>
      </c>
      <c r="O243" s="3">
        <v>214</v>
      </c>
      <c r="P243" s="3">
        <v>134</v>
      </c>
      <c r="Q243" s="3">
        <v>334</v>
      </c>
      <c r="R243" s="3">
        <v>54</v>
      </c>
      <c r="S243" s="3">
        <v>66</v>
      </c>
      <c r="T243" s="3">
        <v>64</v>
      </c>
      <c r="U243" s="3">
        <v>182</v>
      </c>
      <c r="V243" s="3">
        <v>246</v>
      </c>
      <c r="W243" s="3">
        <v>101</v>
      </c>
      <c r="X243" s="3">
        <v>44</v>
      </c>
      <c r="Y243" s="3">
        <v>23</v>
      </c>
      <c r="Z243" s="3">
        <v>68</v>
      </c>
      <c r="AA243" s="3">
        <v>110</v>
      </c>
      <c r="AB243" s="3">
        <v>692</v>
      </c>
      <c r="AC243" s="3">
        <v>0.46</v>
      </c>
      <c r="AD243" s="3">
        <v>0.55100000000000005</v>
      </c>
      <c r="AE243" s="3">
        <v>0.40100000000000002</v>
      </c>
      <c r="AF243" s="3">
        <v>0.81799999999999995</v>
      </c>
      <c r="AG243" s="3">
        <v>0.6</v>
      </c>
      <c r="AH243" s="3">
        <v>0.58199999999999996</v>
      </c>
      <c r="AI243" s="3" t="s">
        <v>506</v>
      </c>
    </row>
    <row r="244" spans="1:35" ht="30">
      <c r="B244" s="3" t="s">
        <v>505</v>
      </c>
      <c r="C244" s="3">
        <v>1.8</v>
      </c>
      <c r="D244" s="3">
        <v>1468</v>
      </c>
      <c r="E244" s="3" t="s">
        <v>1900</v>
      </c>
      <c r="F244" s="3">
        <v>22</v>
      </c>
      <c r="G244" s="3" t="s">
        <v>79</v>
      </c>
      <c r="H244" s="3">
        <v>74</v>
      </c>
      <c r="I244" s="3">
        <v>59</v>
      </c>
      <c r="J244" s="3">
        <v>0</v>
      </c>
      <c r="K244" s="3">
        <v>1468</v>
      </c>
      <c r="L244" s="3">
        <v>164</v>
      </c>
      <c r="M244" s="3">
        <v>402</v>
      </c>
      <c r="N244" s="3">
        <v>63</v>
      </c>
      <c r="O244" s="3">
        <v>125</v>
      </c>
      <c r="P244" s="3">
        <v>101</v>
      </c>
      <c r="Q244" s="3">
        <v>277</v>
      </c>
      <c r="R244" s="3">
        <v>75</v>
      </c>
      <c r="S244" s="3">
        <v>92</v>
      </c>
      <c r="T244" s="3">
        <v>42</v>
      </c>
      <c r="U244" s="3">
        <v>164</v>
      </c>
      <c r="V244" s="3">
        <v>206</v>
      </c>
      <c r="W244" s="3">
        <v>103</v>
      </c>
      <c r="X244" s="3">
        <v>48</v>
      </c>
      <c r="Y244" s="3">
        <v>42</v>
      </c>
      <c r="Z244" s="3">
        <v>57</v>
      </c>
      <c r="AA244" s="3">
        <v>77</v>
      </c>
      <c r="AB244" s="3">
        <v>504</v>
      </c>
      <c r="AC244" s="3">
        <v>0.40799999999999997</v>
      </c>
      <c r="AD244" s="3">
        <v>0.504</v>
      </c>
      <c r="AE244" s="3">
        <v>0.36499999999999999</v>
      </c>
      <c r="AF244" s="3">
        <v>0.81499999999999995</v>
      </c>
      <c r="AG244" s="3">
        <v>0.56999999999999995</v>
      </c>
      <c r="AH244" s="3">
        <v>0.53400000000000003</v>
      </c>
      <c r="AI244" s="3" t="s">
        <v>506</v>
      </c>
    </row>
    <row r="245" spans="1:35" ht="30">
      <c r="B245" s="3" t="s">
        <v>508</v>
      </c>
      <c r="C245" s="3">
        <v>1.6</v>
      </c>
      <c r="D245" s="3">
        <v>1198</v>
      </c>
      <c r="E245" s="3" t="s">
        <v>228</v>
      </c>
      <c r="F245" s="3">
        <v>29</v>
      </c>
      <c r="G245" s="3" t="s">
        <v>34</v>
      </c>
      <c r="H245" s="3">
        <v>71</v>
      </c>
      <c r="I245" s="3">
        <v>0</v>
      </c>
      <c r="J245" s="3">
        <v>0</v>
      </c>
      <c r="K245" s="3">
        <v>1198</v>
      </c>
      <c r="L245" s="3">
        <v>143</v>
      </c>
      <c r="M245" s="3">
        <v>359</v>
      </c>
      <c r="N245" s="3">
        <v>72</v>
      </c>
      <c r="O245" s="3">
        <v>143</v>
      </c>
      <c r="P245" s="3">
        <v>71</v>
      </c>
      <c r="Q245" s="3">
        <v>216</v>
      </c>
      <c r="R245" s="3">
        <v>69</v>
      </c>
      <c r="S245" s="3">
        <v>83</v>
      </c>
      <c r="T245" s="3">
        <v>48</v>
      </c>
      <c r="U245" s="3">
        <v>160</v>
      </c>
      <c r="V245" s="3">
        <v>208</v>
      </c>
      <c r="W245" s="3">
        <v>63</v>
      </c>
      <c r="X245" s="3">
        <v>30</v>
      </c>
      <c r="Y245" s="3">
        <v>12</v>
      </c>
      <c r="Z245" s="3">
        <v>49</v>
      </c>
      <c r="AA245" s="3">
        <v>94</v>
      </c>
      <c r="AB245" s="3">
        <v>426</v>
      </c>
      <c r="AC245" s="3">
        <v>0.39800000000000002</v>
      </c>
      <c r="AD245" s="3">
        <v>0.503</v>
      </c>
      <c r="AE245" s="3">
        <v>0.32900000000000001</v>
      </c>
      <c r="AF245" s="3">
        <v>0.83099999999999996</v>
      </c>
      <c r="AG245" s="3">
        <v>0.53900000000000003</v>
      </c>
      <c r="AH245" s="3">
        <v>0.497</v>
      </c>
      <c r="AI245" s="3" t="s">
        <v>506</v>
      </c>
    </row>
    <row r="246" spans="1:35">
      <c r="B246" s="3" t="s">
        <v>509</v>
      </c>
      <c r="C246" s="3">
        <v>1.4</v>
      </c>
      <c r="D246" s="3">
        <v>1178</v>
      </c>
      <c r="E246" s="3" t="s">
        <v>228</v>
      </c>
      <c r="F246" s="3">
        <v>23</v>
      </c>
      <c r="G246" s="3" t="s">
        <v>193</v>
      </c>
      <c r="H246" s="3">
        <v>61</v>
      </c>
      <c r="I246" s="3">
        <v>15</v>
      </c>
      <c r="J246" s="3">
        <v>0</v>
      </c>
      <c r="K246" s="3">
        <v>1178</v>
      </c>
      <c r="L246" s="3">
        <v>188</v>
      </c>
      <c r="M246" s="3">
        <v>441</v>
      </c>
      <c r="N246" s="3">
        <v>79</v>
      </c>
      <c r="O246" s="3">
        <v>147</v>
      </c>
      <c r="P246" s="3">
        <v>109</v>
      </c>
      <c r="Q246" s="3">
        <v>294</v>
      </c>
      <c r="R246" s="3">
        <v>41</v>
      </c>
      <c r="S246" s="3">
        <v>49</v>
      </c>
      <c r="T246" s="3">
        <v>40</v>
      </c>
      <c r="U246" s="3">
        <v>131</v>
      </c>
      <c r="V246" s="3">
        <v>171</v>
      </c>
      <c r="W246" s="3">
        <v>63</v>
      </c>
      <c r="X246" s="3">
        <v>34</v>
      </c>
      <c r="Y246" s="3">
        <v>7</v>
      </c>
      <c r="Z246" s="3">
        <v>32</v>
      </c>
      <c r="AA246" s="3">
        <v>118</v>
      </c>
      <c r="AB246" s="3">
        <v>526</v>
      </c>
      <c r="AC246" s="3">
        <v>0.42599999999999999</v>
      </c>
      <c r="AD246" s="3">
        <v>0.53700000000000003</v>
      </c>
      <c r="AE246" s="3">
        <v>0.371</v>
      </c>
      <c r="AF246" s="3">
        <v>0.83699999999999997</v>
      </c>
      <c r="AG246" s="3">
        <v>0.56899999999999995</v>
      </c>
      <c r="AH246" s="3">
        <v>0.55000000000000004</v>
      </c>
      <c r="AI246" s="3" t="s">
        <v>6</v>
      </c>
    </row>
    <row r="248" spans="1:35" ht="30">
      <c r="A248" s="1" t="s">
        <v>1911</v>
      </c>
    </row>
    <row r="249" spans="1:35">
      <c r="B249" s="1" t="s">
        <v>3</v>
      </c>
      <c r="C249" s="1" t="s">
        <v>14</v>
      </c>
      <c r="D249" s="1" t="s">
        <v>7</v>
      </c>
      <c r="E249" s="1" t="s">
        <v>1824</v>
      </c>
      <c r="F249" s="1" t="s">
        <v>1825</v>
      </c>
      <c r="G249" s="1" t="s">
        <v>499</v>
      </c>
      <c r="H249" s="1" t="s">
        <v>6</v>
      </c>
      <c r="I249" s="1" t="s">
        <v>1826</v>
      </c>
      <c r="J249" s="1" t="s">
        <v>1827</v>
      </c>
      <c r="K249" s="1" t="s">
        <v>7</v>
      </c>
      <c r="L249" s="1" t="s">
        <v>1828</v>
      </c>
      <c r="M249" s="1" t="s">
        <v>1829</v>
      </c>
      <c r="N249" s="1" t="s">
        <v>1830</v>
      </c>
      <c r="O249" s="1" t="s">
        <v>1831</v>
      </c>
      <c r="P249" s="1" t="s">
        <v>1832</v>
      </c>
      <c r="Q249" s="1" t="s">
        <v>1833</v>
      </c>
      <c r="R249" s="1" t="s">
        <v>1834</v>
      </c>
      <c r="S249" s="1" t="s">
        <v>1835</v>
      </c>
      <c r="T249" s="1" t="s">
        <v>1836</v>
      </c>
      <c r="U249" s="1" t="s">
        <v>1837</v>
      </c>
      <c r="V249" s="1" t="s">
        <v>9</v>
      </c>
      <c r="W249" s="1" t="s">
        <v>10</v>
      </c>
      <c r="X249" s="1" t="s">
        <v>1838</v>
      </c>
      <c r="Y249" s="1" t="s">
        <v>1839</v>
      </c>
      <c r="Z249" s="1" t="s">
        <v>1840</v>
      </c>
      <c r="AA249" s="1" t="s">
        <v>1841</v>
      </c>
      <c r="AB249" s="1" t="s">
        <v>8</v>
      </c>
      <c r="AC249" s="1" t="s">
        <v>11</v>
      </c>
      <c r="AD249" s="1" t="s">
        <v>1842</v>
      </c>
      <c r="AE249" s="1" t="s">
        <v>12</v>
      </c>
      <c r="AF249" s="1" t="s">
        <v>13</v>
      </c>
      <c r="AG249" s="1" t="s">
        <v>1843</v>
      </c>
      <c r="AH249" s="1" t="s">
        <v>1844</v>
      </c>
      <c r="AI249" s="1" t="s">
        <v>500</v>
      </c>
    </row>
    <row r="250" spans="1:35">
      <c r="B250" s="3" t="s">
        <v>1912</v>
      </c>
      <c r="C250" s="3">
        <v>2.4</v>
      </c>
      <c r="D250" s="3">
        <v>1214</v>
      </c>
      <c r="E250" s="3" t="s">
        <v>1900</v>
      </c>
      <c r="F250" s="3">
        <v>27</v>
      </c>
      <c r="G250" s="3" t="s">
        <v>124</v>
      </c>
      <c r="H250" s="3">
        <v>68</v>
      </c>
      <c r="I250" s="3">
        <v>20</v>
      </c>
      <c r="J250" s="3">
        <v>0</v>
      </c>
      <c r="K250" s="3">
        <v>1214</v>
      </c>
      <c r="L250" s="3">
        <v>230</v>
      </c>
      <c r="M250" s="3">
        <v>499</v>
      </c>
      <c r="N250" s="3">
        <v>142</v>
      </c>
      <c r="O250" s="3">
        <v>254</v>
      </c>
      <c r="P250" s="3">
        <v>88</v>
      </c>
      <c r="Q250" s="3">
        <v>245</v>
      </c>
      <c r="R250" s="3">
        <v>69</v>
      </c>
      <c r="S250" s="3">
        <v>93</v>
      </c>
      <c r="T250" s="3">
        <v>93</v>
      </c>
      <c r="U250" s="3">
        <v>157</v>
      </c>
      <c r="V250" s="3">
        <v>250</v>
      </c>
      <c r="W250" s="3">
        <v>67</v>
      </c>
      <c r="X250" s="3">
        <v>33</v>
      </c>
      <c r="Y250" s="3">
        <v>38</v>
      </c>
      <c r="Z250" s="3">
        <v>52</v>
      </c>
      <c r="AA250" s="3">
        <v>161</v>
      </c>
      <c r="AB250" s="3">
        <v>617</v>
      </c>
      <c r="AC250" s="3">
        <v>0.46100000000000002</v>
      </c>
      <c r="AD250" s="3">
        <v>0.55900000000000005</v>
      </c>
      <c r="AE250" s="3">
        <v>0.35899999999999999</v>
      </c>
      <c r="AF250" s="3">
        <v>0.74199999999999999</v>
      </c>
      <c r="AG250" s="3">
        <v>0.57099999999999995</v>
      </c>
      <c r="AH250" s="3">
        <v>0.54900000000000004</v>
      </c>
      <c r="AI250" s="3" t="s">
        <v>570</v>
      </c>
    </row>
    <row r="251" spans="1:35" ht="30">
      <c r="B251" s="3" t="s">
        <v>1913</v>
      </c>
      <c r="C251" s="3">
        <v>0.8</v>
      </c>
      <c r="D251" s="3">
        <v>1152</v>
      </c>
      <c r="E251" s="3" t="s">
        <v>228</v>
      </c>
      <c r="F251" s="3">
        <v>23</v>
      </c>
      <c r="G251" s="3" t="s">
        <v>66</v>
      </c>
      <c r="H251" s="3">
        <v>69</v>
      </c>
      <c r="I251" s="3">
        <v>11</v>
      </c>
      <c r="J251" s="3">
        <v>0</v>
      </c>
      <c r="K251" s="3">
        <v>1152</v>
      </c>
      <c r="L251" s="3">
        <v>169</v>
      </c>
      <c r="M251" s="3">
        <v>432</v>
      </c>
      <c r="N251" s="3">
        <v>117</v>
      </c>
      <c r="O251" s="3">
        <v>236</v>
      </c>
      <c r="P251" s="3">
        <v>52</v>
      </c>
      <c r="Q251" s="3">
        <v>196</v>
      </c>
      <c r="R251" s="3">
        <v>111</v>
      </c>
      <c r="S251" s="3">
        <v>138</v>
      </c>
      <c r="T251" s="3">
        <v>45</v>
      </c>
      <c r="U251" s="3">
        <v>148</v>
      </c>
      <c r="V251" s="3">
        <v>193</v>
      </c>
      <c r="W251" s="3">
        <v>90</v>
      </c>
      <c r="X251" s="3">
        <v>31</v>
      </c>
      <c r="Y251" s="3">
        <v>12</v>
      </c>
      <c r="Z251" s="3">
        <v>44</v>
      </c>
      <c r="AA251" s="3">
        <v>66</v>
      </c>
      <c r="AB251" s="3">
        <v>501</v>
      </c>
      <c r="AC251" s="3">
        <v>0.39100000000000001</v>
      </c>
      <c r="AD251" s="3">
        <v>0.496</v>
      </c>
      <c r="AE251" s="3">
        <v>0.26500000000000001</v>
      </c>
      <c r="AF251" s="3">
        <v>0.80400000000000005</v>
      </c>
      <c r="AG251" s="3">
        <v>0.50800000000000001</v>
      </c>
      <c r="AH251" s="3">
        <v>0.45100000000000001</v>
      </c>
      <c r="AI251" s="3" t="s">
        <v>6</v>
      </c>
    </row>
    <row r="253" spans="1:35">
      <c r="A2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2025-02-11T00:36:34Z</dcterms:created>
  <dcterms:modified xsi:type="dcterms:W3CDTF">2025-08-06T02:19:24Z</dcterms:modified>
  <cp:category/>
  <cp:contentStatus/>
</cp:coreProperties>
</file>